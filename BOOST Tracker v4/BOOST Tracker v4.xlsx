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New Sign-Ups" sheetId="3" state="visible" r:id="rId3"/>
    <sheet xmlns:r="http://schemas.openxmlformats.org/officeDocument/2006/relationships" name="Follow-Up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Event Report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Contact Card" sheetId="8" state="visible" r:id="rId8"/>
    <sheet xmlns:r="http://schemas.openxmlformats.org/officeDocument/2006/relationships" name="Setup" sheetId="9" state="visible" r:id="rId9"/>
    <sheet xmlns:r="http://schemas.openxmlformats.org/officeDocument/2006/relationships" name="Lists" sheetId="10" state="visible" r:id="rId10"/>
    <sheet xmlns:r="http://schemas.openxmlformats.org/officeDocument/2006/relationships" name="Sheet1" sheetId="11" state="visible" r:id="rId11"/>
  </sheets>
  <definedNames>
    <definedName name="L_Type">OFFSET(Lists!$A$5,0,0,MAX(1,COUNTA(Lists!$A$5:$A$60)),1)</definedName>
    <definedName name="L_Region">OFFSET(Lists!$B$5,0,0,MAX(1,COUNTA(Lists!$B$5:$B$60)),1)</definedName>
    <definedName name="L_Situation">OFFSET(Lists!$C$5,0,0,MAX(1,COUNTA(Lists!$C$5:$C$60)),1)</definedName>
    <definedName name="L_YNU">OFFSET(Lists!$D$5,0,0,MAX(1,COUNTA(Lists!$D$5:$D$60)),1)</definedName>
    <definedName name="L_Service">OFFSET(Lists!$E$5,0,0,MAX(1,COUNTA(Lists!$E$5:$E$60)),1)</definedName>
    <definedName name="L_Need">OFFSET(Lists!$F$5,0,0,MAX(1,COUNTA(Lists!$F$5:$F$60)),1)</definedName>
    <definedName name="L_Stage">OFFSET(Lists!$G$5,0,0,MAX(1,COUNTA(Lists!$G$5:$G$60)),1)</definedName>
    <definedName name="L_Tick">OFFSET(Lists!$H$5,0,0,MAX(1,COUNTA(Lists!$H$5:$H$60)),1)</definedName>
    <definedName name="L_YesNo">OFFSET(Lists!$I$5,0,0,MAX(1,COUNTA(Lists!$I$5:$I$60)),1)</definedName>
    <definedName name="L_EventType">OFFSET(Lists!$J$5,0,0,MAX(1,COUNTA(Lists!$J$5:$J$60)),1)</definedName>
    <definedName name="f_Id">Setup!$D$6</definedName>
    <definedName name="f_Time">Setup!$D$7</definedName>
    <definedName name="f_Name">Setup!$D$8</definedName>
    <definedName name="f_Email">Setup!$D$9</definedName>
    <definedName name="f_Phone">Setup!$D$10</definedName>
    <definedName name="f_City">Setup!$D$11</definedName>
    <definedName name="f_Who">Setup!$D$12</definedName>
    <definedName name="f_Org1">Setup!$D$13</definedName>
    <definedName name="f_Org2">Setup!$D$14</definedName>
    <definedName name="f_Region">Setup!$D$15</definedName>
    <definedName name="f_Sit">Setup!$D$16</definedName>
    <definedName name="f_Appr">Setup!$D$17</definedName>
    <definedName name="f_Trade">Setup!$D$18</definedName>
    <definedName name="f_SelfID">Setup!$D$19</definedName>
    <definedName name="f_Need">Setup!$D$20</definedName>
    <definedName name="f_Consent">Setup!$D$21</definedName>
    <definedName name="f_Event">Setup!$D$22</definedName>
    <definedName name="FormData">Sheet1!$A$1:$AZ$5000</definedName>
    <definedName name="FormHdr">Sheet1!$A$1:$AZ$1</definedName>
    <definedName name="DueSoon">Setup!$C$26</definedName>
    <definedName name="WhoKW">Setup!$B$46:$B$67</definedName>
    <definedName name="WhoVal">Setup!$C$46:$C$67</definedName>
    <definedName name="SitKW">Setup!$E$46:$E$67</definedName>
    <definedName name="SitVal">Setup!$F$46:$F$67</definedName>
    <definedName name="EvID">Events!$A$5:$A$104</definedName>
    <definedName name="EvDate">Events!$B$5:$B$104</definedName>
    <definedName name="EvName">Events!$C$5:$C$104</definedName>
    <definedName name="_xlnm._FilterDatabase" localSheetId="1" hidden="1">'People'!$A$4:$V$604</definedName>
    <definedName name="_xlnm._FilterDatabase" localSheetId="2" hidden="1">'New Sign-Ups'!$A$4:$I$1004</definedName>
    <definedName name="_xlnm.Print_Area" localSheetId="3">OFFSET('Follow-Ups'!$A$1,0,0,6+MAX(1,COUNT('Follow-Ups'!$K$7:$K$156)),9)</definedName>
    <definedName name="_xlnm.Print_Titles" localSheetId="3">'Follow-Ups'!$6:$6</definedName>
    <definedName name="_xlnm._FilterDatabase" localSheetId="4" hidden="1">'Events'!$A$4:$N$104</definedName>
    <definedName name="_xlnm.Print_Area" localSheetId="5">OFFSET('Event Report'!$A$1,0,0,17+MAX(1,COUNT('Event Report'!$K$18:$K$97)),9)</definedName>
    <definedName name="_xlnm.Print_Titles" localSheetId="5">'Event Report'!$17:$17</definedName>
    <definedName name="_xlnm.Print_Area" localSheetId="7">'Contact Card'!$A$1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dddd, mmmm d, yyyy"/>
  </numFmts>
  <fonts count="23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6B7785"/>
      <sz val="9"/>
    </font>
    <font>
      <name val="Calibri"/>
      <b val="1"/>
      <color rgb="00C55A11"/>
      <sz val="14"/>
    </font>
    <font>
      <name val="Calibri"/>
      <b val="1"/>
      <color rgb="00C00000"/>
      <sz val="14"/>
    </font>
    <font>
      <name val="Calibri"/>
      <b val="1"/>
      <color rgb="00BF8F00"/>
      <sz val="14"/>
    </font>
    <font>
      <name val="Calibri"/>
      <b val="1"/>
      <color rgb="001F3864"/>
      <sz val="14"/>
    </font>
    <font>
      <name val="Calibri"/>
      <b val="1"/>
      <sz val="12"/>
    </font>
    <font>
      <name val="Calibri"/>
      <b val="1"/>
      <color rgb="00FFFFFF"/>
      <sz val="9"/>
    </font>
    <font>
      <name val="Calibri"/>
      <b val="1"/>
      <color rgb="001F3864"/>
      <sz val="22"/>
    </font>
    <font>
      <name val="Calibri"/>
      <b val="1"/>
      <color rgb="00C00000"/>
      <sz val="22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i val="1"/>
      <color rgb="00C00000"/>
      <sz val="10"/>
    </font>
    <font>
      <name val="Calibri"/>
      <sz val="12"/>
    </font>
    <font>
      <name val="Calibri"/>
      <b val="1"/>
      <color rgb="001F3864"/>
      <sz val="20"/>
    </font>
    <font>
      <name val="Calibri"/>
      <b val="1"/>
      <color rgb="00FFFFFF"/>
      <sz val="11"/>
    </font>
    <font>
      <name val="Calibri"/>
      <i val="1"/>
      <color rgb="00C55A1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6B7785"/>
      </patternFill>
    </fill>
    <fill>
      <patternFill patternType="solid">
        <fgColor rgb="00FFF4CC"/>
      </patternFill>
    </fill>
    <fill>
      <patternFill patternType="solid">
        <fgColor rgb="00F3F5F8"/>
      </patternFill>
    </fill>
    <fill>
      <patternFill patternType="solid">
        <fgColor rgb="001B6E7A"/>
      </patternFill>
    </fill>
    <fill>
      <patternFill patternType="solid">
        <fgColor rgb="00C55A11"/>
      </patternFill>
    </fill>
    <fill>
      <patternFill patternType="solid">
        <fgColor rgb="00E8EEF7"/>
      </patternFill>
    </fill>
  </fills>
  <borders count="8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bottom style="thin">
        <color rgb="00D0D5DD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0" fillId="0" borderId="0" pivotButton="0" quotePrefix="0" xfId="0"/>
    <xf numFmtId="0" fontId="2" fillId="0" borderId="0" pivotButton="0" quotePrefix="0" xfId="0"/>
    <xf numFmtId="0" fontId="21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7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top"/>
    </xf>
    <xf numFmtId="0" fontId="4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22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right" vertical="center"/>
    </xf>
    <xf numFmtId="0" fontId="11" fillId="5" borderId="2" applyAlignment="1" applyProtection="1" pivotButton="0" quotePrefix="0" xfId="0">
      <alignment horizontal="center" vertical="center" wrapText="1"/>
      <protection locked="0" hidden="0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left"/>
    </xf>
    <xf numFmtId="0" fontId="6" fillId="0" borderId="0" pivotButton="0" quotePrefix="0" xfId="0"/>
    <xf numFmtId="0" fontId="0" fillId="5" borderId="1" applyAlignment="1" applyProtection="1" pivotButton="0" quotePrefix="0" xfId="0">
      <alignment vertical="top" wrapText="1"/>
      <protection locked="0" hidden="0"/>
    </xf>
    <xf numFmtId="0" fontId="13" fillId="2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16" fillId="0" borderId="1" pivotButton="0" quotePrefix="0" xfId="0"/>
    <xf numFmtId="164" fontId="5" fillId="0" borderId="0" pivotButton="0" quotePrefix="0" xfId="0"/>
    <xf numFmtId="0" fontId="5" fillId="0" borderId="0" applyAlignment="1" pivotButton="0" quotePrefix="0" xfId="0">
      <alignment horizontal="center"/>
    </xf>
    <xf numFmtId="0" fontId="17" fillId="0" borderId="0" pivotButton="0" quotePrefix="0" xfId="0"/>
    <xf numFmtId="0" fontId="12" fillId="0" borderId="0" applyAlignment="1" pivotButton="0" quotePrefix="0" xfId="0">
      <alignment horizontal="right"/>
    </xf>
    <xf numFmtId="0" fontId="11" fillId="5" borderId="2" applyProtection="1" pivotButton="0" quotePrefix="0" xfId="0">
      <protection locked="0" hidden="0"/>
    </xf>
    <xf numFmtId="0" fontId="18" fillId="0" borderId="0" pivotButton="0" quotePrefix="0" xfId="0"/>
    <xf numFmtId="0" fontId="19" fillId="0" borderId="7" pivotButton="0" quotePrefix="0" xfId="0"/>
    <xf numFmtId="0" fontId="2" fillId="0" borderId="0" applyAlignment="1" pivotButton="0" quotePrefix="0" xfId="0">
      <alignment vertical="top" wrapText="1"/>
    </xf>
    <xf numFmtId="0" fontId="5" fillId="5" borderId="1" applyAlignment="1" applyProtection="1" pivotButton="0" quotePrefix="0" xfId="0">
      <alignment vertical="top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1" pivotButton="0" quotePrefix="0" xfId="0"/>
    <xf numFmtId="0" fontId="0" fillId="5" borderId="1" applyProtection="1" pivotButton="0" quotePrefix="0" xfId="0">
      <protection locked="0" hidden="0"/>
    </xf>
    <xf numFmtId="0" fontId="4" fillId="3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8CBAD"/>
        </patternFill>
      </fill>
    </dxf>
    <dxf>
      <fill>
        <patternFill patternType="solid">
          <fgColor rgb="00FFD966"/>
        </patternFill>
      </fill>
    </dxf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7F6000"/>
      </font>
      <fill>
        <patternFill patternType="solid">
          <fgColor rgb="00FFEB9C"/>
        </patternFill>
      </fill>
    </dxf>
    <dxf>
      <font>
        <color rgb="00548235"/>
      </font>
    </dxf>
    <dxf>
      <font>
        <b val="1"/>
        <color rgb="00C00000"/>
      </font>
      <fill>
        <patternFill patternType="solid">
          <fgColor rgb="00F8CBAD"/>
        </patternFill>
      </fill>
    </dxf>
    <dxf>
      <font>
        <b val="1"/>
        <color rgb="00C00000"/>
      </font>
    </dxf>
    <dxf>
      <fill>
        <patternFill patternType="solid">
          <fgColor rgb="00EDEDED"/>
        </patternFill>
      </fill>
    </dxf>
    <dxf>
      <font>
        <b val="1"/>
        <color rgb="001F3864"/>
      </font>
    </dxf>
    <dxf>
      <font>
        <b val="1"/>
        <color rgb="00C55A11"/>
      </font>
      <fill>
        <patternFill patternType="solid">
          <fgColor rgb="00FCE4D6"/>
        </patternFill>
      </fill>
    </dxf>
    <dxf>
      <font>
        <i val="1"/>
        <color rgb="009C0006"/>
      </font>
    </dxf>
    <dxf>
      <border>
        <left style="thin">
          <color rgb="00D0D5DD"/>
        </left>
        <right style="thin">
          <color rgb="00D0D5DD"/>
        </right>
        <top style="thin">
          <color rgb="00D0D5DD"/>
        </top>
        <bottom style="thin">
          <color rgb="00D0D5DD"/>
        </bottom>
      </border>
    </dxf>
    <dxf>
      <font>
        <b val="1"/>
        <color rgb="00C55A11"/>
      </font>
    </dxf>
    <dxf>
      <fill>
        <patternFill patternType="solid">
          <fgColor rgb="00F3F5F8"/>
        </patternFill>
      </fill>
      <border>
        <left style="thin">
          <color rgb="00D0D5DD"/>
        </left>
        <right style="thin">
          <color rgb="00D0D5DD"/>
        </right>
        <top style="thin">
          <color rgb="00D0D5DD"/>
        </top>
        <bottom style="thin">
          <color rgb="00D0D5DD"/>
        </bottom>
      </border>
    </dxf>
    <dxf>
      <border>
        <bottom style="thin">
          <color rgb="00D0D5DD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C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BOOST Ontario — Participant Tracker</t>
        </is>
      </c>
    </row>
    <row r="2">
      <c r="B2" s="2" t="inlineStr">
        <is>
          <t>Literacy Link South Central  ·  Version 4  ·  October 2026</t>
        </is>
      </c>
    </row>
    <row r="5">
      <c r="B5" s="3" t="inlineStr">
        <is>
          <t>THE IDEA</t>
        </is>
      </c>
      <c r="C5" s="4" t="n"/>
    </row>
    <row r="6" ht="30" customHeight="1">
      <c r="B6" s="5" t="inlineStr">
        <is>
          <t>Private by design</t>
        </is>
      </c>
      <c r="C6" s="6" t="inlineStr">
        <is>
          <t>People are tracked by Participant # and initials. Names, emails and phone numbers stay in the Microsoft Forms response sheet and only appear on Contact Card, one person at a time.</t>
        </is>
      </c>
    </row>
    <row r="7" ht="30" customHeight="1">
      <c r="B7" s="5" t="inlineStr">
        <is>
          <t>One number links it</t>
        </is>
      </c>
      <c r="C7" s="6" t="inlineStr">
        <is>
          <t>Type the form's Response ID on a People row. Event, date, initials, type, region and consent fill themselves.</t>
        </is>
      </c>
    </row>
    <row r="8" ht="30" customHeight="1">
      <c r="B8" s="5" t="inlineStr">
        <is>
          <t>Notes are the point</t>
        </is>
      </c>
      <c r="C8" s="6" t="inlineStr">
        <is>
          <t>Contact details can always be looked up again. What someone told you at the table can't — that's what Conversation Notes is for.</t>
        </is>
      </c>
    </row>
    <row r="10">
      <c r="B10" s="3" t="inlineStr">
        <is>
          <t>BEFORE THE EVENT</t>
        </is>
      </c>
      <c r="C10" s="4" t="n"/>
    </row>
    <row r="11" ht="30" customHeight="1">
      <c r="B11" s="5" t="inlineStr">
        <is>
          <t>1. Events</t>
        </is>
      </c>
      <c r="C11" s="6" t="inlineStr">
        <is>
          <t>Add a row: Event ID (EV-013, EV-014 …) and the DATE. Sign-ups find their event by the date, so the date matters most.</t>
        </is>
      </c>
    </row>
    <row r="13">
      <c r="B13" s="3" t="inlineStr">
        <is>
          <t>AT THE TABLE</t>
        </is>
      </c>
      <c r="C13" s="4" t="n"/>
    </row>
    <row r="14" ht="15" customHeight="1">
      <c r="B14" s="5" t="inlineStr">
        <is>
          <t>2. They scan the QR</t>
        </is>
      </c>
      <c r="C14" s="6" t="inlineStr">
        <is>
          <t>The form does the capturing. Nothing to type in the tracker yet.</t>
        </is>
      </c>
    </row>
    <row r="15" ht="30" customHeight="1">
      <c r="B15" s="5" t="inlineStr">
        <is>
          <t>Walk-ups</t>
        </is>
      </c>
      <c r="C15" s="6" t="inlineStr">
        <is>
          <t>No form? Add a People row: type the date in Registered On, their initials, and the Contact Type. The Event ID fills from the date.</t>
        </is>
      </c>
    </row>
    <row r="17">
      <c r="B17" s="3" t="inlineStr">
        <is>
          <t>AFTER THE EVENT</t>
        </is>
      </c>
      <c r="C17" s="4" t="n"/>
    </row>
    <row r="18" ht="15" customHeight="1">
      <c r="B18" s="5" t="inlineStr">
        <is>
          <t>3. New Sign-Ups</t>
        </is>
      </c>
      <c r="C18" s="6" t="inlineStr">
        <is>
          <t>Shows everyone who filled in the form. Anyone marked → add isn't on People yet.</t>
        </is>
      </c>
    </row>
    <row r="19" ht="30" customHeight="1">
      <c r="B19" s="5" t="inlineStr">
        <is>
          <t>4. People</t>
        </is>
      </c>
      <c r="C19" s="6" t="inlineStr">
        <is>
          <t>For each one, type the Response ID in column U on the next empty row. Then add Service Level, Main Need, Stage and your notes.</t>
        </is>
      </c>
    </row>
    <row r="20" ht="30" customHeight="1">
      <c r="B20" s="5" t="inlineStr">
        <is>
          <t>5. Follow-Ups</t>
        </is>
      </c>
      <c r="C20" s="6" t="inlineStr">
        <is>
          <t>Tick Follow-Up Needed and give it a due date. Follow-Ups lists everyone you owe a call, soonest first. Enter the date in Follow-Up Done when it's done.</t>
        </is>
      </c>
    </row>
    <row r="21" ht="30" customHeight="1">
      <c r="B21" s="5" t="inlineStr">
        <is>
          <t>6. Event Report</t>
        </is>
      </c>
      <c r="C21" s="6" t="inlineStr">
        <is>
          <t>Pick the Event ID, write your note to the reader, then File → Print → Save as PDF. It shows initials only, so it's safe to send.</t>
        </is>
      </c>
    </row>
    <row r="23">
      <c r="B23" s="3" t="inlineStr">
        <is>
          <t>WHEN YOU NEED TO CALL</t>
        </is>
      </c>
      <c r="C23" s="4" t="n"/>
    </row>
    <row r="24" ht="30" customHeight="1">
      <c r="B24" s="5" t="inlineStr">
        <is>
          <t>Contact Card</t>
        </is>
      </c>
      <c r="C24" s="6" t="inlineStr">
        <is>
          <t>Type the Participant #. Name, email and phone appear. Clear the box afterwards. Never screen-share this tab.</t>
        </is>
      </c>
    </row>
    <row r="26">
      <c r="B26" s="3" t="inlineStr">
        <is>
          <t>COLOURS</t>
        </is>
      </c>
      <c r="C26" s="4" t="n"/>
    </row>
    <row r="27" ht="30" customHeight="1">
      <c r="B27" s="5" t="inlineStr">
        <is>
          <t>Header colours</t>
        </is>
      </c>
      <c r="C27" s="6" t="inlineStr">
        <is>
          <t>Teal = fills itself from the form, but you can type over it.  Navy = yours.  Grey = counts itself.  Orange = the link (Form Response ID).</t>
        </is>
      </c>
    </row>
    <row r="28" ht="30" customHeight="1">
      <c r="B28" s="5" t="inlineStr">
        <is>
          <t>Cell colours</t>
        </is>
      </c>
      <c r="C28" s="6" t="inlineStr">
        <is>
          <t>Yellow = type here.  Red on Event ID = no event matched that date.  Amber on Event ID = two events on the same day, so check it.  Light grey = doesn't apply to this contact type.</t>
        </is>
      </c>
    </row>
    <row r="30">
      <c r="B30" s="3" t="inlineStr">
        <is>
          <t>PRIVACY RULES</t>
        </is>
      </c>
      <c r="C30" s="4" t="n"/>
    </row>
    <row r="31" ht="30" customHeight="1">
      <c r="B31" s="5" t="inlineStr">
        <is>
          <t>In notes</t>
        </is>
      </c>
      <c r="C31" s="6" t="inlineStr">
        <is>
          <t>Write what they need and what you agreed, not who they are. No health details, diagnoses, SIN, dates of birth or addresses.</t>
        </is>
      </c>
    </row>
    <row r="32" ht="15" customHeight="1">
      <c r="B32" s="5" t="inlineStr">
        <is>
          <t>Self-identification</t>
        </is>
      </c>
      <c r="C32" s="6" t="inlineStr">
        <is>
          <t>Never typed into the tracker. The Dashboard counts it straight from the form as totals only.</t>
        </is>
      </c>
    </row>
    <row r="33" ht="15" customHeight="1">
      <c r="B33" s="5" t="inlineStr">
        <is>
          <t>Consent = No</t>
        </is>
      </c>
      <c r="C33" s="6" t="inlineStr">
        <is>
          <t>Shows in red on People and Contact Card. Don't contact them.</t>
        </is>
      </c>
    </row>
    <row r="34" ht="30" customHeight="1">
      <c r="B34" s="5" t="inlineStr">
        <is>
          <t>Sharing</t>
        </is>
      </c>
      <c r="C34" s="6" t="inlineStr">
        <is>
          <t>People, Events, Follow-Ups, Event Report and Dashboard hold no contact details. Contact Card and Sheet1 do.</t>
        </is>
      </c>
    </row>
    <row r="36">
      <c r="B36" s="3" t="inlineStr">
        <is>
          <t>CONNECTING THE FORM</t>
        </is>
      </c>
      <c r="C36" s="4" t="n"/>
    </row>
    <row r="37" ht="30" customHeight="1">
      <c r="B37" s="5" t="inlineStr">
        <is>
          <t>Where responses live</t>
        </is>
      </c>
      <c r="C37" s="6" t="inlineStr">
        <is>
          <t>Microsoft Forms writes responses to “Event Registration - Literacy Link South Central.xlsx” (OneDrive → Documents), on a sheet called Sheet1.</t>
        </is>
      </c>
    </row>
    <row r="38" ht="30" customHeight="1">
      <c r="B38" s="5" t="inlineStr">
        <is>
          <t>Option A — paste (simplest)</t>
        </is>
      </c>
      <c r="C38" s="6" t="inlineStr">
        <is>
          <t>In Forms: Responses → Open in Excel. Select all on that sheet, copy, and paste over this file's Sheet1 at A1. Takes 30 seconds after each event.</t>
        </is>
      </c>
    </row>
    <row r="39" ht="45" customHeight="1">
      <c r="B39" s="5" t="inlineStr">
        <is>
          <t>Option B — live</t>
        </is>
      </c>
      <c r="C39" s="6" t="inlineStr">
        <is>
          <t>Copy every tab EXCEPT Sheet1 into the Forms workbook (right-click a tab → Move or Copy → tick Create a copy; do Lists and Setup first). Then Data → Edit Links → Change Source → choose the Forms workbook itself, so the formulas point at its real Sheet1.</t>
        </is>
      </c>
    </row>
    <row r="40" ht="30" customHeight="1">
      <c r="B40" s="5" t="inlineStr">
        <is>
          <t>Setup tab</t>
        </is>
      </c>
      <c r="C40" s="6" t="inlineStr">
        <is>
          <t>If a heading on the form is worded differently, Setup will show ✗. Type a word from the real heading into the yellow cell and it reconnects.</t>
        </is>
      </c>
    </row>
    <row r="42">
      <c r="B42" s="3" t="inlineStr">
        <is>
          <t>DON'T</t>
        </is>
      </c>
      <c r="C42" s="4" t="n"/>
    </row>
    <row r="43" ht="30" customHeight="1">
      <c r="B43" s="5" t="inlineStr">
        <is>
          <t>…</t>
        </is>
      </c>
      <c r="C43" s="6" t="inlineStr">
        <is>
          <t>Don't delete or rename Sheet1.  Don't delete rows on People — clear them instead (Participant #s must stay unique).  Don't unhide and edit the grey helper columns (W–Z on People).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Z6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8" customWidth="1" min="4" max="4"/>
    <col width="16" customWidth="1" min="5" max="5"/>
    <col width="22" customWidth="1" min="6" max="6"/>
    <col width="18" customWidth="1" min="7" max="7"/>
    <col width="15" customWidth="1" min="8" max="8"/>
    <col width="10" customWidth="1" min="9" max="9"/>
    <col width="16" customWidth="1" min="10" max="10"/>
    <col width="12" customWidth="1" min="11" max="11"/>
    <col width="22" customWidth="1" min="12" max="12"/>
    <col width="13" customWidth="1" min="13" max="13"/>
    <col width="60" customWidth="1" min="14" max="14"/>
    <col width="9" customWidth="1" min="15" max="15"/>
    <col width="9" customWidth="1" min="16" max="16"/>
    <col width="11" customWidth="1" min="17" max="17"/>
    <col width="11" customWidth="1" min="18" max="18"/>
    <col width="13" customWidth="1" min="19" max="19"/>
    <col width="9" customWidth="1" min="20" max="20"/>
    <col width="10" customWidth="1" min="21" max="21"/>
    <col width="10" customWidth="1" min="22" max="22"/>
    <col hidden="1" width="8" customWidth="1" min="23" max="23"/>
    <col hidden="1" width="8" customWidth="1" min="24" max="24"/>
    <col hidden="1" width="8" customWidth="1" min="25" max="25"/>
    <col hidden="1" width="8" customWidth="1" min="26" max="26"/>
  </cols>
  <sheetData>
    <row r="1" ht="26" customHeight="1">
      <c r="A1" s="7" t="inlineStr">
        <is>
          <t>People</t>
        </is>
      </c>
    </row>
    <row r="2">
      <c r="A2" s="2" t="inlineStr">
        <is>
          <t>One row per person you speak with. Initials and a number only — names, emails and phones stay in the form.</t>
        </is>
      </c>
    </row>
    <row r="3">
      <c r="A3" s="8" t="inlineStr">
        <is>
          <t>◀ ID</t>
        </is>
      </c>
      <c r="B3" s="8" t="inlineStr">
        <is>
          <t>AUTO — fills from the form once you type the Form Response ID (col U).  Type over any of these to change that row.</t>
        </is>
      </c>
      <c r="K3" s="8" t="inlineStr">
        <is>
          <t>YOURS — the conversation</t>
        </is>
      </c>
      <c r="U3" s="8" t="inlineStr">
        <is>
          <t>LINK</t>
        </is>
      </c>
    </row>
    <row r="4" ht="40" customHeight="1">
      <c r="A4" s="9" t="inlineStr">
        <is>
          <t>Participant #</t>
        </is>
      </c>
      <c r="B4" s="10" t="inlineStr">
        <is>
          <t>Event ID</t>
        </is>
      </c>
      <c r="C4" s="10" t="inlineStr">
        <is>
          <t>Registered On</t>
        </is>
      </c>
      <c r="D4" s="10" t="inlineStr">
        <is>
          <t>Initials</t>
        </is>
      </c>
      <c r="E4" s="10" t="inlineStr">
        <is>
          <t>Contact Type</t>
        </is>
      </c>
      <c r="F4" s="10" t="inlineStr">
        <is>
          <t>Organization</t>
        </is>
      </c>
      <c r="G4" s="10" t="inlineStr">
        <is>
          <t>Region</t>
        </is>
      </c>
      <c r="H4" s="10" t="inlineStr">
        <is>
          <t>Situation</t>
        </is>
      </c>
      <c r="I4" s="10" t="inlineStr">
        <is>
          <t>Reg. Apprentice</t>
        </is>
      </c>
      <c r="J4" s="10" t="inlineStr">
        <is>
          <t>Trade</t>
        </is>
      </c>
      <c r="K4" s="11" t="inlineStr">
        <is>
          <t>Service Level</t>
        </is>
      </c>
      <c r="L4" s="11" t="inlineStr">
        <is>
          <t>Main Need</t>
        </is>
      </c>
      <c r="M4" s="11" t="inlineStr">
        <is>
          <t>Stage</t>
        </is>
      </c>
      <c r="N4" s="11" t="inlineStr">
        <is>
          <t>Conversation Notes</t>
        </is>
      </c>
      <c r="O4" s="11" t="inlineStr">
        <is>
          <t>Materials Given</t>
        </is>
      </c>
      <c r="P4" s="11" t="inlineStr">
        <is>
          <t>Follow-Up Needed</t>
        </is>
      </c>
      <c r="Q4" s="11" t="inlineStr">
        <is>
          <t>Follow-Up Due</t>
        </is>
      </c>
      <c r="R4" s="11" t="inlineStr">
        <is>
          <t>Follow-Up Done</t>
        </is>
      </c>
      <c r="S4" s="9" t="inlineStr">
        <is>
          <t>Follow-Up Status</t>
        </is>
      </c>
      <c r="T4" s="10" t="inlineStr">
        <is>
          <t>Consent</t>
        </is>
      </c>
      <c r="U4" s="12" t="inlineStr">
        <is>
          <t>Form Response ID</t>
        </is>
      </c>
      <c r="V4" s="9" t="inlineStr">
        <is>
          <t>Form Check</t>
        </is>
      </c>
      <c r="W4" s="9" t="inlineStr">
        <is>
          <t>_form row</t>
        </is>
      </c>
      <c r="X4" s="9" t="inlineStr">
        <is>
          <t>_report</t>
        </is>
      </c>
      <c r="Y4" s="9" t="inlineStr">
        <is>
          <t>_follow-up</t>
        </is>
      </c>
      <c r="Z4" s="9" t="inlineStr">
        <is>
          <t>_in use</t>
        </is>
      </c>
    </row>
    <row r="5">
      <c r="A5" s="13" t="inlineStr">
        <is>
          <t>P-0001</t>
        </is>
      </c>
      <c r="B5" s="14">
        <f>IF(AND($U5="",$C5=""),"",IFERROR(INDEX(EvID,MATCH(INDEX(FormData,$W5,f_Event),EvID,0)),IFERROR(INDEX(EvID,MATCH(INDEX(FormData,$W5,f_Event),EvName,0)),IFERROR(INDEX(EvID,MATCH(INT($C5),EvDate,0)),""))))</f>
        <v/>
      </c>
      <c r="C5" s="15">
        <f>IF($W5="","",INDEX(FormData,$W5,f_Time))</f>
        <v/>
      </c>
      <c r="D5" s="14">
        <f>IF($W5="","",IFERROR(UPPER(LEFT(TRIM(INDEX(FormData,$W5,f_Name)),1)&amp;IFERROR(MID(TRIM(INDEX(FormData,$W5,f_Name)),FIND("^",SUBSTITUTE(TRIM(INDEX(FormData,$W5,f_Name))," ","^",LEN(TRIM(INDEX(FormData,$W5,f_Name)))-LEN(SUBSTITUTE(TRIM(INDEX(FormData,$W5,f_Name))," ",""))))+1,1),"")),""))</f>
        <v/>
      </c>
      <c r="E5" s="16">
        <f>IF($W5="","",IFERROR(IF(SUMPRODUCT(MAX((WhoKW&lt;&gt;"")*ISNUMBER(SEARCH(WhoKW,INDEX(FormData,$W5,f_Who)&amp;""))*(ROW(WhoKW)-MIN(ROW(WhoKW))+1)))=0,"",INDEX(WhoVal,SUMPRODUCT(MAX((WhoKW&lt;&gt;"")*ISNUMBER(SEARCH(WhoKW,INDEX(FormData,$W5,f_Who)&amp;""))*(ROW(WhoKW)-MIN(ROW(WhoKW))+1))))),""))</f>
        <v/>
      </c>
      <c r="F5" s="17">
        <f>IF($W5="","",TRIM(IFERROR(INDEX(FormData,$W5,f_Org1)&amp;"","")&amp;" "&amp;IFERROR(INDEX(FormData,$W5,f_Org2)&amp;"","")))</f>
        <v/>
      </c>
      <c r="G5" s="16">
        <f>IF($W5="","",IFERROR(INDEX(FormData,$W5,f_Region)&amp;"",""))</f>
        <v/>
      </c>
      <c r="H5" s="16">
        <f>IF($W5="","",IFERROR(IF(SUMPRODUCT(MAX((SitKW&lt;&gt;"")*ISNUMBER(SEARCH(SitKW,INDEX(FormData,$W5,f_Sit)&amp;""))*(ROW(SitKW)-MIN(ROW(SitKW))+1)))=0,"",INDEX(SitVal,SUMPRODUCT(MAX((SitKW&lt;&gt;"")*ISNUMBER(SEARCH(SitKW,INDEX(FormData,$W5,f_Sit)&amp;""))*(ROW(SitKW)-MIN(ROW(SitKW))+1))))),""))</f>
        <v/>
      </c>
      <c r="I5" s="14">
        <f>IF($W5="","",IFERROR(INDEX(FormData,$W5,f_Appr)&amp;"",""))</f>
        <v/>
      </c>
      <c r="J5" s="16">
        <f>IF($W5="","",IFERROR(INDEX(FormData,$W5,f_Trade)&amp;"",""))</f>
        <v/>
      </c>
      <c r="K5" s="16" t="n"/>
      <c r="L5" s="17" t="n"/>
      <c r="M5" s="16" t="n"/>
      <c r="N5" s="17" t="n"/>
      <c r="O5" s="14" t="n"/>
      <c r="P5" s="14" t="n"/>
      <c r="Q5" s="18" t="n"/>
      <c r="R5" s="18" t="n"/>
      <c r="S5" s="13">
        <f>IF($P5&lt;&gt;"✓","",IF($R5&lt;&gt;"","Done",IF($Q5="","Open — no date",IF($Q5&lt;TODAY(),"Overdue",IF($Q5-TODAY()&lt;=DueSoon,"Due soon","Scheduled")))))</f>
        <v/>
      </c>
      <c r="T5" s="14">
        <f>IF($W5="","",IFERROR(IF(INDEX(FormData,$W5,f_Consent)&amp;""="","",IF(ISNUMBER(SEARCH("yes",INDEX(FormData,$W5,f_Consent))),"Yes","No")),""))</f>
        <v/>
      </c>
      <c r="U5" s="14" t="n"/>
      <c r="V5" s="13">
        <f>IF($U5="","",IF($W5="","not found","✓"))</f>
        <v/>
      </c>
      <c r="W5">
        <f>IF($U5="","",IFERROR(MATCH($U5,INDEX(FormData,0,f_Id),0),IFERROR(MATCH(--$U5,INDEX(FormData,0,f_Id),0),IFERROR(MATCH($U5&amp;"",INDEX(FormData,0,f_Id),0),""))))</f>
        <v/>
      </c>
      <c r="X5">
        <f>IF(AND($B5&lt;&gt;"",$B5='Event Report'!$C$3),ROW(),"")</f>
        <v/>
      </c>
      <c r="Y5">
        <f>IF(AND($P5="✓",$R5=""),IF($Q5="",90000,$Q5)+ROW()/100000,"")</f>
        <v/>
      </c>
      <c r="Z5">
        <f>IF(OR($U5&lt;&gt;"",$D5&lt;&gt;"",$E5&lt;&gt;"",$N5&lt;&gt;""),1,"")</f>
        <v/>
      </c>
    </row>
    <row r="6">
      <c r="A6" s="13" t="inlineStr">
        <is>
          <t>P-0002</t>
        </is>
      </c>
      <c r="B6" s="14">
        <f>IF(AND($U6="",$C6=""),"",IFERROR(INDEX(EvID,MATCH(INDEX(FormData,$W6,f_Event),EvID,0)),IFERROR(INDEX(EvID,MATCH(INDEX(FormData,$W6,f_Event),EvName,0)),IFERROR(INDEX(EvID,MATCH(INT($C6),EvDate,0)),""))))</f>
        <v/>
      </c>
      <c r="C6" s="15">
        <f>IF($W6="","",INDEX(FormData,$W6,f_Time))</f>
        <v/>
      </c>
      <c r="D6" s="14">
        <f>IF($W6="","",IFERROR(UPPER(LEFT(TRIM(INDEX(FormData,$W6,f_Name)),1)&amp;IFERROR(MID(TRIM(INDEX(FormData,$W6,f_Name)),FIND("^",SUBSTITUTE(TRIM(INDEX(FormData,$W6,f_Name))," ","^",LEN(TRIM(INDEX(FormData,$W6,f_Name)))-LEN(SUBSTITUTE(TRIM(INDEX(FormData,$W6,f_Name))," ",""))))+1,1),"")),""))</f>
        <v/>
      </c>
      <c r="E6" s="16">
        <f>IF($W6="","",IFERROR(IF(SUMPRODUCT(MAX((WhoKW&lt;&gt;"")*ISNUMBER(SEARCH(WhoKW,INDEX(FormData,$W6,f_Who)&amp;""))*(ROW(WhoKW)-MIN(ROW(WhoKW))+1)))=0,"",INDEX(WhoVal,SUMPRODUCT(MAX((WhoKW&lt;&gt;"")*ISNUMBER(SEARCH(WhoKW,INDEX(FormData,$W6,f_Who)&amp;""))*(ROW(WhoKW)-MIN(ROW(WhoKW))+1))))),""))</f>
        <v/>
      </c>
      <c r="F6" s="17">
        <f>IF($W6="","",TRIM(IFERROR(INDEX(FormData,$W6,f_Org1)&amp;"","")&amp;" "&amp;IFERROR(INDEX(FormData,$W6,f_Org2)&amp;"","")))</f>
        <v/>
      </c>
      <c r="G6" s="16">
        <f>IF($W6="","",IFERROR(INDEX(FormData,$W6,f_Region)&amp;"",""))</f>
        <v/>
      </c>
      <c r="H6" s="16">
        <f>IF($W6="","",IFERROR(IF(SUMPRODUCT(MAX((SitKW&lt;&gt;"")*ISNUMBER(SEARCH(SitKW,INDEX(FormData,$W6,f_Sit)&amp;""))*(ROW(SitKW)-MIN(ROW(SitKW))+1)))=0,"",INDEX(SitVal,SUMPRODUCT(MAX((SitKW&lt;&gt;"")*ISNUMBER(SEARCH(SitKW,INDEX(FormData,$W6,f_Sit)&amp;""))*(ROW(SitKW)-MIN(ROW(SitKW))+1))))),""))</f>
        <v/>
      </c>
      <c r="I6" s="14">
        <f>IF($W6="","",IFERROR(INDEX(FormData,$W6,f_Appr)&amp;"",""))</f>
        <v/>
      </c>
      <c r="J6" s="16">
        <f>IF($W6="","",IFERROR(INDEX(FormData,$W6,f_Trade)&amp;"",""))</f>
        <v/>
      </c>
      <c r="K6" s="16" t="n"/>
      <c r="L6" s="17" t="n"/>
      <c r="M6" s="16" t="n"/>
      <c r="N6" s="17" t="n"/>
      <c r="O6" s="14" t="n"/>
      <c r="P6" s="14" t="n"/>
      <c r="Q6" s="18" t="n"/>
      <c r="R6" s="18" t="n"/>
      <c r="S6" s="13">
        <f>IF($P6&lt;&gt;"✓","",IF($R6&lt;&gt;"","Done",IF($Q6="","Open — no date",IF($Q6&lt;TODAY(),"Overdue",IF($Q6-TODAY()&lt;=DueSoon,"Due soon","Scheduled")))))</f>
        <v/>
      </c>
      <c r="T6" s="14">
        <f>IF($W6="","",IFERROR(IF(INDEX(FormData,$W6,f_Consent)&amp;""="","",IF(ISNUMBER(SEARCH("yes",INDEX(FormData,$W6,f_Consent))),"Yes","No")),""))</f>
        <v/>
      </c>
      <c r="U6" s="14" t="n"/>
      <c r="V6" s="13">
        <f>IF($U6="","",IF($W6="","not found","✓"))</f>
        <v/>
      </c>
      <c r="W6">
        <f>IF($U6="","",IFERROR(MATCH($U6,INDEX(FormData,0,f_Id),0),IFERROR(MATCH(--$U6,INDEX(FormData,0,f_Id),0),IFERROR(MATCH($U6&amp;"",INDEX(FormData,0,f_Id),0),""))))</f>
        <v/>
      </c>
      <c r="X6">
        <f>IF(AND($B6&lt;&gt;"",$B6='Event Report'!$C$3),ROW(),"")</f>
        <v/>
      </c>
      <c r="Y6">
        <f>IF(AND($P6="✓",$R6=""),IF($Q6="",90000,$Q6)+ROW()/100000,"")</f>
        <v/>
      </c>
      <c r="Z6">
        <f>IF(OR($U6&lt;&gt;"",$D6&lt;&gt;"",$E6&lt;&gt;"",$N6&lt;&gt;""),1,"")</f>
        <v/>
      </c>
    </row>
    <row r="7">
      <c r="A7" s="13" t="inlineStr">
        <is>
          <t>P-0003</t>
        </is>
      </c>
      <c r="B7" s="14">
        <f>IF(AND($U7="",$C7=""),"",IFERROR(INDEX(EvID,MATCH(INDEX(FormData,$W7,f_Event),EvID,0)),IFERROR(INDEX(EvID,MATCH(INDEX(FormData,$W7,f_Event),EvName,0)),IFERROR(INDEX(EvID,MATCH(INT($C7),EvDate,0)),""))))</f>
        <v/>
      </c>
      <c r="C7" s="15">
        <f>IF($W7="","",INDEX(FormData,$W7,f_Time))</f>
        <v/>
      </c>
      <c r="D7" s="14">
        <f>IF($W7="","",IFERROR(UPPER(LEFT(TRIM(INDEX(FormData,$W7,f_Name)),1)&amp;IFERROR(MID(TRIM(INDEX(FormData,$W7,f_Name)),FIND("^",SUBSTITUTE(TRIM(INDEX(FormData,$W7,f_Name))," ","^",LEN(TRIM(INDEX(FormData,$W7,f_Name)))-LEN(SUBSTITUTE(TRIM(INDEX(FormData,$W7,f_Name))," ",""))))+1,1),"")),""))</f>
        <v/>
      </c>
      <c r="E7" s="16">
        <f>IF($W7="","",IFERROR(IF(SUMPRODUCT(MAX((WhoKW&lt;&gt;"")*ISNUMBER(SEARCH(WhoKW,INDEX(FormData,$W7,f_Who)&amp;""))*(ROW(WhoKW)-MIN(ROW(WhoKW))+1)))=0,"",INDEX(WhoVal,SUMPRODUCT(MAX((WhoKW&lt;&gt;"")*ISNUMBER(SEARCH(WhoKW,INDEX(FormData,$W7,f_Who)&amp;""))*(ROW(WhoKW)-MIN(ROW(WhoKW))+1))))),""))</f>
        <v/>
      </c>
      <c r="F7" s="17">
        <f>IF($W7="","",TRIM(IFERROR(INDEX(FormData,$W7,f_Org1)&amp;"","")&amp;" "&amp;IFERROR(INDEX(FormData,$W7,f_Org2)&amp;"","")))</f>
        <v/>
      </c>
      <c r="G7" s="16">
        <f>IF($W7="","",IFERROR(INDEX(FormData,$W7,f_Region)&amp;"",""))</f>
        <v/>
      </c>
      <c r="H7" s="16">
        <f>IF($W7="","",IFERROR(IF(SUMPRODUCT(MAX((SitKW&lt;&gt;"")*ISNUMBER(SEARCH(SitKW,INDEX(FormData,$W7,f_Sit)&amp;""))*(ROW(SitKW)-MIN(ROW(SitKW))+1)))=0,"",INDEX(SitVal,SUMPRODUCT(MAX((SitKW&lt;&gt;"")*ISNUMBER(SEARCH(SitKW,INDEX(FormData,$W7,f_Sit)&amp;""))*(ROW(SitKW)-MIN(ROW(SitKW))+1))))),""))</f>
        <v/>
      </c>
      <c r="I7" s="14">
        <f>IF($W7="","",IFERROR(INDEX(FormData,$W7,f_Appr)&amp;"",""))</f>
        <v/>
      </c>
      <c r="J7" s="16">
        <f>IF($W7="","",IFERROR(INDEX(FormData,$W7,f_Trade)&amp;"",""))</f>
        <v/>
      </c>
      <c r="K7" s="16" t="n"/>
      <c r="L7" s="17" t="n"/>
      <c r="M7" s="16" t="n"/>
      <c r="N7" s="17" t="n"/>
      <c r="O7" s="14" t="n"/>
      <c r="P7" s="14" t="n"/>
      <c r="Q7" s="18" t="n"/>
      <c r="R7" s="18" t="n"/>
      <c r="S7" s="13">
        <f>IF($P7&lt;&gt;"✓","",IF($R7&lt;&gt;"","Done",IF($Q7="","Open — no date",IF($Q7&lt;TODAY(),"Overdue",IF($Q7-TODAY()&lt;=DueSoon,"Due soon","Scheduled")))))</f>
        <v/>
      </c>
      <c r="T7" s="14">
        <f>IF($W7="","",IFERROR(IF(INDEX(FormData,$W7,f_Consent)&amp;""="","",IF(ISNUMBER(SEARCH("yes",INDEX(FormData,$W7,f_Consent))),"Yes","No")),""))</f>
        <v/>
      </c>
      <c r="U7" s="14" t="n"/>
      <c r="V7" s="13">
        <f>IF($U7="","",IF($W7="","not found","✓"))</f>
        <v/>
      </c>
      <c r="W7">
        <f>IF($U7="","",IFERROR(MATCH($U7,INDEX(FormData,0,f_Id),0),IFERROR(MATCH(--$U7,INDEX(FormData,0,f_Id),0),IFERROR(MATCH($U7&amp;"",INDEX(FormData,0,f_Id),0),""))))</f>
        <v/>
      </c>
      <c r="X7">
        <f>IF(AND($B7&lt;&gt;"",$B7='Event Report'!$C$3),ROW(),"")</f>
        <v/>
      </c>
      <c r="Y7">
        <f>IF(AND($P7="✓",$R7=""),IF($Q7="",90000,$Q7)+ROW()/100000,"")</f>
        <v/>
      </c>
      <c r="Z7">
        <f>IF(OR($U7&lt;&gt;"",$D7&lt;&gt;"",$E7&lt;&gt;"",$N7&lt;&gt;""),1,"")</f>
        <v/>
      </c>
    </row>
    <row r="8">
      <c r="A8" s="13" t="inlineStr">
        <is>
          <t>P-0004</t>
        </is>
      </c>
      <c r="B8" s="14">
        <f>IF(AND($U8="",$C8=""),"",IFERROR(INDEX(EvID,MATCH(INDEX(FormData,$W8,f_Event),EvID,0)),IFERROR(INDEX(EvID,MATCH(INDEX(FormData,$W8,f_Event),EvName,0)),IFERROR(INDEX(EvID,MATCH(INT($C8),EvDate,0)),""))))</f>
        <v/>
      </c>
      <c r="C8" s="15">
        <f>IF($W8="","",INDEX(FormData,$W8,f_Time))</f>
        <v/>
      </c>
      <c r="D8" s="14">
        <f>IF($W8="","",IFERROR(UPPER(LEFT(TRIM(INDEX(FormData,$W8,f_Name)),1)&amp;IFERROR(MID(TRIM(INDEX(FormData,$W8,f_Name)),FIND("^",SUBSTITUTE(TRIM(INDEX(FormData,$W8,f_Name))," ","^",LEN(TRIM(INDEX(FormData,$W8,f_Name)))-LEN(SUBSTITUTE(TRIM(INDEX(FormData,$W8,f_Name))," ",""))))+1,1),"")),""))</f>
        <v/>
      </c>
      <c r="E8" s="16">
        <f>IF($W8="","",IFERROR(IF(SUMPRODUCT(MAX((WhoKW&lt;&gt;"")*ISNUMBER(SEARCH(WhoKW,INDEX(FormData,$W8,f_Who)&amp;""))*(ROW(WhoKW)-MIN(ROW(WhoKW))+1)))=0,"",INDEX(WhoVal,SUMPRODUCT(MAX((WhoKW&lt;&gt;"")*ISNUMBER(SEARCH(WhoKW,INDEX(FormData,$W8,f_Who)&amp;""))*(ROW(WhoKW)-MIN(ROW(WhoKW))+1))))),""))</f>
        <v/>
      </c>
      <c r="F8" s="17">
        <f>IF($W8="","",TRIM(IFERROR(INDEX(FormData,$W8,f_Org1)&amp;"","")&amp;" "&amp;IFERROR(INDEX(FormData,$W8,f_Org2)&amp;"","")))</f>
        <v/>
      </c>
      <c r="G8" s="16">
        <f>IF($W8="","",IFERROR(INDEX(FormData,$W8,f_Region)&amp;"",""))</f>
        <v/>
      </c>
      <c r="H8" s="16">
        <f>IF($W8="","",IFERROR(IF(SUMPRODUCT(MAX((SitKW&lt;&gt;"")*ISNUMBER(SEARCH(SitKW,INDEX(FormData,$W8,f_Sit)&amp;""))*(ROW(SitKW)-MIN(ROW(SitKW))+1)))=0,"",INDEX(SitVal,SUMPRODUCT(MAX((SitKW&lt;&gt;"")*ISNUMBER(SEARCH(SitKW,INDEX(FormData,$W8,f_Sit)&amp;""))*(ROW(SitKW)-MIN(ROW(SitKW))+1))))),""))</f>
        <v/>
      </c>
      <c r="I8" s="14">
        <f>IF($W8="","",IFERROR(INDEX(FormData,$W8,f_Appr)&amp;"",""))</f>
        <v/>
      </c>
      <c r="J8" s="16">
        <f>IF($W8="","",IFERROR(INDEX(FormData,$W8,f_Trade)&amp;"",""))</f>
        <v/>
      </c>
      <c r="K8" s="16" t="n"/>
      <c r="L8" s="17" t="n"/>
      <c r="M8" s="16" t="n"/>
      <c r="N8" s="17" t="n"/>
      <c r="O8" s="14" t="n"/>
      <c r="P8" s="14" t="n"/>
      <c r="Q8" s="18" t="n"/>
      <c r="R8" s="18" t="n"/>
      <c r="S8" s="13">
        <f>IF($P8&lt;&gt;"✓","",IF($R8&lt;&gt;"","Done",IF($Q8="","Open — no date",IF($Q8&lt;TODAY(),"Overdue",IF($Q8-TODAY()&lt;=DueSoon,"Due soon","Scheduled")))))</f>
        <v/>
      </c>
      <c r="T8" s="14">
        <f>IF($W8="","",IFERROR(IF(INDEX(FormData,$W8,f_Consent)&amp;""="","",IF(ISNUMBER(SEARCH("yes",INDEX(FormData,$W8,f_Consent))),"Yes","No")),""))</f>
        <v/>
      </c>
      <c r="U8" s="14" t="n"/>
      <c r="V8" s="13">
        <f>IF($U8="","",IF($W8="","not found","✓"))</f>
        <v/>
      </c>
      <c r="W8">
        <f>IF($U8="","",IFERROR(MATCH($U8,INDEX(FormData,0,f_Id),0),IFERROR(MATCH(--$U8,INDEX(FormData,0,f_Id),0),IFERROR(MATCH($U8&amp;"",INDEX(FormData,0,f_Id),0),""))))</f>
        <v/>
      </c>
      <c r="X8">
        <f>IF(AND($B8&lt;&gt;"",$B8='Event Report'!$C$3),ROW(),"")</f>
        <v/>
      </c>
      <c r="Y8">
        <f>IF(AND($P8="✓",$R8=""),IF($Q8="",90000,$Q8)+ROW()/100000,"")</f>
        <v/>
      </c>
      <c r="Z8">
        <f>IF(OR($U8&lt;&gt;"",$D8&lt;&gt;"",$E8&lt;&gt;"",$N8&lt;&gt;""),1,"")</f>
        <v/>
      </c>
    </row>
    <row r="9">
      <c r="A9" s="13" t="inlineStr">
        <is>
          <t>P-0005</t>
        </is>
      </c>
      <c r="B9" s="14">
        <f>IF(AND($U9="",$C9=""),"",IFERROR(INDEX(EvID,MATCH(INDEX(FormData,$W9,f_Event),EvID,0)),IFERROR(INDEX(EvID,MATCH(INDEX(FormData,$W9,f_Event),EvName,0)),IFERROR(INDEX(EvID,MATCH(INT($C9),EvDate,0)),""))))</f>
        <v/>
      </c>
      <c r="C9" s="15">
        <f>IF($W9="","",INDEX(FormData,$W9,f_Time))</f>
        <v/>
      </c>
      <c r="D9" s="14">
        <f>IF($W9="","",IFERROR(UPPER(LEFT(TRIM(INDEX(FormData,$W9,f_Name)),1)&amp;IFERROR(MID(TRIM(INDEX(FormData,$W9,f_Name)),FIND("^",SUBSTITUTE(TRIM(INDEX(FormData,$W9,f_Name))," ","^",LEN(TRIM(INDEX(FormData,$W9,f_Name)))-LEN(SUBSTITUTE(TRIM(INDEX(FormData,$W9,f_Name))," ",""))))+1,1),"")),""))</f>
        <v/>
      </c>
      <c r="E9" s="16">
        <f>IF($W9="","",IFERROR(IF(SUMPRODUCT(MAX((WhoKW&lt;&gt;"")*ISNUMBER(SEARCH(WhoKW,INDEX(FormData,$W9,f_Who)&amp;""))*(ROW(WhoKW)-MIN(ROW(WhoKW))+1)))=0,"",INDEX(WhoVal,SUMPRODUCT(MAX((WhoKW&lt;&gt;"")*ISNUMBER(SEARCH(WhoKW,INDEX(FormData,$W9,f_Who)&amp;""))*(ROW(WhoKW)-MIN(ROW(WhoKW))+1))))),""))</f>
        <v/>
      </c>
      <c r="F9" s="17">
        <f>IF($W9="","",TRIM(IFERROR(INDEX(FormData,$W9,f_Org1)&amp;"","")&amp;" "&amp;IFERROR(INDEX(FormData,$W9,f_Org2)&amp;"","")))</f>
        <v/>
      </c>
      <c r="G9" s="16">
        <f>IF($W9="","",IFERROR(INDEX(FormData,$W9,f_Region)&amp;"",""))</f>
        <v/>
      </c>
      <c r="H9" s="16">
        <f>IF($W9="","",IFERROR(IF(SUMPRODUCT(MAX((SitKW&lt;&gt;"")*ISNUMBER(SEARCH(SitKW,INDEX(FormData,$W9,f_Sit)&amp;""))*(ROW(SitKW)-MIN(ROW(SitKW))+1)))=0,"",INDEX(SitVal,SUMPRODUCT(MAX((SitKW&lt;&gt;"")*ISNUMBER(SEARCH(SitKW,INDEX(FormData,$W9,f_Sit)&amp;""))*(ROW(SitKW)-MIN(ROW(SitKW))+1))))),""))</f>
        <v/>
      </c>
      <c r="I9" s="14">
        <f>IF($W9="","",IFERROR(INDEX(FormData,$W9,f_Appr)&amp;"",""))</f>
        <v/>
      </c>
      <c r="J9" s="16">
        <f>IF($W9="","",IFERROR(INDEX(FormData,$W9,f_Trade)&amp;"",""))</f>
        <v/>
      </c>
      <c r="K9" s="16" t="n"/>
      <c r="L9" s="17" t="n"/>
      <c r="M9" s="16" t="n"/>
      <c r="N9" s="17" t="n"/>
      <c r="O9" s="14" t="n"/>
      <c r="P9" s="14" t="n"/>
      <c r="Q9" s="18" t="n"/>
      <c r="R9" s="18" t="n"/>
      <c r="S9" s="13">
        <f>IF($P9&lt;&gt;"✓","",IF($R9&lt;&gt;"","Done",IF($Q9="","Open — no date",IF($Q9&lt;TODAY(),"Overdue",IF($Q9-TODAY()&lt;=DueSoon,"Due soon","Scheduled")))))</f>
        <v/>
      </c>
      <c r="T9" s="14">
        <f>IF($W9="","",IFERROR(IF(INDEX(FormData,$W9,f_Consent)&amp;""="","",IF(ISNUMBER(SEARCH("yes",INDEX(FormData,$W9,f_Consent))),"Yes","No")),""))</f>
        <v/>
      </c>
      <c r="U9" s="14" t="n"/>
      <c r="V9" s="13">
        <f>IF($U9="","",IF($W9="","not found","✓"))</f>
        <v/>
      </c>
      <c r="W9">
        <f>IF($U9="","",IFERROR(MATCH($U9,INDEX(FormData,0,f_Id),0),IFERROR(MATCH(--$U9,INDEX(FormData,0,f_Id),0),IFERROR(MATCH($U9&amp;"",INDEX(FormData,0,f_Id),0),""))))</f>
        <v/>
      </c>
      <c r="X9">
        <f>IF(AND($B9&lt;&gt;"",$B9='Event Report'!$C$3),ROW(),"")</f>
        <v/>
      </c>
      <c r="Y9">
        <f>IF(AND($P9="✓",$R9=""),IF($Q9="",90000,$Q9)+ROW()/100000,"")</f>
        <v/>
      </c>
      <c r="Z9">
        <f>IF(OR($U9&lt;&gt;"",$D9&lt;&gt;"",$E9&lt;&gt;"",$N9&lt;&gt;""),1,"")</f>
        <v/>
      </c>
    </row>
    <row r="10">
      <c r="A10" s="13" t="inlineStr">
        <is>
          <t>P-0006</t>
        </is>
      </c>
      <c r="B10" s="14">
        <f>IF(AND($U10="",$C10=""),"",IFERROR(INDEX(EvID,MATCH(INDEX(FormData,$W10,f_Event),EvID,0)),IFERROR(INDEX(EvID,MATCH(INDEX(FormData,$W10,f_Event),EvName,0)),IFERROR(INDEX(EvID,MATCH(INT($C10),EvDate,0)),""))))</f>
        <v/>
      </c>
      <c r="C10" s="15">
        <f>IF($W10="","",INDEX(FormData,$W10,f_Time))</f>
        <v/>
      </c>
      <c r="D10" s="14">
        <f>IF($W10="","",IFERROR(UPPER(LEFT(TRIM(INDEX(FormData,$W10,f_Name)),1)&amp;IFERROR(MID(TRIM(INDEX(FormData,$W10,f_Name)),FIND("^",SUBSTITUTE(TRIM(INDEX(FormData,$W10,f_Name))," ","^",LEN(TRIM(INDEX(FormData,$W10,f_Name)))-LEN(SUBSTITUTE(TRIM(INDEX(FormData,$W10,f_Name))," ",""))))+1,1),"")),""))</f>
        <v/>
      </c>
      <c r="E10" s="16">
        <f>IF($W10="","",IFERROR(IF(SUMPRODUCT(MAX((WhoKW&lt;&gt;"")*ISNUMBER(SEARCH(WhoKW,INDEX(FormData,$W10,f_Who)&amp;""))*(ROW(WhoKW)-MIN(ROW(WhoKW))+1)))=0,"",INDEX(WhoVal,SUMPRODUCT(MAX((WhoKW&lt;&gt;"")*ISNUMBER(SEARCH(WhoKW,INDEX(FormData,$W10,f_Who)&amp;""))*(ROW(WhoKW)-MIN(ROW(WhoKW))+1))))),""))</f>
        <v/>
      </c>
      <c r="F10" s="17">
        <f>IF($W10="","",TRIM(IFERROR(INDEX(FormData,$W10,f_Org1)&amp;"","")&amp;" "&amp;IFERROR(INDEX(FormData,$W10,f_Org2)&amp;"","")))</f>
        <v/>
      </c>
      <c r="G10" s="16">
        <f>IF($W10="","",IFERROR(INDEX(FormData,$W10,f_Region)&amp;"",""))</f>
        <v/>
      </c>
      <c r="H10" s="16">
        <f>IF($W10="","",IFERROR(IF(SUMPRODUCT(MAX((SitKW&lt;&gt;"")*ISNUMBER(SEARCH(SitKW,INDEX(FormData,$W10,f_Sit)&amp;""))*(ROW(SitKW)-MIN(ROW(SitKW))+1)))=0,"",INDEX(SitVal,SUMPRODUCT(MAX((SitKW&lt;&gt;"")*ISNUMBER(SEARCH(SitKW,INDEX(FormData,$W10,f_Sit)&amp;""))*(ROW(SitKW)-MIN(ROW(SitKW))+1))))),""))</f>
        <v/>
      </c>
      <c r="I10" s="14">
        <f>IF($W10="","",IFERROR(INDEX(FormData,$W10,f_Appr)&amp;"",""))</f>
        <v/>
      </c>
      <c r="J10" s="16">
        <f>IF($W10="","",IFERROR(INDEX(FormData,$W10,f_Trade)&amp;"",""))</f>
        <v/>
      </c>
      <c r="K10" s="16" t="n"/>
      <c r="L10" s="17" t="n"/>
      <c r="M10" s="16" t="n"/>
      <c r="N10" s="17" t="n"/>
      <c r="O10" s="14" t="n"/>
      <c r="P10" s="14" t="n"/>
      <c r="Q10" s="18" t="n"/>
      <c r="R10" s="18" t="n"/>
      <c r="S10" s="13">
        <f>IF($P10&lt;&gt;"✓","",IF($R10&lt;&gt;"","Done",IF($Q10="","Open — no date",IF($Q10&lt;TODAY(),"Overdue",IF($Q10-TODAY()&lt;=DueSoon,"Due soon","Scheduled")))))</f>
        <v/>
      </c>
      <c r="T10" s="14">
        <f>IF($W10="","",IFERROR(IF(INDEX(FormData,$W10,f_Consent)&amp;""="","",IF(ISNUMBER(SEARCH("yes",INDEX(FormData,$W10,f_Consent))),"Yes","No")),""))</f>
        <v/>
      </c>
      <c r="U10" s="14" t="n"/>
      <c r="V10" s="13">
        <f>IF($U10="","",IF($W10="","not found","✓"))</f>
        <v/>
      </c>
      <c r="W10">
        <f>IF($U10="","",IFERROR(MATCH($U10,INDEX(FormData,0,f_Id),0),IFERROR(MATCH(--$U10,INDEX(FormData,0,f_Id),0),IFERROR(MATCH($U10&amp;"",INDEX(FormData,0,f_Id),0),""))))</f>
        <v/>
      </c>
      <c r="X10">
        <f>IF(AND($B10&lt;&gt;"",$B10='Event Report'!$C$3),ROW(),"")</f>
        <v/>
      </c>
      <c r="Y10">
        <f>IF(AND($P10="✓",$R10=""),IF($Q10="",90000,$Q10)+ROW()/100000,"")</f>
        <v/>
      </c>
      <c r="Z10">
        <f>IF(OR($U10&lt;&gt;"",$D10&lt;&gt;"",$E10&lt;&gt;"",$N10&lt;&gt;""),1,"")</f>
        <v/>
      </c>
    </row>
    <row r="11">
      <c r="A11" s="13" t="inlineStr">
        <is>
          <t>P-0007</t>
        </is>
      </c>
      <c r="B11" s="14">
        <f>IF(AND($U11="",$C11=""),"",IFERROR(INDEX(EvID,MATCH(INDEX(FormData,$W11,f_Event),EvID,0)),IFERROR(INDEX(EvID,MATCH(INDEX(FormData,$W11,f_Event),EvName,0)),IFERROR(INDEX(EvID,MATCH(INT($C11),EvDate,0)),""))))</f>
        <v/>
      </c>
      <c r="C11" s="15">
        <f>IF($W11="","",INDEX(FormData,$W11,f_Time))</f>
        <v/>
      </c>
      <c r="D11" s="14">
        <f>IF($W11="","",IFERROR(UPPER(LEFT(TRIM(INDEX(FormData,$W11,f_Name)),1)&amp;IFERROR(MID(TRIM(INDEX(FormData,$W11,f_Name)),FIND("^",SUBSTITUTE(TRIM(INDEX(FormData,$W11,f_Name))," ","^",LEN(TRIM(INDEX(FormData,$W11,f_Name)))-LEN(SUBSTITUTE(TRIM(INDEX(FormData,$W11,f_Name))," ",""))))+1,1),"")),""))</f>
        <v/>
      </c>
      <c r="E11" s="16">
        <f>IF($W11="","",IFERROR(IF(SUMPRODUCT(MAX((WhoKW&lt;&gt;"")*ISNUMBER(SEARCH(WhoKW,INDEX(FormData,$W11,f_Who)&amp;""))*(ROW(WhoKW)-MIN(ROW(WhoKW))+1)))=0,"",INDEX(WhoVal,SUMPRODUCT(MAX((WhoKW&lt;&gt;"")*ISNUMBER(SEARCH(WhoKW,INDEX(FormData,$W11,f_Who)&amp;""))*(ROW(WhoKW)-MIN(ROW(WhoKW))+1))))),""))</f>
        <v/>
      </c>
      <c r="F11" s="17">
        <f>IF($W11="","",TRIM(IFERROR(INDEX(FormData,$W11,f_Org1)&amp;"","")&amp;" "&amp;IFERROR(INDEX(FormData,$W11,f_Org2)&amp;"","")))</f>
        <v/>
      </c>
      <c r="G11" s="16">
        <f>IF($W11="","",IFERROR(INDEX(FormData,$W11,f_Region)&amp;"",""))</f>
        <v/>
      </c>
      <c r="H11" s="16">
        <f>IF($W11="","",IFERROR(IF(SUMPRODUCT(MAX((SitKW&lt;&gt;"")*ISNUMBER(SEARCH(SitKW,INDEX(FormData,$W11,f_Sit)&amp;""))*(ROW(SitKW)-MIN(ROW(SitKW))+1)))=0,"",INDEX(SitVal,SUMPRODUCT(MAX((SitKW&lt;&gt;"")*ISNUMBER(SEARCH(SitKW,INDEX(FormData,$W11,f_Sit)&amp;""))*(ROW(SitKW)-MIN(ROW(SitKW))+1))))),""))</f>
        <v/>
      </c>
      <c r="I11" s="14">
        <f>IF($W11="","",IFERROR(INDEX(FormData,$W11,f_Appr)&amp;"",""))</f>
        <v/>
      </c>
      <c r="J11" s="16">
        <f>IF($W11="","",IFERROR(INDEX(FormData,$W11,f_Trade)&amp;"",""))</f>
        <v/>
      </c>
      <c r="K11" s="16" t="n"/>
      <c r="L11" s="17" t="n"/>
      <c r="M11" s="16" t="n"/>
      <c r="N11" s="17" t="n"/>
      <c r="O11" s="14" t="n"/>
      <c r="P11" s="14" t="n"/>
      <c r="Q11" s="18" t="n"/>
      <c r="R11" s="18" t="n"/>
      <c r="S11" s="13">
        <f>IF($P11&lt;&gt;"✓","",IF($R11&lt;&gt;"","Done",IF($Q11="","Open — no date",IF($Q11&lt;TODAY(),"Overdue",IF($Q11-TODAY()&lt;=DueSoon,"Due soon","Scheduled")))))</f>
        <v/>
      </c>
      <c r="T11" s="14">
        <f>IF($W11="","",IFERROR(IF(INDEX(FormData,$W11,f_Consent)&amp;""="","",IF(ISNUMBER(SEARCH("yes",INDEX(FormData,$W11,f_Consent))),"Yes","No")),""))</f>
        <v/>
      </c>
      <c r="U11" s="14" t="n"/>
      <c r="V11" s="13">
        <f>IF($U11="","",IF($W11="","not found","✓"))</f>
        <v/>
      </c>
      <c r="W11">
        <f>IF($U11="","",IFERROR(MATCH($U11,INDEX(FormData,0,f_Id),0),IFERROR(MATCH(--$U11,INDEX(FormData,0,f_Id),0),IFERROR(MATCH($U11&amp;"",INDEX(FormData,0,f_Id),0),""))))</f>
        <v/>
      </c>
      <c r="X11">
        <f>IF(AND($B11&lt;&gt;"",$B11='Event Report'!$C$3),ROW(),"")</f>
        <v/>
      </c>
      <c r="Y11">
        <f>IF(AND($P11="✓",$R11=""),IF($Q11="",90000,$Q11)+ROW()/100000,"")</f>
        <v/>
      </c>
      <c r="Z11">
        <f>IF(OR($U11&lt;&gt;"",$D11&lt;&gt;"",$E11&lt;&gt;"",$N11&lt;&gt;""),1,"")</f>
        <v/>
      </c>
    </row>
    <row r="12">
      <c r="A12" s="13" t="inlineStr">
        <is>
          <t>P-0008</t>
        </is>
      </c>
      <c r="B12" s="14">
        <f>IF(AND($U12="",$C12=""),"",IFERROR(INDEX(EvID,MATCH(INDEX(FormData,$W12,f_Event),EvID,0)),IFERROR(INDEX(EvID,MATCH(INDEX(FormData,$W12,f_Event),EvName,0)),IFERROR(INDEX(EvID,MATCH(INT($C12),EvDate,0)),""))))</f>
        <v/>
      </c>
      <c r="C12" s="15">
        <f>IF($W12="","",INDEX(FormData,$W12,f_Time))</f>
        <v/>
      </c>
      <c r="D12" s="14">
        <f>IF($W12="","",IFERROR(UPPER(LEFT(TRIM(INDEX(FormData,$W12,f_Name)),1)&amp;IFERROR(MID(TRIM(INDEX(FormData,$W12,f_Name)),FIND("^",SUBSTITUTE(TRIM(INDEX(FormData,$W12,f_Name))," ","^",LEN(TRIM(INDEX(FormData,$W12,f_Name)))-LEN(SUBSTITUTE(TRIM(INDEX(FormData,$W12,f_Name))," ",""))))+1,1),"")),""))</f>
        <v/>
      </c>
      <c r="E12" s="16">
        <f>IF($W12="","",IFERROR(IF(SUMPRODUCT(MAX((WhoKW&lt;&gt;"")*ISNUMBER(SEARCH(WhoKW,INDEX(FormData,$W12,f_Who)&amp;""))*(ROW(WhoKW)-MIN(ROW(WhoKW))+1)))=0,"",INDEX(WhoVal,SUMPRODUCT(MAX((WhoKW&lt;&gt;"")*ISNUMBER(SEARCH(WhoKW,INDEX(FormData,$W12,f_Who)&amp;""))*(ROW(WhoKW)-MIN(ROW(WhoKW))+1))))),""))</f>
        <v/>
      </c>
      <c r="F12" s="17">
        <f>IF($W12="","",TRIM(IFERROR(INDEX(FormData,$W12,f_Org1)&amp;"","")&amp;" "&amp;IFERROR(INDEX(FormData,$W12,f_Org2)&amp;"","")))</f>
        <v/>
      </c>
      <c r="G12" s="16">
        <f>IF($W12="","",IFERROR(INDEX(FormData,$W12,f_Region)&amp;"",""))</f>
        <v/>
      </c>
      <c r="H12" s="16">
        <f>IF($W12="","",IFERROR(IF(SUMPRODUCT(MAX((SitKW&lt;&gt;"")*ISNUMBER(SEARCH(SitKW,INDEX(FormData,$W12,f_Sit)&amp;""))*(ROW(SitKW)-MIN(ROW(SitKW))+1)))=0,"",INDEX(SitVal,SUMPRODUCT(MAX((SitKW&lt;&gt;"")*ISNUMBER(SEARCH(SitKW,INDEX(FormData,$W12,f_Sit)&amp;""))*(ROW(SitKW)-MIN(ROW(SitKW))+1))))),""))</f>
        <v/>
      </c>
      <c r="I12" s="14">
        <f>IF($W12="","",IFERROR(INDEX(FormData,$W12,f_Appr)&amp;"",""))</f>
        <v/>
      </c>
      <c r="J12" s="16">
        <f>IF($W12="","",IFERROR(INDEX(FormData,$W12,f_Trade)&amp;"",""))</f>
        <v/>
      </c>
      <c r="K12" s="16" t="n"/>
      <c r="L12" s="17" t="n"/>
      <c r="M12" s="16" t="n"/>
      <c r="N12" s="17" t="n"/>
      <c r="O12" s="14" t="n"/>
      <c r="P12" s="14" t="n"/>
      <c r="Q12" s="18" t="n"/>
      <c r="R12" s="18" t="n"/>
      <c r="S12" s="13">
        <f>IF($P12&lt;&gt;"✓","",IF($R12&lt;&gt;"","Done",IF($Q12="","Open — no date",IF($Q12&lt;TODAY(),"Overdue",IF($Q12-TODAY()&lt;=DueSoon,"Due soon","Scheduled")))))</f>
        <v/>
      </c>
      <c r="T12" s="14">
        <f>IF($W12="","",IFERROR(IF(INDEX(FormData,$W12,f_Consent)&amp;""="","",IF(ISNUMBER(SEARCH("yes",INDEX(FormData,$W12,f_Consent))),"Yes","No")),""))</f>
        <v/>
      </c>
      <c r="U12" s="14" t="n"/>
      <c r="V12" s="13">
        <f>IF($U12="","",IF($W12="","not found","✓"))</f>
        <v/>
      </c>
      <c r="W12">
        <f>IF($U12="","",IFERROR(MATCH($U12,INDEX(FormData,0,f_Id),0),IFERROR(MATCH(--$U12,INDEX(FormData,0,f_Id),0),IFERROR(MATCH($U12&amp;"",INDEX(FormData,0,f_Id),0),""))))</f>
        <v/>
      </c>
      <c r="X12">
        <f>IF(AND($B12&lt;&gt;"",$B12='Event Report'!$C$3),ROW(),"")</f>
        <v/>
      </c>
      <c r="Y12">
        <f>IF(AND($P12="✓",$R12=""),IF($Q12="",90000,$Q12)+ROW()/100000,"")</f>
        <v/>
      </c>
      <c r="Z12">
        <f>IF(OR($U12&lt;&gt;"",$D12&lt;&gt;"",$E12&lt;&gt;"",$N12&lt;&gt;""),1,"")</f>
        <v/>
      </c>
    </row>
    <row r="13">
      <c r="A13" s="13" t="inlineStr">
        <is>
          <t>P-0009</t>
        </is>
      </c>
      <c r="B13" s="14">
        <f>IF(AND($U13="",$C13=""),"",IFERROR(INDEX(EvID,MATCH(INDEX(FormData,$W13,f_Event),EvID,0)),IFERROR(INDEX(EvID,MATCH(INDEX(FormData,$W13,f_Event),EvName,0)),IFERROR(INDEX(EvID,MATCH(INT($C13),EvDate,0)),""))))</f>
        <v/>
      </c>
      <c r="C13" s="15">
        <f>IF($W13="","",INDEX(FormData,$W13,f_Time))</f>
        <v/>
      </c>
      <c r="D13" s="14">
        <f>IF($W13="","",IFERROR(UPPER(LEFT(TRIM(INDEX(FormData,$W13,f_Name)),1)&amp;IFERROR(MID(TRIM(INDEX(FormData,$W13,f_Name)),FIND("^",SUBSTITUTE(TRIM(INDEX(FormData,$W13,f_Name))," ","^",LEN(TRIM(INDEX(FormData,$W13,f_Name)))-LEN(SUBSTITUTE(TRIM(INDEX(FormData,$W13,f_Name))," ",""))))+1,1),"")),""))</f>
        <v/>
      </c>
      <c r="E13" s="16">
        <f>IF($W13="","",IFERROR(IF(SUMPRODUCT(MAX((WhoKW&lt;&gt;"")*ISNUMBER(SEARCH(WhoKW,INDEX(FormData,$W13,f_Who)&amp;""))*(ROW(WhoKW)-MIN(ROW(WhoKW))+1)))=0,"",INDEX(WhoVal,SUMPRODUCT(MAX((WhoKW&lt;&gt;"")*ISNUMBER(SEARCH(WhoKW,INDEX(FormData,$W13,f_Who)&amp;""))*(ROW(WhoKW)-MIN(ROW(WhoKW))+1))))),""))</f>
        <v/>
      </c>
      <c r="F13" s="17">
        <f>IF($W13="","",TRIM(IFERROR(INDEX(FormData,$W13,f_Org1)&amp;"","")&amp;" "&amp;IFERROR(INDEX(FormData,$W13,f_Org2)&amp;"","")))</f>
        <v/>
      </c>
      <c r="G13" s="16">
        <f>IF($W13="","",IFERROR(INDEX(FormData,$W13,f_Region)&amp;"",""))</f>
        <v/>
      </c>
      <c r="H13" s="16">
        <f>IF($W13="","",IFERROR(IF(SUMPRODUCT(MAX((SitKW&lt;&gt;"")*ISNUMBER(SEARCH(SitKW,INDEX(FormData,$W13,f_Sit)&amp;""))*(ROW(SitKW)-MIN(ROW(SitKW))+1)))=0,"",INDEX(SitVal,SUMPRODUCT(MAX((SitKW&lt;&gt;"")*ISNUMBER(SEARCH(SitKW,INDEX(FormData,$W13,f_Sit)&amp;""))*(ROW(SitKW)-MIN(ROW(SitKW))+1))))),""))</f>
        <v/>
      </c>
      <c r="I13" s="14">
        <f>IF($W13="","",IFERROR(INDEX(FormData,$W13,f_Appr)&amp;"",""))</f>
        <v/>
      </c>
      <c r="J13" s="16">
        <f>IF($W13="","",IFERROR(INDEX(FormData,$W13,f_Trade)&amp;"",""))</f>
        <v/>
      </c>
      <c r="K13" s="16" t="n"/>
      <c r="L13" s="17" t="n"/>
      <c r="M13" s="16" t="n"/>
      <c r="N13" s="17" t="n"/>
      <c r="O13" s="14" t="n"/>
      <c r="P13" s="14" t="n"/>
      <c r="Q13" s="18" t="n"/>
      <c r="R13" s="18" t="n"/>
      <c r="S13" s="13">
        <f>IF($P13&lt;&gt;"✓","",IF($R13&lt;&gt;"","Done",IF($Q13="","Open — no date",IF($Q13&lt;TODAY(),"Overdue",IF($Q13-TODAY()&lt;=DueSoon,"Due soon","Scheduled")))))</f>
        <v/>
      </c>
      <c r="T13" s="14">
        <f>IF($W13="","",IFERROR(IF(INDEX(FormData,$W13,f_Consent)&amp;""="","",IF(ISNUMBER(SEARCH("yes",INDEX(FormData,$W13,f_Consent))),"Yes","No")),""))</f>
        <v/>
      </c>
      <c r="U13" s="14" t="n"/>
      <c r="V13" s="13">
        <f>IF($U13="","",IF($W13="","not found","✓"))</f>
        <v/>
      </c>
      <c r="W13">
        <f>IF($U13="","",IFERROR(MATCH($U13,INDEX(FormData,0,f_Id),0),IFERROR(MATCH(--$U13,INDEX(FormData,0,f_Id),0),IFERROR(MATCH($U13&amp;"",INDEX(FormData,0,f_Id),0),""))))</f>
        <v/>
      </c>
      <c r="X13">
        <f>IF(AND($B13&lt;&gt;"",$B13='Event Report'!$C$3),ROW(),"")</f>
        <v/>
      </c>
      <c r="Y13">
        <f>IF(AND($P13="✓",$R13=""),IF($Q13="",90000,$Q13)+ROW()/100000,"")</f>
        <v/>
      </c>
      <c r="Z13">
        <f>IF(OR($U13&lt;&gt;"",$D13&lt;&gt;"",$E13&lt;&gt;"",$N13&lt;&gt;""),1,"")</f>
        <v/>
      </c>
    </row>
    <row r="14">
      <c r="A14" s="13" t="inlineStr">
        <is>
          <t>P-0010</t>
        </is>
      </c>
      <c r="B14" s="14">
        <f>IF(AND($U14="",$C14=""),"",IFERROR(INDEX(EvID,MATCH(INDEX(FormData,$W14,f_Event),EvID,0)),IFERROR(INDEX(EvID,MATCH(INDEX(FormData,$W14,f_Event),EvName,0)),IFERROR(INDEX(EvID,MATCH(INT($C14),EvDate,0)),""))))</f>
        <v/>
      </c>
      <c r="C14" s="15">
        <f>IF($W14="","",INDEX(FormData,$W14,f_Time))</f>
        <v/>
      </c>
      <c r="D14" s="14">
        <f>IF($W14="","",IFERROR(UPPER(LEFT(TRIM(INDEX(FormData,$W14,f_Name)),1)&amp;IFERROR(MID(TRIM(INDEX(FormData,$W14,f_Name)),FIND("^",SUBSTITUTE(TRIM(INDEX(FormData,$W14,f_Name))," ","^",LEN(TRIM(INDEX(FormData,$W14,f_Name)))-LEN(SUBSTITUTE(TRIM(INDEX(FormData,$W14,f_Name))," ",""))))+1,1),"")),""))</f>
        <v/>
      </c>
      <c r="E14" s="16">
        <f>IF($W14="","",IFERROR(IF(SUMPRODUCT(MAX((WhoKW&lt;&gt;"")*ISNUMBER(SEARCH(WhoKW,INDEX(FormData,$W14,f_Who)&amp;""))*(ROW(WhoKW)-MIN(ROW(WhoKW))+1)))=0,"",INDEX(WhoVal,SUMPRODUCT(MAX((WhoKW&lt;&gt;"")*ISNUMBER(SEARCH(WhoKW,INDEX(FormData,$W14,f_Who)&amp;""))*(ROW(WhoKW)-MIN(ROW(WhoKW))+1))))),""))</f>
        <v/>
      </c>
      <c r="F14" s="17">
        <f>IF($W14="","",TRIM(IFERROR(INDEX(FormData,$W14,f_Org1)&amp;"","")&amp;" "&amp;IFERROR(INDEX(FormData,$W14,f_Org2)&amp;"","")))</f>
        <v/>
      </c>
      <c r="G14" s="16">
        <f>IF($W14="","",IFERROR(INDEX(FormData,$W14,f_Region)&amp;"",""))</f>
        <v/>
      </c>
      <c r="H14" s="16">
        <f>IF($W14="","",IFERROR(IF(SUMPRODUCT(MAX((SitKW&lt;&gt;"")*ISNUMBER(SEARCH(SitKW,INDEX(FormData,$W14,f_Sit)&amp;""))*(ROW(SitKW)-MIN(ROW(SitKW))+1)))=0,"",INDEX(SitVal,SUMPRODUCT(MAX((SitKW&lt;&gt;"")*ISNUMBER(SEARCH(SitKW,INDEX(FormData,$W14,f_Sit)&amp;""))*(ROW(SitKW)-MIN(ROW(SitKW))+1))))),""))</f>
        <v/>
      </c>
      <c r="I14" s="14">
        <f>IF($W14="","",IFERROR(INDEX(FormData,$W14,f_Appr)&amp;"",""))</f>
        <v/>
      </c>
      <c r="J14" s="16">
        <f>IF($W14="","",IFERROR(INDEX(FormData,$W14,f_Trade)&amp;"",""))</f>
        <v/>
      </c>
      <c r="K14" s="16" t="n"/>
      <c r="L14" s="17" t="n"/>
      <c r="M14" s="16" t="n"/>
      <c r="N14" s="17" t="n"/>
      <c r="O14" s="14" t="n"/>
      <c r="P14" s="14" t="n"/>
      <c r="Q14" s="18" t="n"/>
      <c r="R14" s="18" t="n"/>
      <c r="S14" s="13">
        <f>IF($P14&lt;&gt;"✓","",IF($R14&lt;&gt;"","Done",IF($Q14="","Open — no date",IF($Q14&lt;TODAY(),"Overdue",IF($Q14-TODAY()&lt;=DueSoon,"Due soon","Scheduled")))))</f>
        <v/>
      </c>
      <c r="T14" s="14">
        <f>IF($W14="","",IFERROR(IF(INDEX(FormData,$W14,f_Consent)&amp;""="","",IF(ISNUMBER(SEARCH("yes",INDEX(FormData,$W14,f_Consent))),"Yes","No")),""))</f>
        <v/>
      </c>
      <c r="U14" s="14" t="n"/>
      <c r="V14" s="13">
        <f>IF($U14="","",IF($W14="","not found","✓"))</f>
        <v/>
      </c>
      <c r="W14">
        <f>IF($U14="","",IFERROR(MATCH($U14,INDEX(FormData,0,f_Id),0),IFERROR(MATCH(--$U14,INDEX(FormData,0,f_Id),0),IFERROR(MATCH($U14&amp;"",INDEX(FormData,0,f_Id),0),""))))</f>
        <v/>
      </c>
      <c r="X14">
        <f>IF(AND($B14&lt;&gt;"",$B14='Event Report'!$C$3),ROW(),"")</f>
        <v/>
      </c>
      <c r="Y14">
        <f>IF(AND($P14="✓",$R14=""),IF($Q14="",90000,$Q14)+ROW()/100000,"")</f>
        <v/>
      </c>
      <c r="Z14">
        <f>IF(OR($U14&lt;&gt;"",$D14&lt;&gt;"",$E14&lt;&gt;"",$N14&lt;&gt;""),1,"")</f>
        <v/>
      </c>
    </row>
    <row r="15">
      <c r="A15" s="13" t="inlineStr">
        <is>
          <t>P-0011</t>
        </is>
      </c>
      <c r="B15" s="14">
        <f>IF(AND($U15="",$C15=""),"",IFERROR(INDEX(EvID,MATCH(INDEX(FormData,$W15,f_Event),EvID,0)),IFERROR(INDEX(EvID,MATCH(INDEX(FormData,$W15,f_Event),EvName,0)),IFERROR(INDEX(EvID,MATCH(INT($C15),EvDate,0)),""))))</f>
        <v/>
      </c>
      <c r="C15" s="15">
        <f>IF($W15="","",INDEX(FormData,$W15,f_Time))</f>
        <v/>
      </c>
      <c r="D15" s="14">
        <f>IF($W15="","",IFERROR(UPPER(LEFT(TRIM(INDEX(FormData,$W15,f_Name)),1)&amp;IFERROR(MID(TRIM(INDEX(FormData,$W15,f_Name)),FIND("^",SUBSTITUTE(TRIM(INDEX(FormData,$W15,f_Name))," ","^",LEN(TRIM(INDEX(FormData,$W15,f_Name)))-LEN(SUBSTITUTE(TRIM(INDEX(FormData,$W15,f_Name))," ",""))))+1,1),"")),""))</f>
        <v/>
      </c>
      <c r="E15" s="16">
        <f>IF($W15="","",IFERROR(IF(SUMPRODUCT(MAX((WhoKW&lt;&gt;"")*ISNUMBER(SEARCH(WhoKW,INDEX(FormData,$W15,f_Who)&amp;""))*(ROW(WhoKW)-MIN(ROW(WhoKW))+1)))=0,"",INDEX(WhoVal,SUMPRODUCT(MAX((WhoKW&lt;&gt;"")*ISNUMBER(SEARCH(WhoKW,INDEX(FormData,$W15,f_Who)&amp;""))*(ROW(WhoKW)-MIN(ROW(WhoKW))+1))))),""))</f>
        <v/>
      </c>
      <c r="F15" s="17">
        <f>IF($W15="","",TRIM(IFERROR(INDEX(FormData,$W15,f_Org1)&amp;"","")&amp;" "&amp;IFERROR(INDEX(FormData,$W15,f_Org2)&amp;"","")))</f>
        <v/>
      </c>
      <c r="G15" s="16">
        <f>IF($W15="","",IFERROR(INDEX(FormData,$W15,f_Region)&amp;"",""))</f>
        <v/>
      </c>
      <c r="H15" s="16">
        <f>IF($W15="","",IFERROR(IF(SUMPRODUCT(MAX((SitKW&lt;&gt;"")*ISNUMBER(SEARCH(SitKW,INDEX(FormData,$W15,f_Sit)&amp;""))*(ROW(SitKW)-MIN(ROW(SitKW))+1)))=0,"",INDEX(SitVal,SUMPRODUCT(MAX((SitKW&lt;&gt;"")*ISNUMBER(SEARCH(SitKW,INDEX(FormData,$W15,f_Sit)&amp;""))*(ROW(SitKW)-MIN(ROW(SitKW))+1))))),""))</f>
        <v/>
      </c>
      <c r="I15" s="14">
        <f>IF($W15="","",IFERROR(INDEX(FormData,$W15,f_Appr)&amp;"",""))</f>
        <v/>
      </c>
      <c r="J15" s="16">
        <f>IF($W15="","",IFERROR(INDEX(FormData,$W15,f_Trade)&amp;"",""))</f>
        <v/>
      </c>
      <c r="K15" s="16" t="n"/>
      <c r="L15" s="17" t="n"/>
      <c r="M15" s="16" t="n"/>
      <c r="N15" s="17" t="n"/>
      <c r="O15" s="14" t="n"/>
      <c r="P15" s="14" t="n"/>
      <c r="Q15" s="18" t="n"/>
      <c r="R15" s="18" t="n"/>
      <c r="S15" s="13">
        <f>IF($P15&lt;&gt;"✓","",IF($R15&lt;&gt;"","Done",IF($Q15="","Open — no date",IF($Q15&lt;TODAY(),"Overdue",IF($Q15-TODAY()&lt;=DueSoon,"Due soon","Scheduled")))))</f>
        <v/>
      </c>
      <c r="T15" s="14">
        <f>IF($W15="","",IFERROR(IF(INDEX(FormData,$W15,f_Consent)&amp;""="","",IF(ISNUMBER(SEARCH("yes",INDEX(FormData,$W15,f_Consent))),"Yes","No")),""))</f>
        <v/>
      </c>
      <c r="U15" s="14" t="n"/>
      <c r="V15" s="13">
        <f>IF($U15="","",IF($W15="","not found","✓"))</f>
        <v/>
      </c>
      <c r="W15">
        <f>IF($U15="","",IFERROR(MATCH($U15,INDEX(FormData,0,f_Id),0),IFERROR(MATCH(--$U15,INDEX(FormData,0,f_Id),0),IFERROR(MATCH($U15&amp;"",INDEX(FormData,0,f_Id),0),""))))</f>
        <v/>
      </c>
      <c r="X15">
        <f>IF(AND($B15&lt;&gt;"",$B15='Event Report'!$C$3),ROW(),"")</f>
        <v/>
      </c>
      <c r="Y15">
        <f>IF(AND($P15="✓",$R15=""),IF($Q15="",90000,$Q15)+ROW()/100000,"")</f>
        <v/>
      </c>
      <c r="Z15">
        <f>IF(OR($U15&lt;&gt;"",$D15&lt;&gt;"",$E15&lt;&gt;"",$N15&lt;&gt;""),1,"")</f>
        <v/>
      </c>
    </row>
    <row r="16">
      <c r="A16" s="13" t="inlineStr">
        <is>
          <t>P-0012</t>
        </is>
      </c>
      <c r="B16" s="14">
        <f>IF(AND($U16="",$C16=""),"",IFERROR(INDEX(EvID,MATCH(INDEX(FormData,$W16,f_Event),EvID,0)),IFERROR(INDEX(EvID,MATCH(INDEX(FormData,$W16,f_Event),EvName,0)),IFERROR(INDEX(EvID,MATCH(INT($C16),EvDate,0)),""))))</f>
        <v/>
      </c>
      <c r="C16" s="15">
        <f>IF($W16="","",INDEX(FormData,$W16,f_Time))</f>
        <v/>
      </c>
      <c r="D16" s="14">
        <f>IF($W16="","",IFERROR(UPPER(LEFT(TRIM(INDEX(FormData,$W16,f_Name)),1)&amp;IFERROR(MID(TRIM(INDEX(FormData,$W16,f_Name)),FIND("^",SUBSTITUTE(TRIM(INDEX(FormData,$W16,f_Name))," ","^",LEN(TRIM(INDEX(FormData,$W16,f_Name)))-LEN(SUBSTITUTE(TRIM(INDEX(FormData,$W16,f_Name))," ",""))))+1,1),"")),""))</f>
        <v/>
      </c>
      <c r="E16" s="16">
        <f>IF($W16="","",IFERROR(IF(SUMPRODUCT(MAX((WhoKW&lt;&gt;"")*ISNUMBER(SEARCH(WhoKW,INDEX(FormData,$W16,f_Who)&amp;""))*(ROW(WhoKW)-MIN(ROW(WhoKW))+1)))=0,"",INDEX(WhoVal,SUMPRODUCT(MAX((WhoKW&lt;&gt;"")*ISNUMBER(SEARCH(WhoKW,INDEX(FormData,$W16,f_Who)&amp;""))*(ROW(WhoKW)-MIN(ROW(WhoKW))+1))))),""))</f>
        <v/>
      </c>
      <c r="F16" s="17">
        <f>IF($W16="","",TRIM(IFERROR(INDEX(FormData,$W16,f_Org1)&amp;"","")&amp;" "&amp;IFERROR(INDEX(FormData,$W16,f_Org2)&amp;"","")))</f>
        <v/>
      </c>
      <c r="G16" s="16">
        <f>IF($W16="","",IFERROR(INDEX(FormData,$W16,f_Region)&amp;"",""))</f>
        <v/>
      </c>
      <c r="H16" s="16">
        <f>IF($W16="","",IFERROR(IF(SUMPRODUCT(MAX((SitKW&lt;&gt;"")*ISNUMBER(SEARCH(SitKW,INDEX(FormData,$W16,f_Sit)&amp;""))*(ROW(SitKW)-MIN(ROW(SitKW))+1)))=0,"",INDEX(SitVal,SUMPRODUCT(MAX((SitKW&lt;&gt;"")*ISNUMBER(SEARCH(SitKW,INDEX(FormData,$W16,f_Sit)&amp;""))*(ROW(SitKW)-MIN(ROW(SitKW))+1))))),""))</f>
        <v/>
      </c>
      <c r="I16" s="14">
        <f>IF($W16="","",IFERROR(INDEX(FormData,$W16,f_Appr)&amp;"",""))</f>
        <v/>
      </c>
      <c r="J16" s="16">
        <f>IF($W16="","",IFERROR(INDEX(FormData,$W16,f_Trade)&amp;"",""))</f>
        <v/>
      </c>
      <c r="K16" s="16" t="n"/>
      <c r="L16" s="17" t="n"/>
      <c r="M16" s="16" t="n"/>
      <c r="N16" s="17" t="n"/>
      <c r="O16" s="14" t="n"/>
      <c r="P16" s="14" t="n"/>
      <c r="Q16" s="18" t="n"/>
      <c r="R16" s="18" t="n"/>
      <c r="S16" s="13">
        <f>IF($P16&lt;&gt;"✓","",IF($R16&lt;&gt;"","Done",IF($Q16="","Open — no date",IF($Q16&lt;TODAY(),"Overdue",IF($Q16-TODAY()&lt;=DueSoon,"Due soon","Scheduled")))))</f>
        <v/>
      </c>
      <c r="T16" s="14">
        <f>IF($W16="","",IFERROR(IF(INDEX(FormData,$W16,f_Consent)&amp;""="","",IF(ISNUMBER(SEARCH("yes",INDEX(FormData,$W16,f_Consent))),"Yes","No")),""))</f>
        <v/>
      </c>
      <c r="U16" s="14" t="n"/>
      <c r="V16" s="13">
        <f>IF($U16="","",IF($W16="","not found","✓"))</f>
        <v/>
      </c>
      <c r="W16">
        <f>IF($U16="","",IFERROR(MATCH($U16,INDEX(FormData,0,f_Id),0),IFERROR(MATCH(--$U16,INDEX(FormData,0,f_Id),0),IFERROR(MATCH($U16&amp;"",INDEX(FormData,0,f_Id),0),""))))</f>
        <v/>
      </c>
      <c r="X16">
        <f>IF(AND($B16&lt;&gt;"",$B16='Event Report'!$C$3),ROW(),"")</f>
        <v/>
      </c>
      <c r="Y16">
        <f>IF(AND($P16="✓",$R16=""),IF($Q16="",90000,$Q16)+ROW()/100000,"")</f>
        <v/>
      </c>
      <c r="Z16">
        <f>IF(OR($U16&lt;&gt;"",$D16&lt;&gt;"",$E16&lt;&gt;"",$N16&lt;&gt;""),1,"")</f>
        <v/>
      </c>
    </row>
    <row r="17">
      <c r="A17" s="13" t="inlineStr">
        <is>
          <t>P-0013</t>
        </is>
      </c>
      <c r="B17" s="14">
        <f>IF(AND($U17="",$C17=""),"",IFERROR(INDEX(EvID,MATCH(INDEX(FormData,$W17,f_Event),EvID,0)),IFERROR(INDEX(EvID,MATCH(INDEX(FormData,$W17,f_Event),EvName,0)),IFERROR(INDEX(EvID,MATCH(INT($C17),EvDate,0)),""))))</f>
        <v/>
      </c>
      <c r="C17" s="15">
        <f>IF($W17="","",INDEX(FormData,$W17,f_Time))</f>
        <v/>
      </c>
      <c r="D17" s="14">
        <f>IF($W17="","",IFERROR(UPPER(LEFT(TRIM(INDEX(FormData,$W17,f_Name)),1)&amp;IFERROR(MID(TRIM(INDEX(FormData,$W17,f_Name)),FIND("^",SUBSTITUTE(TRIM(INDEX(FormData,$W17,f_Name))," ","^",LEN(TRIM(INDEX(FormData,$W17,f_Name)))-LEN(SUBSTITUTE(TRIM(INDEX(FormData,$W17,f_Name))," ",""))))+1,1),"")),""))</f>
        <v/>
      </c>
      <c r="E17" s="16">
        <f>IF($W17="","",IFERROR(IF(SUMPRODUCT(MAX((WhoKW&lt;&gt;"")*ISNUMBER(SEARCH(WhoKW,INDEX(FormData,$W17,f_Who)&amp;""))*(ROW(WhoKW)-MIN(ROW(WhoKW))+1)))=0,"",INDEX(WhoVal,SUMPRODUCT(MAX((WhoKW&lt;&gt;"")*ISNUMBER(SEARCH(WhoKW,INDEX(FormData,$W17,f_Who)&amp;""))*(ROW(WhoKW)-MIN(ROW(WhoKW))+1))))),""))</f>
        <v/>
      </c>
      <c r="F17" s="17">
        <f>IF($W17="","",TRIM(IFERROR(INDEX(FormData,$W17,f_Org1)&amp;"","")&amp;" "&amp;IFERROR(INDEX(FormData,$W17,f_Org2)&amp;"","")))</f>
        <v/>
      </c>
      <c r="G17" s="16">
        <f>IF($W17="","",IFERROR(INDEX(FormData,$W17,f_Region)&amp;"",""))</f>
        <v/>
      </c>
      <c r="H17" s="16">
        <f>IF($W17="","",IFERROR(IF(SUMPRODUCT(MAX((SitKW&lt;&gt;"")*ISNUMBER(SEARCH(SitKW,INDEX(FormData,$W17,f_Sit)&amp;""))*(ROW(SitKW)-MIN(ROW(SitKW))+1)))=0,"",INDEX(SitVal,SUMPRODUCT(MAX((SitKW&lt;&gt;"")*ISNUMBER(SEARCH(SitKW,INDEX(FormData,$W17,f_Sit)&amp;""))*(ROW(SitKW)-MIN(ROW(SitKW))+1))))),""))</f>
        <v/>
      </c>
      <c r="I17" s="14">
        <f>IF($W17="","",IFERROR(INDEX(FormData,$W17,f_Appr)&amp;"",""))</f>
        <v/>
      </c>
      <c r="J17" s="16">
        <f>IF($W17="","",IFERROR(INDEX(FormData,$W17,f_Trade)&amp;"",""))</f>
        <v/>
      </c>
      <c r="K17" s="16" t="n"/>
      <c r="L17" s="17" t="n"/>
      <c r="M17" s="16" t="n"/>
      <c r="N17" s="17" t="n"/>
      <c r="O17" s="14" t="n"/>
      <c r="P17" s="14" t="n"/>
      <c r="Q17" s="18" t="n"/>
      <c r="R17" s="18" t="n"/>
      <c r="S17" s="13">
        <f>IF($P17&lt;&gt;"✓","",IF($R17&lt;&gt;"","Done",IF($Q17="","Open — no date",IF($Q17&lt;TODAY(),"Overdue",IF($Q17-TODAY()&lt;=DueSoon,"Due soon","Scheduled")))))</f>
        <v/>
      </c>
      <c r="T17" s="14">
        <f>IF($W17="","",IFERROR(IF(INDEX(FormData,$W17,f_Consent)&amp;""="","",IF(ISNUMBER(SEARCH("yes",INDEX(FormData,$W17,f_Consent))),"Yes","No")),""))</f>
        <v/>
      </c>
      <c r="U17" s="14" t="n"/>
      <c r="V17" s="13">
        <f>IF($U17="","",IF($W17="","not found","✓"))</f>
        <v/>
      </c>
      <c r="W17">
        <f>IF($U17="","",IFERROR(MATCH($U17,INDEX(FormData,0,f_Id),0),IFERROR(MATCH(--$U17,INDEX(FormData,0,f_Id),0),IFERROR(MATCH($U17&amp;"",INDEX(FormData,0,f_Id),0),""))))</f>
        <v/>
      </c>
      <c r="X17">
        <f>IF(AND($B17&lt;&gt;"",$B17='Event Report'!$C$3),ROW(),"")</f>
        <v/>
      </c>
      <c r="Y17">
        <f>IF(AND($P17="✓",$R17=""),IF($Q17="",90000,$Q17)+ROW()/100000,"")</f>
        <v/>
      </c>
      <c r="Z17">
        <f>IF(OR($U17&lt;&gt;"",$D17&lt;&gt;"",$E17&lt;&gt;"",$N17&lt;&gt;""),1,"")</f>
        <v/>
      </c>
    </row>
    <row r="18">
      <c r="A18" s="13" t="inlineStr">
        <is>
          <t>P-0014</t>
        </is>
      </c>
      <c r="B18" s="14">
        <f>IF(AND($U18="",$C18=""),"",IFERROR(INDEX(EvID,MATCH(INDEX(FormData,$W18,f_Event),EvID,0)),IFERROR(INDEX(EvID,MATCH(INDEX(FormData,$W18,f_Event),EvName,0)),IFERROR(INDEX(EvID,MATCH(INT($C18),EvDate,0)),""))))</f>
        <v/>
      </c>
      <c r="C18" s="15">
        <f>IF($W18="","",INDEX(FormData,$W18,f_Time))</f>
        <v/>
      </c>
      <c r="D18" s="14">
        <f>IF($W18="","",IFERROR(UPPER(LEFT(TRIM(INDEX(FormData,$W18,f_Name)),1)&amp;IFERROR(MID(TRIM(INDEX(FormData,$W18,f_Name)),FIND("^",SUBSTITUTE(TRIM(INDEX(FormData,$W18,f_Name))," ","^",LEN(TRIM(INDEX(FormData,$W18,f_Name)))-LEN(SUBSTITUTE(TRIM(INDEX(FormData,$W18,f_Name))," ",""))))+1,1),"")),""))</f>
        <v/>
      </c>
      <c r="E18" s="16">
        <f>IF($W18="","",IFERROR(IF(SUMPRODUCT(MAX((WhoKW&lt;&gt;"")*ISNUMBER(SEARCH(WhoKW,INDEX(FormData,$W18,f_Who)&amp;""))*(ROW(WhoKW)-MIN(ROW(WhoKW))+1)))=0,"",INDEX(WhoVal,SUMPRODUCT(MAX((WhoKW&lt;&gt;"")*ISNUMBER(SEARCH(WhoKW,INDEX(FormData,$W18,f_Who)&amp;""))*(ROW(WhoKW)-MIN(ROW(WhoKW))+1))))),""))</f>
        <v/>
      </c>
      <c r="F18" s="17">
        <f>IF($W18="","",TRIM(IFERROR(INDEX(FormData,$W18,f_Org1)&amp;"","")&amp;" "&amp;IFERROR(INDEX(FormData,$W18,f_Org2)&amp;"","")))</f>
        <v/>
      </c>
      <c r="G18" s="16">
        <f>IF($W18="","",IFERROR(INDEX(FormData,$W18,f_Region)&amp;"",""))</f>
        <v/>
      </c>
      <c r="H18" s="16">
        <f>IF($W18="","",IFERROR(IF(SUMPRODUCT(MAX((SitKW&lt;&gt;"")*ISNUMBER(SEARCH(SitKW,INDEX(FormData,$W18,f_Sit)&amp;""))*(ROW(SitKW)-MIN(ROW(SitKW))+1)))=0,"",INDEX(SitVal,SUMPRODUCT(MAX((SitKW&lt;&gt;"")*ISNUMBER(SEARCH(SitKW,INDEX(FormData,$W18,f_Sit)&amp;""))*(ROW(SitKW)-MIN(ROW(SitKW))+1))))),""))</f>
        <v/>
      </c>
      <c r="I18" s="14">
        <f>IF($W18="","",IFERROR(INDEX(FormData,$W18,f_Appr)&amp;"",""))</f>
        <v/>
      </c>
      <c r="J18" s="16">
        <f>IF($W18="","",IFERROR(INDEX(FormData,$W18,f_Trade)&amp;"",""))</f>
        <v/>
      </c>
      <c r="K18" s="16" t="n"/>
      <c r="L18" s="17" t="n"/>
      <c r="M18" s="16" t="n"/>
      <c r="N18" s="17" t="n"/>
      <c r="O18" s="14" t="n"/>
      <c r="P18" s="14" t="n"/>
      <c r="Q18" s="18" t="n"/>
      <c r="R18" s="18" t="n"/>
      <c r="S18" s="13">
        <f>IF($P18&lt;&gt;"✓","",IF($R18&lt;&gt;"","Done",IF($Q18="","Open — no date",IF($Q18&lt;TODAY(),"Overdue",IF($Q18-TODAY()&lt;=DueSoon,"Due soon","Scheduled")))))</f>
        <v/>
      </c>
      <c r="T18" s="14">
        <f>IF($W18="","",IFERROR(IF(INDEX(FormData,$W18,f_Consent)&amp;""="","",IF(ISNUMBER(SEARCH("yes",INDEX(FormData,$W18,f_Consent))),"Yes","No")),""))</f>
        <v/>
      </c>
      <c r="U18" s="14" t="n"/>
      <c r="V18" s="13">
        <f>IF($U18="","",IF($W18="","not found","✓"))</f>
        <v/>
      </c>
      <c r="W18">
        <f>IF($U18="","",IFERROR(MATCH($U18,INDEX(FormData,0,f_Id),0),IFERROR(MATCH(--$U18,INDEX(FormData,0,f_Id),0),IFERROR(MATCH($U18&amp;"",INDEX(FormData,0,f_Id),0),""))))</f>
        <v/>
      </c>
      <c r="X18">
        <f>IF(AND($B18&lt;&gt;"",$B18='Event Report'!$C$3),ROW(),"")</f>
        <v/>
      </c>
      <c r="Y18">
        <f>IF(AND($P18="✓",$R18=""),IF($Q18="",90000,$Q18)+ROW()/100000,"")</f>
        <v/>
      </c>
      <c r="Z18">
        <f>IF(OR($U18&lt;&gt;"",$D18&lt;&gt;"",$E18&lt;&gt;"",$N18&lt;&gt;""),1,"")</f>
        <v/>
      </c>
    </row>
    <row r="19">
      <c r="A19" s="13" t="inlineStr">
        <is>
          <t>P-0015</t>
        </is>
      </c>
      <c r="B19" s="14">
        <f>IF(AND($U19="",$C19=""),"",IFERROR(INDEX(EvID,MATCH(INDEX(FormData,$W19,f_Event),EvID,0)),IFERROR(INDEX(EvID,MATCH(INDEX(FormData,$W19,f_Event),EvName,0)),IFERROR(INDEX(EvID,MATCH(INT($C19),EvDate,0)),""))))</f>
        <v/>
      </c>
      <c r="C19" s="15">
        <f>IF($W19="","",INDEX(FormData,$W19,f_Time))</f>
        <v/>
      </c>
      <c r="D19" s="14">
        <f>IF($W19="","",IFERROR(UPPER(LEFT(TRIM(INDEX(FormData,$W19,f_Name)),1)&amp;IFERROR(MID(TRIM(INDEX(FormData,$W19,f_Name)),FIND("^",SUBSTITUTE(TRIM(INDEX(FormData,$W19,f_Name))," ","^",LEN(TRIM(INDEX(FormData,$W19,f_Name)))-LEN(SUBSTITUTE(TRIM(INDEX(FormData,$W19,f_Name))," ",""))))+1,1),"")),""))</f>
        <v/>
      </c>
      <c r="E19" s="16">
        <f>IF($W19="","",IFERROR(IF(SUMPRODUCT(MAX((WhoKW&lt;&gt;"")*ISNUMBER(SEARCH(WhoKW,INDEX(FormData,$W19,f_Who)&amp;""))*(ROW(WhoKW)-MIN(ROW(WhoKW))+1)))=0,"",INDEX(WhoVal,SUMPRODUCT(MAX((WhoKW&lt;&gt;"")*ISNUMBER(SEARCH(WhoKW,INDEX(FormData,$W19,f_Who)&amp;""))*(ROW(WhoKW)-MIN(ROW(WhoKW))+1))))),""))</f>
        <v/>
      </c>
      <c r="F19" s="17">
        <f>IF($W19="","",TRIM(IFERROR(INDEX(FormData,$W19,f_Org1)&amp;"","")&amp;" "&amp;IFERROR(INDEX(FormData,$W19,f_Org2)&amp;"","")))</f>
        <v/>
      </c>
      <c r="G19" s="16">
        <f>IF($W19="","",IFERROR(INDEX(FormData,$W19,f_Region)&amp;"",""))</f>
        <v/>
      </c>
      <c r="H19" s="16">
        <f>IF($W19="","",IFERROR(IF(SUMPRODUCT(MAX((SitKW&lt;&gt;"")*ISNUMBER(SEARCH(SitKW,INDEX(FormData,$W19,f_Sit)&amp;""))*(ROW(SitKW)-MIN(ROW(SitKW))+1)))=0,"",INDEX(SitVal,SUMPRODUCT(MAX((SitKW&lt;&gt;"")*ISNUMBER(SEARCH(SitKW,INDEX(FormData,$W19,f_Sit)&amp;""))*(ROW(SitKW)-MIN(ROW(SitKW))+1))))),""))</f>
        <v/>
      </c>
      <c r="I19" s="14">
        <f>IF($W19="","",IFERROR(INDEX(FormData,$W19,f_Appr)&amp;"",""))</f>
        <v/>
      </c>
      <c r="J19" s="16">
        <f>IF($W19="","",IFERROR(INDEX(FormData,$W19,f_Trade)&amp;"",""))</f>
        <v/>
      </c>
      <c r="K19" s="16" t="n"/>
      <c r="L19" s="17" t="n"/>
      <c r="M19" s="16" t="n"/>
      <c r="N19" s="17" t="n"/>
      <c r="O19" s="14" t="n"/>
      <c r="P19" s="14" t="n"/>
      <c r="Q19" s="18" t="n"/>
      <c r="R19" s="18" t="n"/>
      <c r="S19" s="13">
        <f>IF($P19&lt;&gt;"✓","",IF($R19&lt;&gt;"","Done",IF($Q19="","Open — no date",IF($Q19&lt;TODAY(),"Overdue",IF($Q19-TODAY()&lt;=DueSoon,"Due soon","Scheduled")))))</f>
        <v/>
      </c>
      <c r="T19" s="14">
        <f>IF($W19="","",IFERROR(IF(INDEX(FormData,$W19,f_Consent)&amp;""="","",IF(ISNUMBER(SEARCH("yes",INDEX(FormData,$W19,f_Consent))),"Yes","No")),""))</f>
        <v/>
      </c>
      <c r="U19" s="14" t="n"/>
      <c r="V19" s="13">
        <f>IF($U19="","",IF($W19="","not found","✓"))</f>
        <v/>
      </c>
      <c r="W19">
        <f>IF($U19="","",IFERROR(MATCH($U19,INDEX(FormData,0,f_Id),0),IFERROR(MATCH(--$U19,INDEX(FormData,0,f_Id),0),IFERROR(MATCH($U19&amp;"",INDEX(FormData,0,f_Id),0),""))))</f>
        <v/>
      </c>
      <c r="X19">
        <f>IF(AND($B19&lt;&gt;"",$B19='Event Report'!$C$3),ROW(),"")</f>
        <v/>
      </c>
      <c r="Y19">
        <f>IF(AND($P19="✓",$R19=""),IF($Q19="",90000,$Q19)+ROW()/100000,"")</f>
        <v/>
      </c>
      <c r="Z19">
        <f>IF(OR($U19&lt;&gt;"",$D19&lt;&gt;"",$E19&lt;&gt;"",$N19&lt;&gt;""),1,"")</f>
        <v/>
      </c>
    </row>
    <row r="20">
      <c r="A20" s="13" t="inlineStr">
        <is>
          <t>P-0016</t>
        </is>
      </c>
      <c r="B20" s="14">
        <f>IF(AND($U20="",$C20=""),"",IFERROR(INDEX(EvID,MATCH(INDEX(FormData,$W20,f_Event),EvID,0)),IFERROR(INDEX(EvID,MATCH(INDEX(FormData,$W20,f_Event),EvName,0)),IFERROR(INDEX(EvID,MATCH(INT($C20),EvDate,0)),""))))</f>
        <v/>
      </c>
      <c r="C20" s="15">
        <f>IF($W20="","",INDEX(FormData,$W20,f_Time))</f>
        <v/>
      </c>
      <c r="D20" s="14">
        <f>IF($W20="","",IFERROR(UPPER(LEFT(TRIM(INDEX(FormData,$W20,f_Name)),1)&amp;IFERROR(MID(TRIM(INDEX(FormData,$W20,f_Name)),FIND("^",SUBSTITUTE(TRIM(INDEX(FormData,$W20,f_Name))," ","^",LEN(TRIM(INDEX(FormData,$W20,f_Name)))-LEN(SUBSTITUTE(TRIM(INDEX(FormData,$W20,f_Name))," ",""))))+1,1),"")),""))</f>
        <v/>
      </c>
      <c r="E20" s="16">
        <f>IF($W20="","",IFERROR(IF(SUMPRODUCT(MAX((WhoKW&lt;&gt;"")*ISNUMBER(SEARCH(WhoKW,INDEX(FormData,$W20,f_Who)&amp;""))*(ROW(WhoKW)-MIN(ROW(WhoKW))+1)))=0,"",INDEX(WhoVal,SUMPRODUCT(MAX((WhoKW&lt;&gt;"")*ISNUMBER(SEARCH(WhoKW,INDEX(FormData,$W20,f_Who)&amp;""))*(ROW(WhoKW)-MIN(ROW(WhoKW))+1))))),""))</f>
        <v/>
      </c>
      <c r="F20" s="17">
        <f>IF($W20="","",TRIM(IFERROR(INDEX(FormData,$W20,f_Org1)&amp;"","")&amp;" "&amp;IFERROR(INDEX(FormData,$W20,f_Org2)&amp;"","")))</f>
        <v/>
      </c>
      <c r="G20" s="16">
        <f>IF($W20="","",IFERROR(INDEX(FormData,$W20,f_Region)&amp;"",""))</f>
        <v/>
      </c>
      <c r="H20" s="16">
        <f>IF($W20="","",IFERROR(IF(SUMPRODUCT(MAX((SitKW&lt;&gt;"")*ISNUMBER(SEARCH(SitKW,INDEX(FormData,$W20,f_Sit)&amp;""))*(ROW(SitKW)-MIN(ROW(SitKW))+1)))=0,"",INDEX(SitVal,SUMPRODUCT(MAX((SitKW&lt;&gt;"")*ISNUMBER(SEARCH(SitKW,INDEX(FormData,$W20,f_Sit)&amp;""))*(ROW(SitKW)-MIN(ROW(SitKW))+1))))),""))</f>
        <v/>
      </c>
      <c r="I20" s="14">
        <f>IF($W20="","",IFERROR(INDEX(FormData,$W20,f_Appr)&amp;"",""))</f>
        <v/>
      </c>
      <c r="J20" s="16">
        <f>IF($W20="","",IFERROR(INDEX(FormData,$W20,f_Trade)&amp;"",""))</f>
        <v/>
      </c>
      <c r="K20" s="16" t="n"/>
      <c r="L20" s="17" t="n"/>
      <c r="M20" s="16" t="n"/>
      <c r="N20" s="17" t="n"/>
      <c r="O20" s="14" t="n"/>
      <c r="P20" s="14" t="n"/>
      <c r="Q20" s="18" t="n"/>
      <c r="R20" s="18" t="n"/>
      <c r="S20" s="13">
        <f>IF($P20&lt;&gt;"✓","",IF($R20&lt;&gt;"","Done",IF($Q20="","Open — no date",IF($Q20&lt;TODAY(),"Overdue",IF($Q20-TODAY()&lt;=DueSoon,"Due soon","Scheduled")))))</f>
        <v/>
      </c>
      <c r="T20" s="14">
        <f>IF($W20="","",IFERROR(IF(INDEX(FormData,$W20,f_Consent)&amp;""="","",IF(ISNUMBER(SEARCH("yes",INDEX(FormData,$W20,f_Consent))),"Yes","No")),""))</f>
        <v/>
      </c>
      <c r="U20" s="14" t="n"/>
      <c r="V20" s="13">
        <f>IF($U20="","",IF($W20="","not found","✓"))</f>
        <v/>
      </c>
      <c r="W20">
        <f>IF($U20="","",IFERROR(MATCH($U20,INDEX(FormData,0,f_Id),0),IFERROR(MATCH(--$U20,INDEX(FormData,0,f_Id),0),IFERROR(MATCH($U20&amp;"",INDEX(FormData,0,f_Id),0),""))))</f>
        <v/>
      </c>
      <c r="X20">
        <f>IF(AND($B20&lt;&gt;"",$B20='Event Report'!$C$3),ROW(),"")</f>
        <v/>
      </c>
      <c r="Y20">
        <f>IF(AND($P20="✓",$R20=""),IF($Q20="",90000,$Q20)+ROW()/100000,"")</f>
        <v/>
      </c>
      <c r="Z20">
        <f>IF(OR($U20&lt;&gt;"",$D20&lt;&gt;"",$E20&lt;&gt;"",$N20&lt;&gt;""),1,"")</f>
        <v/>
      </c>
    </row>
    <row r="21">
      <c r="A21" s="13" t="inlineStr">
        <is>
          <t>P-0017</t>
        </is>
      </c>
      <c r="B21" s="14">
        <f>IF(AND($U21="",$C21=""),"",IFERROR(INDEX(EvID,MATCH(INDEX(FormData,$W21,f_Event),EvID,0)),IFERROR(INDEX(EvID,MATCH(INDEX(FormData,$W21,f_Event),EvName,0)),IFERROR(INDEX(EvID,MATCH(INT($C21),EvDate,0)),""))))</f>
        <v/>
      </c>
      <c r="C21" s="15">
        <f>IF($W21="","",INDEX(FormData,$W21,f_Time))</f>
        <v/>
      </c>
      <c r="D21" s="14">
        <f>IF($W21="","",IFERROR(UPPER(LEFT(TRIM(INDEX(FormData,$W21,f_Name)),1)&amp;IFERROR(MID(TRIM(INDEX(FormData,$W21,f_Name)),FIND("^",SUBSTITUTE(TRIM(INDEX(FormData,$W21,f_Name))," ","^",LEN(TRIM(INDEX(FormData,$W21,f_Name)))-LEN(SUBSTITUTE(TRIM(INDEX(FormData,$W21,f_Name))," ",""))))+1,1),"")),""))</f>
        <v/>
      </c>
      <c r="E21" s="16">
        <f>IF($W21="","",IFERROR(IF(SUMPRODUCT(MAX((WhoKW&lt;&gt;"")*ISNUMBER(SEARCH(WhoKW,INDEX(FormData,$W21,f_Who)&amp;""))*(ROW(WhoKW)-MIN(ROW(WhoKW))+1)))=0,"",INDEX(WhoVal,SUMPRODUCT(MAX((WhoKW&lt;&gt;"")*ISNUMBER(SEARCH(WhoKW,INDEX(FormData,$W21,f_Who)&amp;""))*(ROW(WhoKW)-MIN(ROW(WhoKW))+1))))),""))</f>
        <v/>
      </c>
      <c r="F21" s="17">
        <f>IF($W21="","",TRIM(IFERROR(INDEX(FormData,$W21,f_Org1)&amp;"","")&amp;" "&amp;IFERROR(INDEX(FormData,$W21,f_Org2)&amp;"","")))</f>
        <v/>
      </c>
      <c r="G21" s="16">
        <f>IF($W21="","",IFERROR(INDEX(FormData,$W21,f_Region)&amp;"",""))</f>
        <v/>
      </c>
      <c r="H21" s="16">
        <f>IF($W21="","",IFERROR(IF(SUMPRODUCT(MAX((SitKW&lt;&gt;"")*ISNUMBER(SEARCH(SitKW,INDEX(FormData,$W21,f_Sit)&amp;""))*(ROW(SitKW)-MIN(ROW(SitKW))+1)))=0,"",INDEX(SitVal,SUMPRODUCT(MAX((SitKW&lt;&gt;"")*ISNUMBER(SEARCH(SitKW,INDEX(FormData,$W21,f_Sit)&amp;""))*(ROW(SitKW)-MIN(ROW(SitKW))+1))))),""))</f>
        <v/>
      </c>
      <c r="I21" s="14">
        <f>IF($W21="","",IFERROR(INDEX(FormData,$W21,f_Appr)&amp;"",""))</f>
        <v/>
      </c>
      <c r="J21" s="16">
        <f>IF($W21="","",IFERROR(INDEX(FormData,$W21,f_Trade)&amp;"",""))</f>
        <v/>
      </c>
      <c r="K21" s="16" t="n"/>
      <c r="L21" s="17" t="n"/>
      <c r="M21" s="16" t="n"/>
      <c r="N21" s="17" t="n"/>
      <c r="O21" s="14" t="n"/>
      <c r="P21" s="14" t="n"/>
      <c r="Q21" s="18" t="n"/>
      <c r="R21" s="18" t="n"/>
      <c r="S21" s="13">
        <f>IF($P21&lt;&gt;"✓","",IF($R21&lt;&gt;"","Done",IF($Q21="","Open — no date",IF($Q21&lt;TODAY(),"Overdue",IF($Q21-TODAY()&lt;=DueSoon,"Due soon","Scheduled")))))</f>
        <v/>
      </c>
      <c r="T21" s="14">
        <f>IF($W21="","",IFERROR(IF(INDEX(FormData,$W21,f_Consent)&amp;""="","",IF(ISNUMBER(SEARCH("yes",INDEX(FormData,$W21,f_Consent))),"Yes","No")),""))</f>
        <v/>
      </c>
      <c r="U21" s="14" t="n"/>
      <c r="V21" s="13">
        <f>IF($U21="","",IF($W21="","not found","✓"))</f>
        <v/>
      </c>
      <c r="W21">
        <f>IF($U21="","",IFERROR(MATCH($U21,INDEX(FormData,0,f_Id),0),IFERROR(MATCH(--$U21,INDEX(FormData,0,f_Id),0),IFERROR(MATCH($U21&amp;"",INDEX(FormData,0,f_Id),0),""))))</f>
        <v/>
      </c>
      <c r="X21">
        <f>IF(AND($B21&lt;&gt;"",$B21='Event Report'!$C$3),ROW(),"")</f>
        <v/>
      </c>
      <c r="Y21">
        <f>IF(AND($P21="✓",$R21=""),IF($Q21="",90000,$Q21)+ROW()/100000,"")</f>
        <v/>
      </c>
      <c r="Z21">
        <f>IF(OR($U21&lt;&gt;"",$D21&lt;&gt;"",$E21&lt;&gt;"",$N21&lt;&gt;""),1,"")</f>
        <v/>
      </c>
    </row>
    <row r="22">
      <c r="A22" s="13" t="inlineStr">
        <is>
          <t>P-0018</t>
        </is>
      </c>
      <c r="B22" s="14">
        <f>IF(AND($U22="",$C22=""),"",IFERROR(INDEX(EvID,MATCH(INDEX(FormData,$W22,f_Event),EvID,0)),IFERROR(INDEX(EvID,MATCH(INDEX(FormData,$W22,f_Event),EvName,0)),IFERROR(INDEX(EvID,MATCH(INT($C22),EvDate,0)),""))))</f>
        <v/>
      </c>
      <c r="C22" s="15">
        <f>IF($W22="","",INDEX(FormData,$W22,f_Time))</f>
        <v/>
      </c>
      <c r="D22" s="14">
        <f>IF($W22="","",IFERROR(UPPER(LEFT(TRIM(INDEX(FormData,$W22,f_Name)),1)&amp;IFERROR(MID(TRIM(INDEX(FormData,$W22,f_Name)),FIND("^",SUBSTITUTE(TRIM(INDEX(FormData,$W22,f_Name))," ","^",LEN(TRIM(INDEX(FormData,$W22,f_Name)))-LEN(SUBSTITUTE(TRIM(INDEX(FormData,$W22,f_Name))," ",""))))+1,1),"")),""))</f>
        <v/>
      </c>
      <c r="E22" s="16">
        <f>IF($W22="","",IFERROR(IF(SUMPRODUCT(MAX((WhoKW&lt;&gt;"")*ISNUMBER(SEARCH(WhoKW,INDEX(FormData,$W22,f_Who)&amp;""))*(ROW(WhoKW)-MIN(ROW(WhoKW))+1)))=0,"",INDEX(WhoVal,SUMPRODUCT(MAX((WhoKW&lt;&gt;"")*ISNUMBER(SEARCH(WhoKW,INDEX(FormData,$W22,f_Who)&amp;""))*(ROW(WhoKW)-MIN(ROW(WhoKW))+1))))),""))</f>
        <v/>
      </c>
      <c r="F22" s="17">
        <f>IF($W22="","",TRIM(IFERROR(INDEX(FormData,$W22,f_Org1)&amp;"","")&amp;" "&amp;IFERROR(INDEX(FormData,$W22,f_Org2)&amp;"","")))</f>
        <v/>
      </c>
      <c r="G22" s="16">
        <f>IF($W22="","",IFERROR(INDEX(FormData,$W22,f_Region)&amp;"",""))</f>
        <v/>
      </c>
      <c r="H22" s="16">
        <f>IF($W22="","",IFERROR(IF(SUMPRODUCT(MAX((SitKW&lt;&gt;"")*ISNUMBER(SEARCH(SitKW,INDEX(FormData,$W22,f_Sit)&amp;""))*(ROW(SitKW)-MIN(ROW(SitKW))+1)))=0,"",INDEX(SitVal,SUMPRODUCT(MAX((SitKW&lt;&gt;"")*ISNUMBER(SEARCH(SitKW,INDEX(FormData,$W22,f_Sit)&amp;""))*(ROW(SitKW)-MIN(ROW(SitKW))+1))))),""))</f>
        <v/>
      </c>
      <c r="I22" s="14">
        <f>IF($W22="","",IFERROR(INDEX(FormData,$W22,f_Appr)&amp;"",""))</f>
        <v/>
      </c>
      <c r="J22" s="16">
        <f>IF($W22="","",IFERROR(INDEX(FormData,$W22,f_Trade)&amp;"",""))</f>
        <v/>
      </c>
      <c r="K22" s="16" t="n"/>
      <c r="L22" s="17" t="n"/>
      <c r="M22" s="16" t="n"/>
      <c r="N22" s="17" t="n"/>
      <c r="O22" s="14" t="n"/>
      <c r="P22" s="14" t="n"/>
      <c r="Q22" s="18" t="n"/>
      <c r="R22" s="18" t="n"/>
      <c r="S22" s="13">
        <f>IF($P22&lt;&gt;"✓","",IF($R22&lt;&gt;"","Done",IF($Q22="","Open — no date",IF($Q22&lt;TODAY(),"Overdue",IF($Q22-TODAY()&lt;=DueSoon,"Due soon","Scheduled")))))</f>
        <v/>
      </c>
      <c r="T22" s="14">
        <f>IF($W22="","",IFERROR(IF(INDEX(FormData,$W22,f_Consent)&amp;""="","",IF(ISNUMBER(SEARCH("yes",INDEX(FormData,$W22,f_Consent))),"Yes","No")),""))</f>
        <v/>
      </c>
      <c r="U22" s="14" t="n"/>
      <c r="V22" s="13">
        <f>IF($U22="","",IF($W22="","not found","✓"))</f>
        <v/>
      </c>
      <c r="W22">
        <f>IF($U22="","",IFERROR(MATCH($U22,INDEX(FormData,0,f_Id),0),IFERROR(MATCH(--$U22,INDEX(FormData,0,f_Id),0),IFERROR(MATCH($U22&amp;"",INDEX(FormData,0,f_Id),0),""))))</f>
        <v/>
      </c>
      <c r="X22">
        <f>IF(AND($B22&lt;&gt;"",$B22='Event Report'!$C$3),ROW(),"")</f>
        <v/>
      </c>
      <c r="Y22">
        <f>IF(AND($P22="✓",$R22=""),IF($Q22="",90000,$Q22)+ROW()/100000,"")</f>
        <v/>
      </c>
      <c r="Z22">
        <f>IF(OR($U22&lt;&gt;"",$D22&lt;&gt;"",$E22&lt;&gt;"",$N22&lt;&gt;""),1,"")</f>
        <v/>
      </c>
    </row>
    <row r="23">
      <c r="A23" s="13" t="inlineStr">
        <is>
          <t>P-0019</t>
        </is>
      </c>
      <c r="B23" s="14">
        <f>IF(AND($U23="",$C23=""),"",IFERROR(INDEX(EvID,MATCH(INDEX(FormData,$W23,f_Event),EvID,0)),IFERROR(INDEX(EvID,MATCH(INDEX(FormData,$W23,f_Event),EvName,0)),IFERROR(INDEX(EvID,MATCH(INT($C23),EvDate,0)),""))))</f>
        <v/>
      </c>
      <c r="C23" s="15">
        <f>IF($W23="","",INDEX(FormData,$W23,f_Time))</f>
        <v/>
      </c>
      <c r="D23" s="14">
        <f>IF($W23="","",IFERROR(UPPER(LEFT(TRIM(INDEX(FormData,$W23,f_Name)),1)&amp;IFERROR(MID(TRIM(INDEX(FormData,$W23,f_Name)),FIND("^",SUBSTITUTE(TRIM(INDEX(FormData,$W23,f_Name))," ","^",LEN(TRIM(INDEX(FormData,$W23,f_Name)))-LEN(SUBSTITUTE(TRIM(INDEX(FormData,$W23,f_Name))," ",""))))+1,1),"")),""))</f>
        <v/>
      </c>
      <c r="E23" s="16">
        <f>IF($W23="","",IFERROR(IF(SUMPRODUCT(MAX((WhoKW&lt;&gt;"")*ISNUMBER(SEARCH(WhoKW,INDEX(FormData,$W23,f_Who)&amp;""))*(ROW(WhoKW)-MIN(ROW(WhoKW))+1)))=0,"",INDEX(WhoVal,SUMPRODUCT(MAX((WhoKW&lt;&gt;"")*ISNUMBER(SEARCH(WhoKW,INDEX(FormData,$W23,f_Who)&amp;""))*(ROW(WhoKW)-MIN(ROW(WhoKW))+1))))),""))</f>
        <v/>
      </c>
      <c r="F23" s="17">
        <f>IF($W23="","",TRIM(IFERROR(INDEX(FormData,$W23,f_Org1)&amp;"","")&amp;" "&amp;IFERROR(INDEX(FormData,$W23,f_Org2)&amp;"","")))</f>
        <v/>
      </c>
      <c r="G23" s="16">
        <f>IF($W23="","",IFERROR(INDEX(FormData,$W23,f_Region)&amp;"",""))</f>
        <v/>
      </c>
      <c r="H23" s="16">
        <f>IF($W23="","",IFERROR(IF(SUMPRODUCT(MAX((SitKW&lt;&gt;"")*ISNUMBER(SEARCH(SitKW,INDEX(FormData,$W23,f_Sit)&amp;""))*(ROW(SitKW)-MIN(ROW(SitKW))+1)))=0,"",INDEX(SitVal,SUMPRODUCT(MAX((SitKW&lt;&gt;"")*ISNUMBER(SEARCH(SitKW,INDEX(FormData,$W23,f_Sit)&amp;""))*(ROW(SitKW)-MIN(ROW(SitKW))+1))))),""))</f>
        <v/>
      </c>
      <c r="I23" s="14">
        <f>IF($W23="","",IFERROR(INDEX(FormData,$W23,f_Appr)&amp;"",""))</f>
        <v/>
      </c>
      <c r="J23" s="16">
        <f>IF($W23="","",IFERROR(INDEX(FormData,$W23,f_Trade)&amp;"",""))</f>
        <v/>
      </c>
      <c r="K23" s="16" t="n"/>
      <c r="L23" s="17" t="n"/>
      <c r="M23" s="16" t="n"/>
      <c r="N23" s="17" t="n"/>
      <c r="O23" s="14" t="n"/>
      <c r="P23" s="14" t="n"/>
      <c r="Q23" s="18" t="n"/>
      <c r="R23" s="18" t="n"/>
      <c r="S23" s="13">
        <f>IF($P23&lt;&gt;"✓","",IF($R23&lt;&gt;"","Done",IF($Q23="","Open — no date",IF($Q23&lt;TODAY(),"Overdue",IF($Q23-TODAY()&lt;=DueSoon,"Due soon","Scheduled")))))</f>
        <v/>
      </c>
      <c r="T23" s="14">
        <f>IF($W23="","",IFERROR(IF(INDEX(FormData,$W23,f_Consent)&amp;""="","",IF(ISNUMBER(SEARCH("yes",INDEX(FormData,$W23,f_Consent))),"Yes","No")),""))</f>
        <v/>
      </c>
      <c r="U23" s="14" t="n"/>
      <c r="V23" s="13">
        <f>IF($U23="","",IF($W23="","not found","✓"))</f>
        <v/>
      </c>
      <c r="W23">
        <f>IF($U23="","",IFERROR(MATCH($U23,INDEX(FormData,0,f_Id),0),IFERROR(MATCH(--$U23,INDEX(FormData,0,f_Id),0),IFERROR(MATCH($U23&amp;"",INDEX(FormData,0,f_Id),0),""))))</f>
        <v/>
      </c>
      <c r="X23">
        <f>IF(AND($B23&lt;&gt;"",$B23='Event Report'!$C$3),ROW(),"")</f>
        <v/>
      </c>
      <c r="Y23">
        <f>IF(AND($P23="✓",$R23=""),IF($Q23="",90000,$Q23)+ROW()/100000,"")</f>
        <v/>
      </c>
      <c r="Z23">
        <f>IF(OR($U23&lt;&gt;"",$D23&lt;&gt;"",$E23&lt;&gt;"",$N23&lt;&gt;""),1,"")</f>
        <v/>
      </c>
    </row>
    <row r="24">
      <c r="A24" s="13" t="inlineStr">
        <is>
          <t>P-0020</t>
        </is>
      </c>
      <c r="B24" s="14">
        <f>IF(AND($U24="",$C24=""),"",IFERROR(INDEX(EvID,MATCH(INDEX(FormData,$W24,f_Event),EvID,0)),IFERROR(INDEX(EvID,MATCH(INDEX(FormData,$W24,f_Event),EvName,0)),IFERROR(INDEX(EvID,MATCH(INT($C24),EvDate,0)),""))))</f>
        <v/>
      </c>
      <c r="C24" s="15">
        <f>IF($W24="","",INDEX(FormData,$W24,f_Time))</f>
        <v/>
      </c>
      <c r="D24" s="14">
        <f>IF($W24="","",IFERROR(UPPER(LEFT(TRIM(INDEX(FormData,$W24,f_Name)),1)&amp;IFERROR(MID(TRIM(INDEX(FormData,$W24,f_Name)),FIND("^",SUBSTITUTE(TRIM(INDEX(FormData,$W24,f_Name))," ","^",LEN(TRIM(INDEX(FormData,$W24,f_Name)))-LEN(SUBSTITUTE(TRIM(INDEX(FormData,$W24,f_Name))," ",""))))+1,1),"")),""))</f>
        <v/>
      </c>
      <c r="E24" s="16">
        <f>IF($W24="","",IFERROR(IF(SUMPRODUCT(MAX((WhoKW&lt;&gt;"")*ISNUMBER(SEARCH(WhoKW,INDEX(FormData,$W24,f_Who)&amp;""))*(ROW(WhoKW)-MIN(ROW(WhoKW))+1)))=0,"",INDEX(WhoVal,SUMPRODUCT(MAX((WhoKW&lt;&gt;"")*ISNUMBER(SEARCH(WhoKW,INDEX(FormData,$W24,f_Who)&amp;""))*(ROW(WhoKW)-MIN(ROW(WhoKW))+1))))),""))</f>
        <v/>
      </c>
      <c r="F24" s="17">
        <f>IF($W24="","",TRIM(IFERROR(INDEX(FormData,$W24,f_Org1)&amp;"","")&amp;" "&amp;IFERROR(INDEX(FormData,$W24,f_Org2)&amp;"","")))</f>
        <v/>
      </c>
      <c r="G24" s="16">
        <f>IF($W24="","",IFERROR(INDEX(FormData,$W24,f_Region)&amp;"",""))</f>
        <v/>
      </c>
      <c r="H24" s="16">
        <f>IF($W24="","",IFERROR(IF(SUMPRODUCT(MAX((SitKW&lt;&gt;"")*ISNUMBER(SEARCH(SitKW,INDEX(FormData,$W24,f_Sit)&amp;""))*(ROW(SitKW)-MIN(ROW(SitKW))+1)))=0,"",INDEX(SitVal,SUMPRODUCT(MAX((SitKW&lt;&gt;"")*ISNUMBER(SEARCH(SitKW,INDEX(FormData,$W24,f_Sit)&amp;""))*(ROW(SitKW)-MIN(ROW(SitKW))+1))))),""))</f>
        <v/>
      </c>
      <c r="I24" s="14">
        <f>IF($W24="","",IFERROR(INDEX(FormData,$W24,f_Appr)&amp;"",""))</f>
        <v/>
      </c>
      <c r="J24" s="16">
        <f>IF($W24="","",IFERROR(INDEX(FormData,$W24,f_Trade)&amp;"",""))</f>
        <v/>
      </c>
      <c r="K24" s="16" t="n"/>
      <c r="L24" s="17" t="n"/>
      <c r="M24" s="16" t="n"/>
      <c r="N24" s="17" t="n"/>
      <c r="O24" s="14" t="n"/>
      <c r="P24" s="14" t="n"/>
      <c r="Q24" s="18" t="n"/>
      <c r="R24" s="18" t="n"/>
      <c r="S24" s="13">
        <f>IF($P24&lt;&gt;"✓","",IF($R24&lt;&gt;"","Done",IF($Q24="","Open — no date",IF($Q24&lt;TODAY(),"Overdue",IF($Q24-TODAY()&lt;=DueSoon,"Due soon","Scheduled")))))</f>
        <v/>
      </c>
      <c r="T24" s="14">
        <f>IF($W24="","",IFERROR(IF(INDEX(FormData,$W24,f_Consent)&amp;""="","",IF(ISNUMBER(SEARCH("yes",INDEX(FormData,$W24,f_Consent))),"Yes","No")),""))</f>
        <v/>
      </c>
      <c r="U24" s="14" t="n"/>
      <c r="V24" s="13">
        <f>IF($U24="","",IF($W24="","not found","✓"))</f>
        <v/>
      </c>
      <c r="W24">
        <f>IF($U24="","",IFERROR(MATCH($U24,INDEX(FormData,0,f_Id),0),IFERROR(MATCH(--$U24,INDEX(FormData,0,f_Id),0),IFERROR(MATCH($U24&amp;"",INDEX(FormData,0,f_Id),0),""))))</f>
        <v/>
      </c>
      <c r="X24">
        <f>IF(AND($B24&lt;&gt;"",$B24='Event Report'!$C$3),ROW(),"")</f>
        <v/>
      </c>
      <c r="Y24">
        <f>IF(AND($P24="✓",$R24=""),IF($Q24="",90000,$Q24)+ROW()/100000,"")</f>
        <v/>
      </c>
      <c r="Z24">
        <f>IF(OR($U24&lt;&gt;"",$D24&lt;&gt;"",$E24&lt;&gt;"",$N24&lt;&gt;""),1,"")</f>
        <v/>
      </c>
    </row>
    <row r="25">
      <c r="A25" s="13" t="inlineStr">
        <is>
          <t>P-0021</t>
        </is>
      </c>
      <c r="B25" s="14">
        <f>IF(AND($U25="",$C25=""),"",IFERROR(INDEX(EvID,MATCH(INDEX(FormData,$W25,f_Event),EvID,0)),IFERROR(INDEX(EvID,MATCH(INDEX(FormData,$W25,f_Event),EvName,0)),IFERROR(INDEX(EvID,MATCH(INT($C25),EvDate,0)),""))))</f>
        <v/>
      </c>
      <c r="C25" s="15">
        <f>IF($W25="","",INDEX(FormData,$W25,f_Time))</f>
        <v/>
      </c>
      <c r="D25" s="14">
        <f>IF($W25="","",IFERROR(UPPER(LEFT(TRIM(INDEX(FormData,$W25,f_Name)),1)&amp;IFERROR(MID(TRIM(INDEX(FormData,$W25,f_Name)),FIND("^",SUBSTITUTE(TRIM(INDEX(FormData,$W25,f_Name))," ","^",LEN(TRIM(INDEX(FormData,$W25,f_Name)))-LEN(SUBSTITUTE(TRIM(INDEX(FormData,$W25,f_Name))," ",""))))+1,1),"")),""))</f>
        <v/>
      </c>
      <c r="E25" s="16">
        <f>IF($W25="","",IFERROR(IF(SUMPRODUCT(MAX((WhoKW&lt;&gt;"")*ISNUMBER(SEARCH(WhoKW,INDEX(FormData,$W25,f_Who)&amp;""))*(ROW(WhoKW)-MIN(ROW(WhoKW))+1)))=0,"",INDEX(WhoVal,SUMPRODUCT(MAX((WhoKW&lt;&gt;"")*ISNUMBER(SEARCH(WhoKW,INDEX(FormData,$W25,f_Who)&amp;""))*(ROW(WhoKW)-MIN(ROW(WhoKW))+1))))),""))</f>
        <v/>
      </c>
      <c r="F25" s="17">
        <f>IF($W25="","",TRIM(IFERROR(INDEX(FormData,$W25,f_Org1)&amp;"","")&amp;" "&amp;IFERROR(INDEX(FormData,$W25,f_Org2)&amp;"","")))</f>
        <v/>
      </c>
      <c r="G25" s="16">
        <f>IF($W25="","",IFERROR(INDEX(FormData,$W25,f_Region)&amp;"",""))</f>
        <v/>
      </c>
      <c r="H25" s="16">
        <f>IF($W25="","",IFERROR(IF(SUMPRODUCT(MAX((SitKW&lt;&gt;"")*ISNUMBER(SEARCH(SitKW,INDEX(FormData,$W25,f_Sit)&amp;""))*(ROW(SitKW)-MIN(ROW(SitKW))+1)))=0,"",INDEX(SitVal,SUMPRODUCT(MAX((SitKW&lt;&gt;"")*ISNUMBER(SEARCH(SitKW,INDEX(FormData,$W25,f_Sit)&amp;""))*(ROW(SitKW)-MIN(ROW(SitKW))+1))))),""))</f>
        <v/>
      </c>
      <c r="I25" s="14">
        <f>IF($W25="","",IFERROR(INDEX(FormData,$W25,f_Appr)&amp;"",""))</f>
        <v/>
      </c>
      <c r="J25" s="16">
        <f>IF($W25="","",IFERROR(INDEX(FormData,$W25,f_Trade)&amp;"",""))</f>
        <v/>
      </c>
      <c r="K25" s="16" t="n"/>
      <c r="L25" s="17" t="n"/>
      <c r="M25" s="16" t="n"/>
      <c r="N25" s="17" t="n"/>
      <c r="O25" s="14" t="n"/>
      <c r="P25" s="14" t="n"/>
      <c r="Q25" s="18" t="n"/>
      <c r="R25" s="18" t="n"/>
      <c r="S25" s="13">
        <f>IF($P25&lt;&gt;"✓","",IF($R25&lt;&gt;"","Done",IF($Q25="","Open — no date",IF($Q25&lt;TODAY(),"Overdue",IF($Q25-TODAY()&lt;=DueSoon,"Due soon","Scheduled")))))</f>
        <v/>
      </c>
      <c r="T25" s="14">
        <f>IF($W25="","",IFERROR(IF(INDEX(FormData,$W25,f_Consent)&amp;""="","",IF(ISNUMBER(SEARCH("yes",INDEX(FormData,$W25,f_Consent))),"Yes","No")),""))</f>
        <v/>
      </c>
      <c r="U25" s="14" t="n"/>
      <c r="V25" s="13">
        <f>IF($U25="","",IF($W25="","not found","✓"))</f>
        <v/>
      </c>
      <c r="W25">
        <f>IF($U25="","",IFERROR(MATCH($U25,INDEX(FormData,0,f_Id),0),IFERROR(MATCH(--$U25,INDEX(FormData,0,f_Id),0),IFERROR(MATCH($U25&amp;"",INDEX(FormData,0,f_Id),0),""))))</f>
        <v/>
      </c>
      <c r="X25">
        <f>IF(AND($B25&lt;&gt;"",$B25='Event Report'!$C$3),ROW(),"")</f>
        <v/>
      </c>
      <c r="Y25">
        <f>IF(AND($P25="✓",$R25=""),IF($Q25="",90000,$Q25)+ROW()/100000,"")</f>
        <v/>
      </c>
      <c r="Z25">
        <f>IF(OR($U25&lt;&gt;"",$D25&lt;&gt;"",$E25&lt;&gt;"",$N25&lt;&gt;""),1,"")</f>
        <v/>
      </c>
    </row>
    <row r="26">
      <c r="A26" s="13" t="inlineStr">
        <is>
          <t>P-0022</t>
        </is>
      </c>
      <c r="B26" s="14">
        <f>IF(AND($U26="",$C26=""),"",IFERROR(INDEX(EvID,MATCH(INDEX(FormData,$W26,f_Event),EvID,0)),IFERROR(INDEX(EvID,MATCH(INDEX(FormData,$W26,f_Event),EvName,0)),IFERROR(INDEX(EvID,MATCH(INT($C26),EvDate,0)),""))))</f>
        <v/>
      </c>
      <c r="C26" s="15">
        <f>IF($W26="","",INDEX(FormData,$W26,f_Time))</f>
        <v/>
      </c>
      <c r="D26" s="14">
        <f>IF($W26="","",IFERROR(UPPER(LEFT(TRIM(INDEX(FormData,$W26,f_Name)),1)&amp;IFERROR(MID(TRIM(INDEX(FormData,$W26,f_Name)),FIND("^",SUBSTITUTE(TRIM(INDEX(FormData,$W26,f_Name))," ","^",LEN(TRIM(INDEX(FormData,$W26,f_Name)))-LEN(SUBSTITUTE(TRIM(INDEX(FormData,$W26,f_Name))," ",""))))+1,1),"")),""))</f>
        <v/>
      </c>
      <c r="E26" s="16">
        <f>IF($W26="","",IFERROR(IF(SUMPRODUCT(MAX((WhoKW&lt;&gt;"")*ISNUMBER(SEARCH(WhoKW,INDEX(FormData,$W26,f_Who)&amp;""))*(ROW(WhoKW)-MIN(ROW(WhoKW))+1)))=0,"",INDEX(WhoVal,SUMPRODUCT(MAX((WhoKW&lt;&gt;"")*ISNUMBER(SEARCH(WhoKW,INDEX(FormData,$W26,f_Who)&amp;""))*(ROW(WhoKW)-MIN(ROW(WhoKW))+1))))),""))</f>
        <v/>
      </c>
      <c r="F26" s="17">
        <f>IF($W26="","",TRIM(IFERROR(INDEX(FormData,$W26,f_Org1)&amp;"","")&amp;" "&amp;IFERROR(INDEX(FormData,$W26,f_Org2)&amp;"","")))</f>
        <v/>
      </c>
      <c r="G26" s="16">
        <f>IF($W26="","",IFERROR(INDEX(FormData,$W26,f_Region)&amp;"",""))</f>
        <v/>
      </c>
      <c r="H26" s="16">
        <f>IF($W26="","",IFERROR(IF(SUMPRODUCT(MAX((SitKW&lt;&gt;"")*ISNUMBER(SEARCH(SitKW,INDEX(FormData,$W26,f_Sit)&amp;""))*(ROW(SitKW)-MIN(ROW(SitKW))+1)))=0,"",INDEX(SitVal,SUMPRODUCT(MAX((SitKW&lt;&gt;"")*ISNUMBER(SEARCH(SitKW,INDEX(FormData,$W26,f_Sit)&amp;""))*(ROW(SitKW)-MIN(ROW(SitKW))+1))))),""))</f>
        <v/>
      </c>
      <c r="I26" s="14">
        <f>IF($W26="","",IFERROR(INDEX(FormData,$W26,f_Appr)&amp;"",""))</f>
        <v/>
      </c>
      <c r="J26" s="16">
        <f>IF($W26="","",IFERROR(INDEX(FormData,$W26,f_Trade)&amp;"",""))</f>
        <v/>
      </c>
      <c r="K26" s="16" t="n"/>
      <c r="L26" s="17" t="n"/>
      <c r="M26" s="16" t="n"/>
      <c r="N26" s="17" t="n"/>
      <c r="O26" s="14" t="n"/>
      <c r="P26" s="14" t="n"/>
      <c r="Q26" s="18" t="n"/>
      <c r="R26" s="18" t="n"/>
      <c r="S26" s="13">
        <f>IF($P26&lt;&gt;"✓","",IF($R26&lt;&gt;"","Done",IF($Q26="","Open — no date",IF($Q26&lt;TODAY(),"Overdue",IF($Q26-TODAY()&lt;=DueSoon,"Due soon","Scheduled")))))</f>
        <v/>
      </c>
      <c r="T26" s="14">
        <f>IF($W26="","",IFERROR(IF(INDEX(FormData,$W26,f_Consent)&amp;""="","",IF(ISNUMBER(SEARCH("yes",INDEX(FormData,$W26,f_Consent))),"Yes","No")),""))</f>
        <v/>
      </c>
      <c r="U26" s="14" t="n"/>
      <c r="V26" s="13">
        <f>IF($U26="","",IF($W26="","not found","✓"))</f>
        <v/>
      </c>
      <c r="W26">
        <f>IF($U26="","",IFERROR(MATCH($U26,INDEX(FormData,0,f_Id),0),IFERROR(MATCH(--$U26,INDEX(FormData,0,f_Id),0),IFERROR(MATCH($U26&amp;"",INDEX(FormData,0,f_Id),0),""))))</f>
        <v/>
      </c>
      <c r="X26">
        <f>IF(AND($B26&lt;&gt;"",$B26='Event Report'!$C$3),ROW(),"")</f>
        <v/>
      </c>
      <c r="Y26">
        <f>IF(AND($P26="✓",$R26=""),IF($Q26="",90000,$Q26)+ROW()/100000,"")</f>
        <v/>
      </c>
      <c r="Z26">
        <f>IF(OR($U26&lt;&gt;"",$D26&lt;&gt;"",$E26&lt;&gt;"",$N26&lt;&gt;""),1,"")</f>
        <v/>
      </c>
    </row>
    <row r="27">
      <c r="A27" s="13" t="inlineStr">
        <is>
          <t>P-0023</t>
        </is>
      </c>
      <c r="B27" s="14">
        <f>IF(AND($U27="",$C27=""),"",IFERROR(INDEX(EvID,MATCH(INDEX(FormData,$W27,f_Event),EvID,0)),IFERROR(INDEX(EvID,MATCH(INDEX(FormData,$W27,f_Event),EvName,0)),IFERROR(INDEX(EvID,MATCH(INT($C27),EvDate,0)),""))))</f>
        <v/>
      </c>
      <c r="C27" s="15">
        <f>IF($W27="","",INDEX(FormData,$W27,f_Time))</f>
        <v/>
      </c>
      <c r="D27" s="14">
        <f>IF($W27="","",IFERROR(UPPER(LEFT(TRIM(INDEX(FormData,$W27,f_Name)),1)&amp;IFERROR(MID(TRIM(INDEX(FormData,$W27,f_Name)),FIND("^",SUBSTITUTE(TRIM(INDEX(FormData,$W27,f_Name))," ","^",LEN(TRIM(INDEX(FormData,$W27,f_Name)))-LEN(SUBSTITUTE(TRIM(INDEX(FormData,$W27,f_Name))," ",""))))+1,1),"")),""))</f>
        <v/>
      </c>
      <c r="E27" s="16">
        <f>IF($W27="","",IFERROR(IF(SUMPRODUCT(MAX((WhoKW&lt;&gt;"")*ISNUMBER(SEARCH(WhoKW,INDEX(FormData,$W27,f_Who)&amp;""))*(ROW(WhoKW)-MIN(ROW(WhoKW))+1)))=0,"",INDEX(WhoVal,SUMPRODUCT(MAX((WhoKW&lt;&gt;"")*ISNUMBER(SEARCH(WhoKW,INDEX(FormData,$W27,f_Who)&amp;""))*(ROW(WhoKW)-MIN(ROW(WhoKW))+1))))),""))</f>
        <v/>
      </c>
      <c r="F27" s="17">
        <f>IF($W27="","",TRIM(IFERROR(INDEX(FormData,$W27,f_Org1)&amp;"","")&amp;" "&amp;IFERROR(INDEX(FormData,$W27,f_Org2)&amp;"","")))</f>
        <v/>
      </c>
      <c r="G27" s="16">
        <f>IF($W27="","",IFERROR(INDEX(FormData,$W27,f_Region)&amp;"",""))</f>
        <v/>
      </c>
      <c r="H27" s="16">
        <f>IF($W27="","",IFERROR(IF(SUMPRODUCT(MAX((SitKW&lt;&gt;"")*ISNUMBER(SEARCH(SitKW,INDEX(FormData,$W27,f_Sit)&amp;""))*(ROW(SitKW)-MIN(ROW(SitKW))+1)))=0,"",INDEX(SitVal,SUMPRODUCT(MAX((SitKW&lt;&gt;"")*ISNUMBER(SEARCH(SitKW,INDEX(FormData,$W27,f_Sit)&amp;""))*(ROW(SitKW)-MIN(ROW(SitKW))+1))))),""))</f>
        <v/>
      </c>
      <c r="I27" s="14">
        <f>IF($W27="","",IFERROR(INDEX(FormData,$W27,f_Appr)&amp;"",""))</f>
        <v/>
      </c>
      <c r="J27" s="16">
        <f>IF($W27="","",IFERROR(INDEX(FormData,$W27,f_Trade)&amp;"",""))</f>
        <v/>
      </c>
      <c r="K27" s="16" t="n"/>
      <c r="L27" s="17" t="n"/>
      <c r="M27" s="16" t="n"/>
      <c r="N27" s="17" t="n"/>
      <c r="O27" s="14" t="n"/>
      <c r="P27" s="14" t="n"/>
      <c r="Q27" s="18" t="n"/>
      <c r="R27" s="18" t="n"/>
      <c r="S27" s="13">
        <f>IF($P27&lt;&gt;"✓","",IF($R27&lt;&gt;"","Done",IF($Q27="","Open — no date",IF($Q27&lt;TODAY(),"Overdue",IF($Q27-TODAY()&lt;=DueSoon,"Due soon","Scheduled")))))</f>
        <v/>
      </c>
      <c r="T27" s="14">
        <f>IF($W27="","",IFERROR(IF(INDEX(FormData,$W27,f_Consent)&amp;""="","",IF(ISNUMBER(SEARCH("yes",INDEX(FormData,$W27,f_Consent))),"Yes","No")),""))</f>
        <v/>
      </c>
      <c r="U27" s="14" t="n"/>
      <c r="V27" s="13">
        <f>IF($U27="","",IF($W27="","not found","✓"))</f>
        <v/>
      </c>
      <c r="W27">
        <f>IF($U27="","",IFERROR(MATCH($U27,INDEX(FormData,0,f_Id),0),IFERROR(MATCH(--$U27,INDEX(FormData,0,f_Id),0),IFERROR(MATCH($U27&amp;"",INDEX(FormData,0,f_Id),0),""))))</f>
        <v/>
      </c>
      <c r="X27">
        <f>IF(AND($B27&lt;&gt;"",$B27='Event Report'!$C$3),ROW(),"")</f>
        <v/>
      </c>
      <c r="Y27">
        <f>IF(AND($P27="✓",$R27=""),IF($Q27="",90000,$Q27)+ROW()/100000,"")</f>
        <v/>
      </c>
      <c r="Z27">
        <f>IF(OR($U27&lt;&gt;"",$D27&lt;&gt;"",$E27&lt;&gt;"",$N27&lt;&gt;""),1,"")</f>
        <v/>
      </c>
    </row>
    <row r="28">
      <c r="A28" s="13" t="inlineStr">
        <is>
          <t>P-0024</t>
        </is>
      </c>
      <c r="B28" s="14">
        <f>IF(AND($U28="",$C28=""),"",IFERROR(INDEX(EvID,MATCH(INDEX(FormData,$W28,f_Event),EvID,0)),IFERROR(INDEX(EvID,MATCH(INDEX(FormData,$W28,f_Event),EvName,0)),IFERROR(INDEX(EvID,MATCH(INT($C28),EvDate,0)),""))))</f>
        <v/>
      </c>
      <c r="C28" s="15">
        <f>IF($W28="","",INDEX(FormData,$W28,f_Time))</f>
        <v/>
      </c>
      <c r="D28" s="14">
        <f>IF($W28="","",IFERROR(UPPER(LEFT(TRIM(INDEX(FormData,$W28,f_Name)),1)&amp;IFERROR(MID(TRIM(INDEX(FormData,$W28,f_Name)),FIND("^",SUBSTITUTE(TRIM(INDEX(FormData,$W28,f_Name))," ","^",LEN(TRIM(INDEX(FormData,$W28,f_Name)))-LEN(SUBSTITUTE(TRIM(INDEX(FormData,$W28,f_Name))," ",""))))+1,1),"")),""))</f>
        <v/>
      </c>
      <c r="E28" s="16">
        <f>IF($W28="","",IFERROR(IF(SUMPRODUCT(MAX((WhoKW&lt;&gt;"")*ISNUMBER(SEARCH(WhoKW,INDEX(FormData,$W28,f_Who)&amp;""))*(ROW(WhoKW)-MIN(ROW(WhoKW))+1)))=0,"",INDEX(WhoVal,SUMPRODUCT(MAX((WhoKW&lt;&gt;"")*ISNUMBER(SEARCH(WhoKW,INDEX(FormData,$W28,f_Who)&amp;""))*(ROW(WhoKW)-MIN(ROW(WhoKW))+1))))),""))</f>
        <v/>
      </c>
      <c r="F28" s="17">
        <f>IF($W28="","",TRIM(IFERROR(INDEX(FormData,$W28,f_Org1)&amp;"","")&amp;" "&amp;IFERROR(INDEX(FormData,$W28,f_Org2)&amp;"","")))</f>
        <v/>
      </c>
      <c r="G28" s="16">
        <f>IF($W28="","",IFERROR(INDEX(FormData,$W28,f_Region)&amp;"",""))</f>
        <v/>
      </c>
      <c r="H28" s="16">
        <f>IF($W28="","",IFERROR(IF(SUMPRODUCT(MAX((SitKW&lt;&gt;"")*ISNUMBER(SEARCH(SitKW,INDEX(FormData,$W28,f_Sit)&amp;""))*(ROW(SitKW)-MIN(ROW(SitKW))+1)))=0,"",INDEX(SitVal,SUMPRODUCT(MAX((SitKW&lt;&gt;"")*ISNUMBER(SEARCH(SitKW,INDEX(FormData,$W28,f_Sit)&amp;""))*(ROW(SitKW)-MIN(ROW(SitKW))+1))))),""))</f>
        <v/>
      </c>
      <c r="I28" s="14">
        <f>IF($W28="","",IFERROR(INDEX(FormData,$W28,f_Appr)&amp;"",""))</f>
        <v/>
      </c>
      <c r="J28" s="16">
        <f>IF($W28="","",IFERROR(INDEX(FormData,$W28,f_Trade)&amp;"",""))</f>
        <v/>
      </c>
      <c r="K28" s="16" t="n"/>
      <c r="L28" s="17" t="n"/>
      <c r="M28" s="16" t="n"/>
      <c r="N28" s="17" t="n"/>
      <c r="O28" s="14" t="n"/>
      <c r="P28" s="14" t="n"/>
      <c r="Q28" s="18" t="n"/>
      <c r="R28" s="18" t="n"/>
      <c r="S28" s="13">
        <f>IF($P28&lt;&gt;"✓","",IF($R28&lt;&gt;"","Done",IF($Q28="","Open — no date",IF($Q28&lt;TODAY(),"Overdue",IF($Q28-TODAY()&lt;=DueSoon,"Due soon","Scheduled")))))</f>
        <v/>
      </c>
      <c r="T28" s="14">
        <f>IF($W28="","",IFERROR(IF(INDEX(FormData,$W28,f_Consent)&amp;""="","",IF(ISNUMBER(SEARCH("yes",INDEX(FormData,$W28,f_Consent))),"Yes","No")),""))</f>
        <v/>
      </c>
      <c r="U28" s="14" t="n"/>
      <c r="V28" s="13">
        <f>IF($U28="","",IF($W28="","not found","✓"))</f>
        <v/>
      </c>
      <c r="W28">
        <f>IF($U28="","",IFERROR(MATCH($U28,INDEX(FormData,0,f_Id),0),IFERROR(MATCH(--$U28,INDEX(FormData,0,f_Id),0),IFERROR(MATCH($U28&amp;"",INDEX(FormData,0,f_Id),0),""))))</f>
        <v/>
      </c>
      <c r="X28">
        <f>IF(AND($B28&lt;&gt;"",$B28='Event Report'!$C$3),ROW(),"")</f>
        <v/>
      </c>
      <c r="Y28">
        <f>IF(AND($P28="✓",$R28=""),IF($Q28="",90000,$Q28)+ROW()/100000,"")</f>
        <v/>
      </c>
      <c r="Z28">
        <f>IF(OR($U28&lt;&gt;"",$D28&lt;&gt;"",$E28&lt;&gt;"",$N28&lt;&gt;""),1,"")</f>
        <v/>
      </c>
    </row>
    <row r="29">
      <c r="A29" s="13" t="inlineStr">
        <is>
          <t>P-0025</t>
        </is>
      </c>
      <c r="B29" s="14">
        <f>IF(AND($U29="",$C29=""),"",IFERROR(INDEX(EvID,MATCH(INDEX(FormData,$W29,f_Event),EvID,0)),IFERROR(INDEX(EvID,MATCH(INDEX(FormData,$W29,f_Event),EvName,0)),IFERROR(INDEX(EvID,MATCH(INT($C29),EvDate,0)),""))))</f>
        <v/>
      </c>
      <c r="C29" s="15">
        <f>IF($W29="","",INDEX(FormData,$W29,f_Time))</f>
        <v/>
      </c>
      <c r="D29" s="14">
        <f>IF($W29="","",IFERROR(UPPER(LEFT(TRIM(INDEX(FormData,$W29,f_Name)),1)&amp;IFERROR(MID(TRIM(INDEX(FormData,$W29,f_Name)),FIND("^",SUBSTITUTE(TRIM(INDEX(FormData,$W29,f_Name))," ","^",LEN(TRIM(INDEX(FormData,$W29,f_Name)))-LEN(SUBSTITUTE(TRIM(INDEX(FormData,$W29,f_Name))," ",""))))+1,1),"")),""))</f>
        <v/>
      </c>
      <c r="E29" s="16">
        <f>IF($W29="","",IFERROR(IF(SUMPRODUCT(MAX((WhoKW&lt;&gt;"")*ISNUMBER(SEARCH(WhoKW,INDEX(FormData,$W29,f_Who)&amp;""))*(ROW(WhoKW)-MIN(ROW(WhoKW))+1)))=0,"",INDEX(WhoVal,SUMPRODUCT(MAX((WhoKW&lt;&gt;"")*ISNUMBER(SEARCH(WhoKW,INDEX(FormData,$W29,f_Who)&amp;""))*(ROW(WhoKW)-MIN(ROW(WhoKW))+1))))),""))</f>
        <v/>
      </c>
      <c r="F29" s="17">
        <f>IF($W29="","",TRIM(IFERROR(INDEX(FormData,$W29,f_Org1)&amp;"","")&amp;" "&amp;IFERROR(INDEX(FormData,$W29,f_Org2)&amp;"","")))</f>
        <v/>
      </c>
      <c r="G29" s="16">
        <f>IF($W29="","",IFERROR(INDEX(FormData,$W29,f_Region)&amp;"",""))</f>
        <v/>
      </c>
      <c r="H29" s="16">
        <f>IF($W29="","",IFERROR(IF(SUMPRODUCT(MAX((SitKW&lt;&gt;"")*ISNUMBER(SEARCH(SitKW,INDEX(FormData,$W29,f_Sit)&amp;""))*(ROW(SitKW)-MIN(ROW(SitKW))+1)))=0,"",INDEX(SitVal,SUMPRODUCT(MAX((SitKW&lt;&gt;"")*ISNUMBER(SEARCH(SitKW,INDEX(FormData,$W29,f_Sit)&amp;""))*(ROW(SitKW)-MIN(ROW(SitKW))+1))))),""))</f>
        <v/>
      </c>
      <c r="I29" s="14">
        <f>IF($W29="","",IFERROR(INDEX(FormData,$W29,f_Appr)&amp;"",""))</f>
        <v/>
      </c>
      <c r="J29" s="16">
        <f>IF($W29="","",IFERROR(INDEX(FormData,$W29,f_Trade)&amp;"",""))</f>
        <v/>
      </c>
      <c r="K29" s="16" t="n"/>
      <c r="L29" s="17" t="n"/>
      <c r="M29" s="16" t="n"/>
      <c r="N29" s="17" t="n"/>
      <c r="O29" s="14" t="n"/>
      <c r="P29" s="14" t="n"/>
      <c r="Q29" s="18" t="n"/>
      <c r="R29" s="18" t="n"/>
      <c r="S29" s="13">
        <f>IF($P29&lt;&gt;"✓","",IF($R29&lt;&gt;"","Done",IF($Q29="","Open — no date",IF($Q29&lt;TODAY(),"Overdue",IF($Q29-TODAY()&lt;=DueSoon,"Due soon","Scheduled")))))</f>
        <v/>
      </c>
      <c r="T29" s="14">
        <f>IF($W29="","",IFERROR(IF(INDEX(FormData,$W29,f_Consent)&amp;""="","",IF(ISNUMBER(SEARCH("yes",INDEX(FormData,$W29,f_Consent))),"Yes","No")),""))</f>
        <v/>
      </c>
      <c r="U29" s="14" t="n"/>
      <c r="V29" s="13">
        <f>IF($U29="","",IF($W29="","not found","✓"))</f>
        <v/>
      </c>
      <c r="W29">
        <f>IF($U29="","",IFERROR(MATCH($U29,INDEX(FormData,0,f_Id),0),IFERROR(MATCH(--$U29,INDEX(FormData,0,f_Id),0),IFERROR(MATCH($U29&amp;"",INDEX(FormData,0,f_Id),0),""))))</f>
        <v/>
      </c>
      <c r="X29">
        <f>IF(AND($B29&lt;&gt;"",$B29='Event Report'!$C$3),ROW(),"")</f>
        <v/>
      </c>
      <c r="Y29">
        <f>IF(AND($P29="✓",$R29=""),IF($Q29="",90000,$Q29)+ROW()/100000,"")</f>
        <v/>
      </c>
      <c r="Z29">
        <f>IF(OR($U29&lt;&gt;"",$D29&lt;&gt;"",$E29&lt;&gt;"",$N29&lt;&gt;""),1,"")</f>
        <v/>
      </c>
    </row>
    <row r="30">
      <c r="A30" s="13" t="inlineStr">
        <is>
          <t>P-0026</t>
        </is>
      </c>
      <c r="B30" s="14">
        <f>IF(AND($U30="",$C30=""),"",IFERROR(INDEX(EvID,MATCH(INDEX(FormData,$W30,f_Event),EvID,0)),IFERROR(INDEX(EvID,MATCH(INDEX(FormData,$W30,f_Event),EvName,0)),IFERROR(INDEX(EvID,MATCH(INT($C30),EvDate,0)),""))))</f>
        <v/>
      </c>
      <c r="C30" s="15">
        <f>IF($W30="","",INDEX(FormData,$W30,f_Time))</f>
        <v/>
      </c>
      <c r="D30" s="14">
        <f>IF($W30="","",IFERROR(UPPER(LEFT(TRIM(INDEX(FormData,$W30,f_Name)),1)&amp;IFERROR(MID(TRIM(INDEX(FormData,$W30,f_Name)),FIND("^",SUBSTITUTE(TRIM(INDEX(FormData,$W30,f_Name))," ","^",LEN(TRIM(INDEX(FormData,$W30,f_Name)))-LEN(SUBSTITUTE(TRIM(INDEX(FormData,$W30,f_Name))," ",""))))+1,1),"")),""))</f>
        <v/>
      </c>
      <c r="E30" s="16">
        <f>IF($W30="","",IFERROR(IF(SUMPRODUCT(MAX((WhoKW&lt;&gt;"")*ISNUMBER(SEARCH(WhoKW,INDEX(FormData,$W30,f_Who)&amp;""))*(ROW(WhoKW)-MIN(ROW(WhoKW))+1)))=0,"",INDEX(WhoVal,SUMPRODUCT(MAX((WhoKW&lt;&gt;"")*ISNUMBER(SEARCH(WhoKW,INDEX(FormData,$W30,f_Who)&amp;""))*(ROW(WhoKW)-MIN(ROW(WhoKW))+1))))),""))</f>
        <v/>
      </c>
      <c r="F30" s="17">
        <f>IF($W30="","",TRIM(IFERROR(INDEX(FormData,$W30,f_Org1)&amp;"","")&amp;" "&amp;IFERROR(INDEX(FormData,$W30,f_Org2)&amp;"","")))</f>
        <v/>
      </c>
      <c r="G30" s="16">
        <f>IF($W30="","",IFERROR(INDEX(FormData,$W30,f_Region)&amp;"",""))</f>
        <v/>
      </c>
      <c r="H30" s="16">
        <f>IF($W30="","",IFERROR(IF(SUMPRODUCT(MAX((SitKW&lt;&gt;"")*ISNUMBER(SEARCH(SitKW,INDEX(FormData,$W30,f_Sit)&amp;""))*(ROW(SitKW)-MIN(ROW(SitKW))+1)))=0,"",INDEX(SitVal,SUMPRODUCT(MAX((SitKW&lt;&gt;"")*ISNUMBER(SEARCH(SitKW,INDEX(FormData,$W30,f_Sit)&amp;""))*(ROW(SitKW)-MIN(ROW(SitKW))+1))))),""))</f>
        <v/>
      </c>
      <c r="I30" s="14">
        <f>IF($W30="","",IFERROR(INDEX(FormData,$W30,f_Appr)&amp;"",""))</f>
        <v/>
      </c>
      <c r="J30" s="16">
        <f>IF($W30="","",IFERROR(INDEX(FormData,$W30,f_Trade)&amp;"",""))</f>
        <v/>
      </c>
      <c r="K30" s="16" t="n"/>
      <c r="L30" s="17" t="n"/>
      <c r="M30" s="16" t="n"/>
      <c r="N30" s="17" t="n"/>
      <c r="O30" s="14" t="n"/>
      <c r="P30" s="14" t="n"/>
      <c r="Q30" s="18" t="n"/>
      <c r="R30" s="18" t="n"/>
      <c r="S30" s="13">
        <f>IF($P30&lt;&gt;"✓","",IF($R30&lt;&gt;"","Done",IF($Q30="","Open — no date",IF($Q30&lt;TODAY(),"Overdue",IF($Q30-TODAY()&lt;=DueSoon,"Due soon","Scheduled")))))</f>
        <v/>
      </c>
      <c r="T30" s="14">
        <f>IF($W30="","",IFERROR(IF(INDEX(FormData,$W30,f_Consent)&amp;""="","",IF(ISNUMBER(SEARCH("yes",INDEX(FormData,$W30,f_Consent))),"Yes","No")),""))</f>
        <v/>
      </c>
      <c r="U30" s="14" t="n"/>
      <c r="V30" s="13">
        <f>IF($U30="","",IF($W30="","not found","✓"))</f>
        <v/>
      </c>
      <c r="W30">
        <f>IF($U30="","",IFERROR(MATCH($U30,INDEX(FormData,0,f_Id),0),IFERROR(MATCH(--$U30,INDEX(FormData,0,f_Id),0),IFERROR(MATCH($U30&amp;"",INDEX(FormData,0,f_Id),0),""))))</f>
        <v/>
      </c>
      <c r="X30">
        <f>IF(AND($B30&lt;&gt;"",$B30='Event Report'!$C$3),ROW(),"")</f>
        <v/>
      </c>
      <c r="Y30">
        <f>IF(AND($P30="✓",$R30=""),IF($Q30="",90000,$Q30)+ROW()/100000,"")</f>
        <v/>
      </c>
      <c r="Z30">
        <f>IF(OR($U30&lt;&gt;"",$D30&lt;&gt;"",$E30&lt;&gt;"",$N30&lt;&gt;""),1,"")</f>
        <v/>
      </c>
    </row>
    <row r="31">
      <c r="A31" s="13" t="inlineStr">
        <is>
          <t>P-0027</t>
        </is>
      </c>
      <c r="B31" s="14">
        <f>IF(AND($U31="",$C31=""),"",IFERROR(INDEX(EvID,MATCH(INDEX(FormData,$W31,f_Event),EvID,0)),IFERROR(INDEX(EvID,MATCH(INDEX(FormData,$W31,f_Event),EvName,0)),IFERROR(INDEX(EvID,MATCH(INT($C31),EvDate,0)),""))))</f>
        <v/>
      </c>
      <c r="C31" s="15">
        <f>IF($W31="","",INDEX(FormData,$W31,f_Time))</f>
        <v/>
      </c>
      <c r="D31" s="14">
        <f>IF($W31="","",IFERROR(UPPER(LEFT(TRIM(INDEX(FormData,$W31,f_Name)),1)&amp;IFERROR(MID(TRIM(INDEX(FormData,$W31,f_Name)),FIND("^",SUBSTITUTE(TRIM(INDEX(FormData,$W31,f_Name))," ","^",LEN(TRIM(INDEX(FormData,$W31,f_Name)))-LEN(SUBSTITUTE(TRIM(INDEX(FormData,$W31,f_Name))," ",""))))+1,1),"")),""))</f>
        <v/>
      </c>
      <c r="E31" s="16">
        <f>IF($W31="","",IFERROR(IF(SUMPRODUCT(MAX((WhoKW&lt;&gt;"")*ISNUMBER(SEARCH(WhoKW,INDEX(FormData,$W31,f_Who)&amp;""))*(ROW(WhoKW)-MIN(ROW(WhoKW))+1)))=0,"",INDEX(WhoVal,SUMPRODUCT(MAX((WhoKW&lt;&gt;"")*ISNUMBER(SEARCH(WhoKW,INDEX(FormData,$W31,f_Who)&amp;""))*(ROW(WhoKW)-MIN(ROW(WhoKW))+1))))),""))</f>
        <v/>
      </c>
      <c r="F31" s="17">
        <f>IF($W31="","",TRIM(IFERROR(INDEX(FormData,$W31,f_Org1)&amp;"","")&amp;" "&amp;IFERROR(INDEX(FormData,$W31,f_Org2)&amp;"","")))</f>
        <v/>
      </c>
      <c r="G31" s="16">
        <f>IF($W31="","",IFERROR(INDEX(FormData,$W31,f_Region)&amp;"",""))</f>
        <v/>
      </c>
      <c r="H31" s="16">
        <f>IF($W31="","",IFERROR(IF(SUMPRODUCT(MAX((SitKW&lt;&gt;"")*ISNUMBER(SEARCH(SitKW,INDEX(FormData,$W31,f_Sit)&amp;""))*(ROW(SitKW)-MIN(ROW(SitKW))+1)))=0,"",INDEX(SitVal,SUMPRODUCT(MAX((SitKW&lt;&gt;"")*ISNUMBER(SEARCH(SitKW,INDEX(FormData,$W31,f_Sit)&amp;""))*(ROW(SitKW)-MIN(ROW(SitKW))+1))))),""))</f>
        <v/>
      </c>
      <c r="I31" s="14">
        <f>IF($W31="","",IFERROR(INDEX(FormData,$W31,f_Appr)&amp;"",""))</f>
        <v/>
      </c>
      <c r="J31" s="16">
        <f>IF($W31="","",IFERROR(INDEX(FormData,$W31,f_Trade)&amp;"",""))</f>
        <v/>
      </c>
      <c r="K31" s="16" t="n"/>
      <c r="L31" s="17" t="n"/>
      <c r="M31" s="16" t="n"/>
      <c r="N31" s="17" t="n"/>
      <c r="O31" s="14" t="n"/>
      <c r="P31" s="14" t="n"/>
      <c r="Q31" s="18" t="n"/>
      <c r="R31" s="18" t="n"/>
      <c r="S31" s="13">
        <f>IF($P31&lt;&gt;"✓","",IF($R31&lt;&gt;"","Done",IF($Q31="","Open — no date",IF($Q31&lt;TODAY(),"Overdue",IF($Q31-TODAY()&lt;=DueSoon,"Due soon","Scheduled")))))</f>
        <v/>
      </c>
      <c r="T31" s="14">
        <f>IF($W31="","",IFERROR(IF(INDEX(FormData,$W31,f_Consent)&amp;""="","",IF(ISNUMBER(SEARCH("yes",INDEX(FormData,$W31,f_Consent))),"Yes","No")),""))</f>
        <v/>
      </c>
      <c r="U31" s="14" t="n"/>
      <c r="V31" s="13">
        <f>IF($U31="","",IF($W31="","not found","✓"))</f>
        <v/>
      </c>
      <c r="W31">
        <f>IF($U31="","",IFERROR(MATCH($U31,INDEX(FormData,0,f_Id),0),IFERROR(MATCH(--$U31,INDEX(FormData,0,f_Id),0),IFERROR(MATCH($U31&amp;"",INDEX(FormData,0,f_Id),0),""))))</f>
        <v/>
      </c>
      <c r="X31">
        <f>IF(AND($B31&lt;&gt;"",$B31='Event Report'!$C$3),ROW(),"")</f>
        <v/>
      </c>
      <c r="Y31">
        <f>IF(AND($P31="✓",$R31=""),IF($Q31="",90000,$Q31)+ROW()/100000,"")</f>
        <v/>
      </c>
      <c r="Z31">
        <f>IF(OR($U31&lt;&gt;"",$D31&lt;&gt;"",$E31&lt;&gt;"",$N31&lt;&gt;""),1,"")</f>
        <v/>
      </c>
    </row>
    <row r="32">
      <c r="A32" s="13" t="inlineStr">
        <is>
          <t>P-0028</t>
        </is>
      </c>
      <c r="B32" s="14">
        <f>IF(AND($U32="",$C32=""),"",IFERROR(INDEX(EvID,MATCH(INDEX(FormData,$W32,f_Event),EvID,0)),IFERROR(INDEX(EvID,MATCH(INDEX(FormData,$W32,f_Event),EvName,0)),IFERROR(INDEX(EvID,MATCH(INT($C32),EvDate,0)),""))))</f>
        <v/>
      </c>
      <c r="C32" s="15">
        <f>IF($W32="","",INDEX(FormData,$W32,f_Time))</f>
        <v/>
      </c>
      <c r="D32" s="14">
        <f>IF($W32="","",IFERROR(UPPER(LEFT(TRIM(INDEX(FormData,$W32,f_Name)),1)&amp;IFERROR(MID(TRIM(INDEX(FormData,$W32,f_Name)),FIND("^",SUBSTITUTE(TRIM(INDEX(FormData,$W32,f_Name))," ","^",LEN(TRIM(INDEX(FormData,$W32,f_Name)))-LEN(SUBSTITUTE(TRIM(INDEX(FormData,$W32,f_Name))," ",""))))+1,1),"")),""))</f>
        <v/>
      </c>
      <c r="E32" s="16">
        <f>IF($W32="","",IFERROR(IF(SUMPRODUCT(MAX((WhoKW&lt;&gt;"")*ISNUMBER(SEARCH(WhoKW,INDEX(FormData,$W32,f_Who)&amp;""))*(ROW(WhoKW)-MIN(ROW(WhoKW))+1)))=0,"",INDEX(WhoVal,SUMPRODUCT(MAX((WhoKW&lt;&gt;"")*ISNUMBER(SEARCH(WhoKW,INDEX(FormData,$W32,f_Who)&amp;""))*(ROW(WhoKW)-MIN(ROW(WhoKW))+1))))),""))</f>
        <v/>
      </c>
      <c r="F32" s="17">
        <f>IF($W32="","",TRIM(IFERROR(INDEX(FormData,$W32,f_Org1)&amp;"","")&amp;" "&amp;IFERROR(INDEX(FormData,$W32,f_Org2)&amp;"","")))</f>
        <v/>
      </c>
      <c r="G32" s="16">
        <f>IF($W32="","",IFERROR(INDEX(FormData,$W32,f_Region)&amp;"",""))</f>
        <v/>
      </c>
      <c r="H32" s="16">
        <f>IF($W32="","",IFERROR(IF(SUMPRODUCT(MAX((SitKW&lt;&gt;"")*ISNUMBER(SEARCH(SitKW,INDEX(FormData,$W32,f_Sit)&amp;""))*(ROW(SitKW)-MIN(ROW(SitKW))+1)))=0,"",INDEX(SitVal,SUMPRODUCT(MAX((SitKW&lt;&gt;"")*ISNUMBER(SEARCH(SitKW,INDEX(FormData,$W32,f_Sit)&amp;""))*(ROW(SitKW)-MIN(ROW(SitKW))+1))))),""))</f>
        <v/>
      </c>
      <c r="I32" s="14">
        <f>IF($W32="","",IFERROR(INDEX(FormData,$W32,f_Appr)&amp;"",""))</f>
        <v/>
      </c>
      <c r="J32" s="16">
        <f>IF($W32="","",IFERROR(INDEX(FormData,$W32,f_Trade)&amp;"",""))</f>
        <v/>
      </c>
      <c r="K32" s="16" t="n"/>
      <c r="L32" s="17" t="n"/>
      <c r="M32" s="16" t="n"/>
      <c r="N32" s="17" t="n"/>
      <c r="O32" s="14" t="n"/>
      <c r="P32" s="14" t="n"/>
      <c r="Q32" s="18" t="n"/>
      <c r="R32" s="18" t="n"/>
      <c r="S32" s="13">
        <f>IF($P32&lt;&gt;"✓","",IF($R32&lt;&gt;"","Done",IF($Q32="","Open — no date",IF($Q32&lt;TODAY(),"Overdue",IF($Q32-TODAY()&lt;=DueSoon,"Due soon","Scheduled")))))</f>
        <v/>
      </c>
      <c r="T32" s="14">
        <f>IF($W32="","",IFERROR(IF(INDEX(FormData,$W32,f_Consent)&amp;""="","",IF(ISNUMBER(SEARCH("yes",INDEX(FormData,$W32,f_Consent))),"Yes","No")),""))</f>
        <v/>
      </c>
      <c r="U32" s="14" t="n"/>
      <c r="V32" s="13">
        <f>IF($U32="","",IF($W32="","not found","✓"))</f>
        <v/>
      </c>
      <c r="W32">
        <f>IF($U32="","",IFERROR(MATCH($U32,INDEX(FormData,0,f_Id),0),IFERROR(MATCH(--$U32,INDEX(FormData,0,f_Id),0),IFERROR(MATCH($U32&amp;"",INDEX(FormData,0,f_Id),0),""))))</f>
        <v/>
      </c>
      <c r="X32">
        <f>IF(AND($B32&lt;&gt;"",$B32='Event Report'!$C$3),ROW(),"")</f>
        <v/>
      </c>
      <c r="Y32">
        <f>IF(AND($P32="✓",$R32=""),IF($Q32="",90000,$Q32)+ROW()/100000,"")</f>
        <v/>
      </c>
      <c r="Z32">
        <f>IF(OR($U32&lt;&gt;"",$D32&lt;&gt;"",$E32&lt;&gt;"",$N32&lt;&gt;""),1,"")</f>
        <v/>
      </c>
    </row>
    <row r="33">
      <c r="A33" s="13" t="inlineStr">
        <is>
          <t>P-0029</t>
        </is>
      </c>
      <c r="B33" s="14">
        <f>IF(AND($U33="",$C33=""),"",IFERROR(INDEX(EvID,MATCH(INDEX(FormData,$W33,f_Event),EvID,0)),IFERROR(INDEX(EvID,MATCH(INDEX(FormData,$W33,f_Event),EvName,0)),IFERROR(INDEX(EvID,MATCH(INT($C33),EvDate,0)),""))))</f>
        <v/>
      </c>
      <c r="C33" s="15">
        <f>IF($W33="","",INDEX(FormData,$W33,f_Time))</f>
        <v/>
      </c>
      <c r="D33" s="14">
        <f>IF($W33="","",IFERROR(UPPER(LEFT(TRIM(INDEX(FormData,$W33,f_Name)),1)&amp;IFERROR(MID(TRIM(INDEX(FormData,$W33,f_Name)),FIND("^",SUBSTITUTE(TRIM(INDEX(FormData,$W33,f_Name))," ","^",LEN(TRIM(INDEX(FormData,$W33,f_Name)))-LEN(SUBSTITUTE(TRIM(INDEX(FormData,$W33,f_Name))," ",""))))+1,1),"")),""))</f>
        <v/>
      </c>
      <c r="E33" s="16">
        <f>IF($W33="","",IFERROR(IF(SUMPRODUCT(MAX((WhoKW&lt;&gt;"")*ISNUMBER(SEARCH(WhoKW,INDEX(FormData,$W33,f_Who)&amp;""))*(ROW(WhoKW)-MIN(ROW(WhoKW))+1)))=0,"",INDEX(WhoVal,SUMPRODUCT(MAX((WhoKW&lt;&gt;"")*ISNUMBER(SEARCH(WhoKW,INDEX(FormData,$W33,f_Who)&amp;""))*(ROW(WhoKW)-MIN(ROW(WhoKW))+1))))),""))</f>
        <v/>
      </c>
      <c r="F33" s="17">
        <f>IF($W33="","",TRIM(IFERROR(INDEX(FormData,$W33,f_Org1)&amp;"","")&amp;" "&amp;IFERROR(INDEX(FormData,$W33,f_Org2)&amp;"","")))</f>
        <v/>
      </c>
      <c r="G33" s="16">
        <f>IF($W33="","",IFERROR(INDEX(FormData,$W33,f_Region)&amp;"",""))</f>
        <v/>
      </c>
      <c r="H33" s="16">
        <f>IF($W33="","",IFERROR(IF(SUMPRODUCT(MAX((SitKW&lt;&gt;"")*ISNUMBER(SEARCH(SitKW,INDEX(FormData,$W33,f_Sit)&amp;""))*(ROW(SitKW)-MIN(ROW(SitKW))+1)))=0,"",INDEX(SitVal,SUMPRODUCT(MAX((SitKW&lt;&gt;"")*ISNUMBER(SEARCH(SitKW,INDEX(FormData,$W33,f_Sit)&amp;""))*(ROW(SitKW)-MIN(ROW(SitKW))+1))))),""))</f>
        <v/>
      </c>
      <c r="I33" s="14">
        <f>IF($W33="","",IFERROR(INDEX(FormData,$W33,f_Appr)&amp;"",""))</f>
        <v/>
      </c>
      <c r="J33" s="16">
        <f>IF($W33="","",IFERROR(INDEX(FormData,$W33,f_Trade)&amp;"",""))</f>
        <v/>
      </c>
      <c r="K33" s="16" t="n"/>
      <c r="L33" s="17" t="n"/>
      <c r="M33" s="16" t="n"/>
      <c r="N33" s="17" t="n"/>
      <c r="O33" s="14" t="n"/>
      <c r="P33" s="14" t="n"/>
      <c r="Q33" s="18" t="n"/>
      <c r="R33" s="18" t="n"/>
      <c r="S33" s="13">
        <f>IF($P33&lt;&gt;"✓","",IF($R33&lt;&gt;"","Done",IF($Q33="","Open — no date",IF($Q33&lt;TODAY(),"Overdue",IF($Q33-TODAY()&lt;=DueSoon,"Due soon","Scheduled")))))</f>
        <v/>
      </c>
      <c r="T33" s="14">
        <f>IF($W33="","",IFERROR(IF(INDEX(FormData,$W33,f_Consent)&amp;""="","",IF(ISNUMBER(SEARCH("yes",INDEX(FormData,$W33,f_Consent))),"Yes","No")),""))</f>
        <v/>
      </c>
      <c r="U33" s="14" t="n"/>
      <c r="V33" s="13">
        <f>IF($U33="","",IF($W33="","not found","✓"))</f>
        <v/>
      </c>
      <c r="W33">
        <f>IF($U33="","",IFERROR(MATCH($U33,INDEX(FormData,0,f_Id),0),IFERROR(MATCH(--$U33,INDEX(FormData,0,f_Id),0),IFERROR(MATCH($U33&amp;"",INDEX(FormData,0,f_Id),0),""))))</f>
        <v/>
      </c>
      <c r="X33">
        <f>IF(AND($B33&lt;&gt;"",$B33='Event Report'!$C$3),ROW(),"")</f>
        <v/>
      </c>
      <c r="Y33">
        <f>IF(AND($P33="✓",$R33=""),IF($Q33="",90000,$Q33)+ROW()/100000,"")</f>
        <v/>
      </c>
      <c r="Z33">
        <f>IF(OR($U33&lt;&gt;"",$D33&lt;&gt;"",$E33&lt;&gt;"",$N33&lt;&gt;""),1,"")</f>
        <v/>
      </c>
    </row>
    <row r="34">
      <c r="A34" s="13" t="inlineStr">
        <is>
          <t>P-0030</t>
        </is>
      </c>
      <c r="B34" s="14">
        <f>IF(AND($U34="",$C34=""),"",IFERROR(INDEX(EvID,MATCH(INDEX(FormData,$W34,f_Event),EvID,0)),IFERROR(INDEX(EvID,MATCH(INDEX(FormData,$W34,f_Event),EvName,0)),IFERROR(INDEX(EvID,MATCH(INT($C34),EvDate,0)),""))))</f>
        <v/>
      </c>
      <c r="C34" s="15">
        <f>IF($W34="","",INDEX(FormData,$W34,f_Time))</f>
        <v/>
      </c>
      <c r="D34" s="14">
        <f>IF($W34="","",IFERROR(UPPER(LEFT(TRIM(INDEX(FormData,$W34,f_Name)),1)&amp;IFERROR(MID(TRIM(INDEX(FormData,$W34,f_Name)),FIND("^",SUBSTITUTE(TRIM(INDEX(FormData,$W34,f_Name))," ","^",LEN(TRIM(INDEX(FormData,$W34,f_Name)))-LEN(SUBSTITUTE(TRIM(INDEX(FormData,$W34,f_Name))," ",""))))+1,1),"")),""))</f>
        <v/>
      </c>
      <c r="E34" s="16">
        <f>IF($W34="","",IFERROR(IF(SUMPRODUCT(MAX((WhoKW&lt;&gt;"")*ISNUMBER(SEARCH(WhoKW,INDEX(FormData,$W34,f_Who)&amp;""))*(ROW(WhoKW)-MIN(ROW(WhoKW))+1)))=0,"",INDEX(WhoVal,SUMPRODUCT(MAX((WhoKW&lt;&gt;"")*ISNUMBER(SEARCH(WhoKW,INDEX(FormData,$W34,f_Who)&amp;""))*(ROW(WhoKW)-MIN(ROW(WhoKW))+1))))),""))</f>
        <v/>
      </c>
      <c r="F34" s="17">
        <f>IF($W34="","",TRIM(IFERROR(INDEX(FormData,$W34,f_Org1)&amp;"","")&amp;" "&amp;IFERROR(INDEX(FormData,$W34,f_Org2)&amp;"","")))</f>
        <v/>
      </c>
      <c r="G34" s="16">
        <f>IF($W34="","",IFERROR(INDEX(FormData,$W34,f_Region)&amp;"",""))</f>
        <v/>
      </c>
      <c r="H34" s="16">
        <f>IF($W34="","",IFERROR(IF(SUMPRODUCT(MAX((SitKW&lt;&gt;"")*ISNUMBER(SEARCH(SitKW,INDEX(FormData,$W34,f_Sit)&amp;""))*(ROW(SitKW)-MIN(ROW(SitKW))+1)))=0,"",INDEX(SitVal,SUMPRODUCT(MAX((SitKW&lt;&gt;"")*ISNUMBER(SEARCH(SitKW,INDEX(FormData,$W34,f_Sit)&amp;""))*(ROW(SitKW)-MIN(ROW(SitKW))+1))))),""))</f>
        <v/>
      </c>
      <c r="I34" s="14">
        <f>IF($W34="","",IFERROR(INDEX(FormData,$W34,f_Appr)&amp;"",""))</f>
        <v/>
      </c>
      <c r="J34" s="16">
        <f>IF($W34="","",IFERROR(INDEX(FormData,$W34,f_Trade)&amp;"",""))</f>
        <v/>
      </c>
      <c r="K34" s="16" t="n"/>
      <c r="L34" s="17" t="n"/>
      <c r="M34" s="16" t="n"/>
      <c r="N34" s="17" t="n"/>
      <c r="O34" s="14" t="n"/>
      <c r="P34" s="14" t="n"/>
      <c r="Q34" s="18" t="n"/>
      <c r="R34" s="18" t="n"/>
      <c r="S34" s="13">
        <f>IF($P34&lt;&gt;"✓","",IF($R34&lt;&gt;"","Done",IF($Q34="","Open — no date",IF($Q34&lt;TODAY(),"Overdue",IF($Q34-TODAY()&lt;=DueSoon,"Due soon","Scheduled")))))</f>
        <v/>
      </c>
      <c r="T34" s="14">
        <f>IF($W34="","",IFERROR(IF(INDEX(FormData,$W34,f_Consent)&amp;""="","",IF(ISNUMBER(SEARCH("yes",INDEX(FormData,$W34,f_Consent))),"Yes","No")),""))</f>
        <v/>
      </c>
      <c r="U34" s="14" t="n"/>
      <c r="V34" s="13">
        <f>IF($U34="","",IF($W34="","not found","✓"))</f>
        <v/>
      </c>
      <c r="W34">
        <f>IF($U34="","",IFERROR(MATCH($U34,INDEX(FormData,0,f_Id),0),IFERROR(MATCH(--$U34,INDEX(FormData,0,f_Id),0),IFERROR(MATCH($U34&amp;"",INDEX(FormData,0,f_Id),0),""))))</f>
        <v/>
      </c>
      <c r="X34">
        <f>IF(AND($B34&lt;&gt;"",$B34='Event Report'!$C$3),ROW(),"")</f>
        <v/>
      </c>
      <c r="Y34">
        <f>IF(AND($P34="✓",$R34=""),IF($Q34="",90000,$Q34)+ROW()/100000,"")</f>
        <v/>
      </c>
      <c r="Z34">
        <f>IF(OR($U34&lt;&gt;"",$D34&lt;&gt;"",$E34&lt;&gt;"",$N34&lt;&gt;""),1,"")</f>
        <v/>
      </c>
    </row>
    <row r="35">
      <c r="A35" s="13" t="inlineStr">
        <is>
          <t>P-0031</t>
        </is>
      </c>
      <c r="B35" s="14">
        <f>IF(AND($U35="",$C35=""),"",IFERROR(INDEX(EvID,MATCH(INDEX(FormData,$W35,f_Event),EvID,0)),IFERROR(INDEX(EvID,MATCH(INDEX(FormData,$W35,f_Event),EvName,0)),IFERROR(INDEX(EvID,MATCH(INT($C35),EvDate,0)),""))))</f>
        <v/>
      </c>
      <c r="C35" s="15">
        <f>IF($W35="","",INDEX(FormData,$W35,f_Time))</f>
        <v/>
      </c>
      <c r="D35" s="14">
        <f>IF($W35="","",IFERROR(UPPER(LEFT(TRIM(INDEX(FormData,$W35,f_Name)),1)&amp;IFERROR(MID(TRIM(INDEX(FormData,$W35,f_Name)),FIND("^",SUBSTITUTE(TRIM(INDEX(FormData,$W35,f_Name))," ","^",LEN(TRIM(INDEX(FormData,$W35,f_Name)))-LEN(SUBSTITUTE(TRIM(INDEX(FormData,$W35,f_Name))," ",""))))+1,1),"")),""))</f>
        <v/>
      </c>
      <c r="E35" s="16">
        <f>IF($W35="","",IFERROR(IF(SUMPRODUCT(MAX((WhoKW&lt;&gt;"")*ISNUMBER(SEARCH(WhoKW,INDEX(FormData,$W35,f_Who)&amp;""))*(ROW(WhoKW)-MIN(ROW(WhoKW))+1)))=0,"",INDEX(WhoVal,SUMPRODUCT(MAX((WhoKW&lt;&gt;"")*ISNUMBER(SEARCH(WhoKW,INDEX(FormData,$W35,f_Who)&amp;""))*(ROW(WhoKW)-MIN(ROW(WhoKW))+1))))),""))</f>
        <v/>
      </c>
      <c r="F35" s="17">
        <f>IF($W35="","",TRIM(IFERROR(INDEX(FormData,$W35,f_Org1)&amp;"","")&amp;" "&amp;IFERROR(INDEX(FormData,$W35,f_Org2)&amp;"","")))</f>
        <v/>
      </c>
      <c r="G35" s="16">
        <f>IF($W35="","",IFERROR(INDEX(FormData,$W35,f_Region)&amp;"",""))</f>
        <v/>
      </c>
      <c r="H35" s="16">
        <f>IF($W35="","",IFERROR(IF(SUMPRODUCT(MAX((SitKW&lt;&gt;"")*ISNUMBER(SEARCH(SitKW,INDEX(FormData,$W35,f_Sit)&amp;""))*(ROW(SitKW)-MIN(ROW(SitKW))+1)))=0,"",INDEX(SitVal,SUMPRODUCT(MAX((SitKW&lt;&gt;"")*ISNUMBER(SEARCH(SitKW,INDEX(FormData,$W35,f_Sit)&amp;""))*(ROW(SitKW)-MIN(ROW(SitKW))+1))))),""))</f>
        <v/>
      </c>
      <c r="I35" s="14">
        <f>IF($W35="","",IFERROR(INDEX(FormData,$W35,f_Appr)&amp;"",""))</f>
        <v/>
      </c>
      <c r="J35" s="16">
        <f>IF($W35="","",IFERROR(INDEX(FormData,$W35,f_Trade)&amp;"",""))</f>
        <v/>
      </c>
      <c r="K35" s="16" t="n"/>
      <c r="L35" s="17" t="n"/>
      <c r="M35" s="16" t="n"/>
      <c r="N35" s="17" t="n"/>
      <c r="O35" s="14" t="n"/>
      <c r="P35" s="14" t="n"/>
      <c r="Q35" s="18" t="n"/>
      <c r="R35" s="18" t="n"/>
      <c r="S35" s="13">
        <f>IF($P35&lt;&gt;"✓","",IF($R35&lt;&gt;"","Done",IF($Q35="","Open — no date",IF($Q35&lt;TODAY(),"Overdue",IF($Q35-TODAY()&lt;=DueSoon,"Due soon","Scheduled")))))</f>
        <v/>
      </c>
      <c r="T35" s="14">
        <f>IF($W35="","",IFERROR(IF(INDEX(FormData,$W35,f_Consent)&amp;""="","",IF(ISNUMBER(SEARCH("yes",INDEX(FormData,$W35,f_Consent))),"Yes","No")),""))</f>
        <v/>
      </c>
      <c r="U35" s="14" t="n"/>
      <c r="V35" s="13">
        <f>IF($U35="","",IF($W35="","not found","✓"))</f>
        <v/>
      </c>
      <c r="W35">
        <f>IF($U35="","",IFERROR(MATCH($U35,INDEX(FormData,0,f_Id),0),IFERROR(MATCH(--$U35,INDEX(FormData,0,f_Id),0),IFERROR(MATCH($U35&amp;"",INDEX(FormData,0,f_Id),0),""))))</f>
        <v/>
      </c>
      <c r="X35">
        <f>IF(AND($B35&lt;&gt;"",$B35='Event Report'!$C$3),ROW(),"")</f>
        <v/>
      </c>
      <c r="Y35">
        <f>IF(AND($P35="✓",$R35=""),IF($Q35="",90000,$Q35)+ROW()/100000,"")</f>
        <v/>
      </c>
      <c r="Z35">
        <f>IF(OR($U35&lt;&gt;"",$D35&lt;&gt;"",$E35&lt;&gt;"",$N35&lt;&gt;""),1,"")</f>
        <v/>
      </c>
    </row>
    <row r="36">
      <c r="A36" s="13" t="inlineStr">
        <is>
          <t>P-0032</t>
        </is>
      </c>
      <c r="B36" s="14">
        <f>IF(AND($U36="",$C36=""),"",IFERROR(INDEX(EvID,MATCH(INDEX(FormData,$W36,f_Event),EvID,0)),IFERROR(INDEX(EvID,MATCH(INDEX(FormData,$W36,f_Event),EvName,0)),IFERROR(INDEX(EvID,MATCH(INT($C36),EvDate,0)),""))))</f>
        <v/>
      </c>
      <c r="C36" s="15">
        <f>IF($W36="","",INDEX(FormData,$W36,f_Time))</f>
        <v/>
      </c>
      <c r="D36" s="14">
        <f>IF($W36="","",IFERROR(UPPER(LEFT(TRIM(INDEX(FormData,$W36,f_Name)),1)&amp;IFERROR(MID(TRIM(INDEX(FormData,$W36,f_Name)),FIND("^",SUBSTITUTE(TRIM(INDEX(FormData,$W36,f_Name))," ","^",LEN(TRIM(INDEX(FormData,$W36,f_Name)))-LEN(SUBSTITUTE(TRIM(INDEX(FormData,$W36,f_Name))," ",""))))+1,1),"")),""))</f>
        <v/>
      </c>
      <c r="E36" s="16">
        <f>IF($W36="","",IFERROR(IF(SUMPRODUCT(MAX((WhoKW&lt;&gt;"")*ISNUMBER(SEARCH(WhoKW,INDEX(FormData,$W36,f_Who)&amp;""))*(ROW(WhoKW)-MIN(ROW(WhoKW))+1)))=0,"",INDEX(WhoVal,SUMPRODUCT(MAX((WhoKW&lt;&gt;"")*ISNUMBER(SEARCH(WhoKW,INDEX(FormData,$W36,f_Who)&amp;""))*(ROW(WhoKW)-MIN(ROW(WhoKW))+1))))),""))</f>
        <v/>
      </c>
      <c r="F36" s="17">
        <f>IF($W36="","",TRIM(IFERROR(INDEX(FormData,$W36,f_Org1)&amp;"","")&amp;" "&amp;IFERROR(INDEX(FormData,$W36,f_Org2)&amp;"","")))</f>
        <v/>
      </c>
      <c r="G36" s="16">
        <f>IF($W36="","",IFERROR(INDEX(FormData,$W36,f_Region)&amp;"",""))</f>
        <v/>
      </c>
      <c r="H36" s="16">
        <f>IF($W36="","",IFERROR(IF(SUMPRODUCT(MAX((SitKW&lt;&gt;"")*ISNUMBER(SEARCH(SitKW,INDEX(FormData,$W36,f_Sit)&amp;""))*(ROW(SitKW)-MIN(ROW(SitKW))+1)))=0,"",INDEX(SitVal,SUMPRODUCT(MAX((SitKW&lt;&gt;"")*ISNUMBER(SEARCH(SitKW,INDEX(FormData,$W36,f_Sit)&amp;""))*(ROW(SitKW)-MIN(ROW(SitKW))+1))))),""))</f>
        <v/>
      </c>
      <c r="I36" s="14">
        <f>IF($W36="","",IFERROR(INDEX(FormData,$W36,f_Appr)&amp;"",""))</f>
        <v/>
      </c>
      <c r="J36" s="16">
        <f>IF($W36="","",IFERROR(INDEX(FormData,$W36,f_Trade)&amp;"",""))</f>
        <v/>
      </c>
      <c r="K36" s="16" t="n"/>
      <c r="L36" s="17" t="n"/>
      <c r="M36" s="16" t="n"/>
      <c r="N36" s="17" t="n"/>
      <c r="O36" s="14" t="n"/>
      <c r="P36" s="14" t="n"/>
      <c r="Q36" s="18" t="n"/>
      <c r="R36" s="18" t="n"/>
      <c r="S36" s="13">
        <f>IF($P36&lt;&gt;"✓","",IF($R36&lt;&gt;"","Done",IF($Q36="","Open — no date",IF($Q36&lt;TODAY(),"Overdue",IF($Q36-TODAY()&lt;=DueSoon,"Due soon","Scheduled")))))</f>
        <v/>
      </c>
      <c r="T36" s="14">
        <f>IF($W36="","",IFERROR(IF(INDEX(FormData,$W36,f_Consent)&amp;""="","",IF(ISNUMBER(SEARCH("yes",INDEX(FormData,$W36,f_Consent))),"Yes","No")),""))</f>
        <v/>
      </c>
      <c r="U36" s="14" t="n"/>
      <c r="V36" s="13">
        <f>IF($U36="","",IF($W36="","not found","✓"))</f>
        <v/>
      </c>
      <c r="W36">
        <f>IF($U36="","",IFERROR(MATCH($U36,INDEX(FormData,0,f_Id),0),IFERROR(MATCH(--$U36,INDEX(FormData,0,f_Id),0),IFERROR(MATCH($U36&amp;"",INDEX(FormData,0,f_Id),0),""))))</f>
        <v/>
      </c>
      <c r="X36">
        <f>IF(AND($B36&lt;&gt;"",$B36='Event Report'!$C$3),ROW(),"")</f>
        <v/>
      </c>
      <c r="Y36">
        <f>IF(AND($P36="✓",$R36=""),IF($Q36="",90000,$Q36)+ROW()/100000,"")</f>
        <v/>
      </c>
      <c r="Z36">
        <f>IF(OR($U36&lt;&gt;"",$D36&lt;&gt;"",$E36&lt;&gt;"",$N36&lt;&gt;""),1,"")</f>
        <v/>
      </c>
    </row>
    <row r="37">
      <c r="A37" s="13" t="inlineStr">
        <is>
          <t>P-0033</t>
        </is>
      </c>
      <c r="B37" s="14">
        <f>IF(AND($U37="",$C37=""),"",IFERROR(INDEX(EvID,MATCH(INDEX(FormData,$W37,f_Event),EvID,0)),IFERROR(INDEX(EvID,MATCH(INDEX(FormData,$W37,f_Event),EvName,0)),IFERROR(INDEX(EvID,MATCH(INT($C37),EvDate,0)),""))))</f>
        <v/>
      </c>
      <c r="C37" s="15">
        <f>IF($W37="","",INDEX(FormData,$W37,f_Time))</f>
        <v/>
      </c>
      <c r="D37" s="14">
        <f>IF($W37="","",IFERROR(UPPER(LEFT(TRIM(INDEX(FormData,$W37,f_Name)),1)&amp;IFERROR(MID(TRIM(INDEX(FormData,$W37,f_Name)),FIND("^",SUBSTITUTE(TRIM(INDEX(FormData,$W37,f_Name))," ","^",LEN(TRIM(INDEX(FormData,$W37,f_Name)))-LEN(SUBSTITUTE(TRIM(INDEX(FormData,$W37,f_Name))," ",""))))+1,1),"")),""))</f>
        <v/>
      </c>
      <c r="E37" s="16">
        <f>IF($W37="","",IFERROR(IF(SUMPRODUCT(MAX((WhoKW&lt;&gt;"")*ISNUMBER(SEARCH(WhoKW,INDEX(FormData,$W37,f_Who)&amp;""))*(ROW(WhoKW)-MIN(ROW(WhoKW))+1)))=0,"",INDEX(WhoVal,SUMPRODUCT(MAX((WhoKW&lt;&gt;"")*ISNUMBER(SEARCH(WhoKW,INDEX(FormData,$W37,f_Who)&amp;""))*(ROW(WhoKW)-MIN(ROW(WhoKW))+1))))),""))</f>
        <v/>
      </c>
      <c r="F37" s="17">
        <f>IF($W37="","",TRIM(IFERROR(INDEX(FormData,$W37,f_Org1)&amp;"","")&amp;" "&amp;IFERROR(INDEX(FormData,$W37,f_Org2)&amp;"","")))</f>
        <v/>
      </c>
      <c r="G37" s="16">
        <f>IF($W37="","",IFERROR(INDEX(FormData,$W37,f_Region)&amp;"",""))</f>
        <v/>
      </c>
      <c r="H37" s="16">
        <f>IF($W37="","",IFERROR(IF(SUMPRODUCT(MAX((SitKW&lt;&gt;"")*ISNUMBER(SEARCH(SitKW,INDEX(FormData,$W37,f_Sit)&amp;""))*(ROW(SitKW)-MIN(ROW(SitKW))+1)))=0,"",INDEX(SitVal,SUMPRODUCT(MAX((SitKW&lt;&gt;"")*ISNUMBER(SEARCH(SitKW,INDEX(FormData,$W37,f_Sit)&amp;""))*(ROW(SitKW)-MIN(ROW(SitKW))+1))))),""))</f>
        <v/>
      </c>
      <c r="I37" s="14">
        <f>IF($W37="","",IFERROR(INDEX(FormData,$W37,f_Appr)&amp;"",""))</f>
        <v/>
      </c>
      <c r="J37" s="16">
        <f>IF($W37="","",IFERROR(INDEX(FormData,$W37,f_Trade)&amp;"",""))</f>
        <v/>
      </c>
      <c r="K37" s="16" t="n"/>
      <c r="L37" s="17" t="n"/>
      <c r="M37" s="16" t="n"/>
      <c r="N37" s="17" t="n"/>
      <c r="O37" s="14" t="n"/>
      <c r="P37" s="14" t="n"/>
      <c r="Q37" s="18" t="n"/>
      <c r="R37" s="18" t="n"/>
      <c r="S37" s="13">
        <f>IF($P37&lt;&gt;"✓","",IF($R37&lt;&gt;"","Done",IF($Q37="","Open — no date",IF($Q37&lt;TODAY(),"Overdue",IF($Q37-TODAY()&lt;=DueSoon,"Due soon","Scheduled")))))</f>
        <v/>
      </c>
      <c r="T37" s="14">
        <f>IF($W37="","",IFERROR(IF(INDEX(FormData,$W37,f_Consent)&amp;""="","",IF(ISNUMBER(SEARCH("yes",INDEX(FormData,$W37,f_Consent))),"Yes","No")),""))</f>
        <v/>
      </c>
      <c r="U37" s="14" t="n"/>
      <c r="V37" s="13">
        <f>IF($U37="","",IF($W37="","not found","✓"))</f>
        <v/>
      </c>
      <c r="W37">
        <f>IF($U37="","",IFERROR(MATCH($U37,INDEX(FormData,0,f_Id),0),IFERROR(MATCH(--$U37,INDEX(FormData,0,f_Id),0),IFERROR(MATCH($U37&amp;"",INDEX(FormData,0,f_Id),0),""))))</f>
        <v/>
      </c>
      <c r="X37">
        <f>IF(AND($B37&lt;&gt;"",$B37='Event Report'!$C$3),ROW(),"")</f>
        <v/>
      </c>
      <c r="Y37">
        <f>IF(AND($P37="✓",$R37=""),IF($Q37="",90000,$Q37)+ROW()/100000,"")</f>
        <v/>
      </c>
      <c r="Z37">
        <f>IF(OR($U37&lt;&gt;"",$D37&lt;&gt;"",$E37&lt;&gt;"",$N37&lt;&gt;""),1,"")</f>
        <v/>
      </c>
    </row>
    <row r="38">
      <c r="A38" s="13" t="inlineStr">
        <is>
          <t>P-0034</t>
        </is>
      </c>
      <c r="B38" s="14">
        <f>IF(AND($U38="",$C38=""),"",IFERROR(INDEX(EvID,MATCH(INDEX(FormData,$W38,f_Event),EvID,0)),IFERROR(INDEX(EvID,MATCH(INDEX(FormData,$W38,f_Event),EvName,0)),IFERROR(INDEX(EvID,MATCH(INT($C38),EvDate,0)),""))))</f>
        <v/>
      </c>
      <c r="C38" s="15">
        <f>IF($W38="","",INDEX(FormData,$W38,f_Time))</f>
        <v/>
      </c>
      <c r="D38" s="14">
        <f>IF($W38="","",IFERROR(UPPER(LEFT(TRIM(INDEX(FormData,$W38,f_Name)),1)&amp;IFERROR(MID(TRIM(INDEX(FormData,$W38,f_Name)),FIND("^",SUBSTITUTE(TRIM(INDEX(FormData,$W38,f_Name))," ","^",LEN(TRIM(INDEX(FormData,$W38,f_Name)))-LEN(SUBSTITUTE(TRIM(INDEX(FormData,$W38,f_Name))," ",""))))+1,1),"")),""))</f>
        <v/>
      </c>
      <c r="E38" s="16">
        <f>IF($W38="","",IFERROR(IF(SUMPRODUCT(MAX((WhoKW&lt;&gt;"")*ISNUMBER(SEARCH(WhoKW,INDEX(FormData,$W38,f_Who)&amp;""))*(ROW(WhoKW)-MIN(ROW(WhoKW))+1)))=0,"",INDEX(WhoVal,SUMPRODUCT(MAX((WhoKW&lt;&gt;"")*ISNUMBER(SEARCH(WhoKW,INDEX(FormData,$W38,f_Who)&amp;""))*(ROW(WhoKW)-MIN(ROW(WhoKW))+1))))),""))</f>
        <v/>
      </c>
      <c r="F38" s="17">
        <f>IF($W38="","",TRIM(IFERROR(INDEX(FormData,$W38,f_Org1)&amp;"","")&amp;" "&amp;IFERROR(INDEX(FormData,$W38,f_Org2)&amp;"","")))</f>
        <v/>
      </c>
      <c r="G38" s="16">
        <f>IF($W38="","",IFERROR(INDEX(FormData,$W38,f_Region)&amp;"",""))</f>
        <v/>
      </c>
      <c r="H38" s="16">
        <f>IF($W38="","",IFERROR(IF(SUMPRODUCT(MAX((SitKW&lt;&gt;"")*ISNUMBER(SEARCH(SitKW,INDEX(FormData,$W38,f_Sit)&amp;""))*(ROW(SitKW)-MIN(ROW(SitKW))+1)))=0,"",INDEX(SitVal,SUMPRODUCT(MAX((SitKW&lt;&gt;"")*ISNUMBER(SEARCH(SitKW,INDEX(FormData,$W38,f_Sit)&amp;""))*(ROW(SitKW)-MIN(ROW(SitKW))+1))))),""))</f>
        <v/>
      </c>
      <c r="I38" s="14">
        <f>IF($W38="","",IFERROR(INDEX(FormData,$W38,f_Appr)&amp;"",""))</f>
        <v/>
      </c>
      <c r="J38" s="16">
        <f>IF($W38="","",IFERROR(INDEX(FormData,$W38,f_Trade)&amp;"",""))</f>
        <v/>
      </c>
      <c r="K38" s="16" t="n"/>
      <c r="L38" s="17" t="n"/>
      <c r="M38" s="16" t="n"/>
      <c r="N38" s="17" t="n"/>
      <c r="O38" s="14" t="n"/>
      <c r="P38" s="14" t="n"/>
      <c r="Q38" s="18" t="n"/>
      <c r="R38" s="18" t="n"/>
      <c r="S38" s="13">
        <f>IF($P38&lt;&gt;"✓","",IF($R38&lt;&gt;"","Done",IF($Q38="","Open — no date",IF($Q38&lt;TODAY(),"Overdue",IF($Q38-TODAY()&lt;=DueSoon,"Due soon","Scheduled")))))</f>
        <v/>
      </c>
      <c r="T38" s="14">
        <f>IF($W38="","",IFERROR(IF(INDEX(FormData,$W38,f_Consent)&amp;""="","",IF(ISNUMBER(SEARCH("yes",INDEX(FormData,$W38,f_Consent))),"Yes","No")),""))</f>
        <v/>
      </c>
      <c r="U38" s="14" t="n"/>
      <c r="V38" s="13">
        <f>IF($U38="","",IF($W38="","not found","✓"))</f>
        <v/>
      </c>
      <c r="W38">
        <f>IF($U38="","",IFERROR(MATCH($U38,INDEX(FormData,0,f_Id),0),IFERROR(MATCH(--$U38,INDEX(FormData,0,f_Id),0),IFERROR(MATCH($U38&amp;"",INDEX(FormData,0,f_Id),0),""))))</f>
        <v/>
      </c>
      <c r="X38">
        <f>IF(AND($B38&lt;&gt;"",$B38='Event Report'!$C$3),ROW(),"")</f>
        <v/>
      </c>
      <c r="Y38">
        <f>IF(AND($P38="✓",$R38=""),IF($Q38="",90000,$Q38)+ROW()/100000,"")</f>
        <v/>
      </c>
      <c r="Z38">
        <f>IF(OR($U38&lt;&gt;"",$D38&lt;&gt;"",$E38&lt;&gt;"",$N38&lt;&gt;""),1,"")</f>
        <v/>
      </c>
    </row>
    <row r="39">
      <c r="A39" s="13" t="inlineStr">
        <is>
          <t>P-0035</t>
        </is>
      </c>
      <c r="B39" s="14">
        <f>IF(AND($U39="",$C39=""),"",IFERROR(INDEX(EvID,MATCH(INDEX(FormData,$W39,f_Event),EvID,0)),IFERROR(INDEX(EvID,MATCH(INDEX(FormData,$W39,f_Event),EvName,0)),IFERROR(INDEX(EvID,MATCH(INT($C39),EvDate,0)),""))))</f>
        <v/>
      </c>
      <c r="C39" s="15">
        <f>IF($W39="","",INDEX(FormData,$W39,f_Time))</f>
        <v/>
      </c>
      <c r="D39" s="14">
        <f>IF($W39="","",IFERROR(UPPER(LEFT(TRIM(INDEX(FormData,$W39,f_Name)),1)&amp;IFERROR(MID(TRIM(INDEX(FormData,$W39,f_Name)),FIND("^",SUBSTITUTE(TRIM(INDEX(FormData,$W39,f_Name))," ","^",LEN(TRIM(INDEX(FormData,$W39,f_Name)))-LEN(SUBSTITUTE(TRIM(INDEX(FormData,$W39,f_Name))," ",""))))+1,1),"")),""))</f>
        <v/>
      </c>
      <c r="E39" s="16">
        <f>IF($W39="","",IFERROR(IF(SUMPRODUCT(MAX((WhoKW&lt;&gt;"")*ISNUMBER(SEARCH(WhoKW,INDEX(FormData,$W39,f_Who)&amp;""))*(ROW(WhoKW)-MIN(ROW(WhoKW))+1)))=0,"",INDEX(WhoVal,SUMPRODUCT(MAX((WhoKW&lt;&gt;"")*ISNUMBER(SEARCH(WhoKW,INDEX(FormData,$W39,f_Who)&amp;""))*(ROW(WhoKW)-MIN(ROW(WhoKW))+1))))),""))</f>
        <v/>
      </c>
      <c r="F39" s="17">
        <f>IF($W39="","",TRIM(IFERROR(INDEX(FormData,$W39,f_Org1)&amp;"","")&amp;" "&amp;IFERROR(INDEX(FormData,$W39,f_Org2)&amp;"","")))</f>
        <v/>
      </c>
      <c r="G39" s="16">
        <f>IF($W39="","",IFERROR(INDEX(FormData,$W39,f_Region)&amp;"",""))</f>
        <v/>
      </c>
      <c r="H39" s="16">
        <f>IF($W39="","",IFERROR(IF(SUMPRODUCT(MAX((SitKW&lt;&gt;"")*ISNUMBER(SEARCH(SitKW,INDEX(FormData,$W39,f_Sit)&amp;""))*(ROW(SitKW)-MIN(ROW(SitKW))+1)))=0,"",INDEX(SitVal,SUMPRODUCT(MAX((SitKW&lt;&gt;"")*ISNUMBER(SEARCH(SitKW,INDEX(FormData,$W39,f_Sit)&amp;""))*(ROW(SitKW)-MIN(ROW(SitKW))+1))))),""))</f>
        <v/>
      </c>
      <c r="I39" s="14">
        <f>IF($W39="","",IFERROR(INDEX(FormData,$W39,f_Appr)&amp;"",""))</f>
        <v/>
      </c>
      <c r="J39" s="16">
        <f>IF($W39="","",IFERROR(INDEX(FormData,$W39,f_Trade)&amp;"",""))</f>
        <v/>
      </c>
      <c r="K39" s="16" t="n"/>
      <c r="L39" s="17" t="n"/>
      <c r="M39" s="16" t="n"/>
      <c r="N39" s="17" t="n"/>
      <c r="O39" s="14" t="n"/>
      <c r="P39" s="14" t="n"/>
      <c r="Q39" s="18" t="n"/>
      <c r="R39" s="18" t="n"/>
      <c r="S39" s="13">
        <f>IF($P39&lt;&gt;"✓","",IF($R39&lt;&gt;"","Done",IF($Q39="","Open — no date",IF($Q39&lt;TODAY(),"Overdue",IF($Q39-TODAY()&lt;=DueSoon,"Due soon","Scheduled")))))</f>
        <v/>
      </c>
      <c r="T39" s="14">
        <f>IF($W39="","",IFERROR(IF(INDEX(FormData,$W39,f_Consent)&amp;""="","",IF(ISNUMBER(SEARCH("yes",INDEX(FormData,$W39,f_Consent))),"Yes","No")),""))</f>
        <v/>
      </c>
      <c r="U39" s="14" t="n"/>
      <c r="V39" s="13">
        <f>IF($U39="","",IF($W39="","not found","✓"))</f>
        <v/>
      </c>
      <c r="W39">
        <f>IF($U39="","",IFERROR(MATCH($U39,INDEX(FormData,0,f_Id),0),IFERROR(MATCH(--$U39,INDEX(FormData,0,f_Id),0),IFERROR(MATCH($U39&amp;"",INDEX(FormData,0,f_Id),0),""))))</f>
        <v/>
      </c>
      <c r="X39">
        <f>IF(AND($B39&lt;&gt;"",$B39='Event Report'!$C$3),ROW(),"")</f>
        <v/>
      </c>
      <c r="Y39">
        <f>IF(AND($P39="✓",$R39=""),IF($Q39="",90000,$Q39)+ROW()/100000,"")</f>
        <v/>
      </c>
      <c r="Z39">
        <f>IF(OR($U39&lt;&gt;"",$D39&lt;&gt;"",$E39&lt;&gt;"",$N39&lt;&gt;""),1,"")</f>
        <v/>
      </c>
    </row>
    <row r="40">
      <c r="A40" s="13" t="inlineStr">
        <is>
          <t>P-0036</t>
        </is>
      </c>
      <c r="B40" s="14">
        <f>IF(AND($U40="",$C40=""),"",IFERROR(INDEX(EvID,MATCH(INDEX(FormData,$W40,f_Event),EvID,0)),IFERROR(INDEX(EvID,MATCH(INDEX(FormData,$W40,f_Event),EvName,0)),IFERROR(INDEX(EvID,MATCH(INT($C40),EvDate,0)),""))))</f>
        <v/>
      </c>
      <c r="C40" s="15">
        <f>IF($W40="","",INDEX(FormData,$W40,f_Time))</f>
        <v/>
      </c>
      <c r="D40" s="14">
        <f>IF($W40="","",IFERROR(UPPER(LEFT(TRIM(INDEX(FormData,$W40,f_Name)),1)&amp;IFERROR(MID(TRIM(INDEX(FormData,$W40,f_Name)),FIND("^",SUBSTITUTE(TRIM(INDEX(FormData,$W40,f_Name))," ","^",LEN(TRIM(INDEX(FormData,$W40,f_Name)))-LEN(SUBSTITUTE(TRIM(INDEX(FormData,$W40,f_Name))," ",""))))+1,1),"")),""))</f>
        <v/>
      </c>
      <c r="E40" s="16">
        <f>IF($W40="","",IFERROR(IF(SUMPRODUCT(MAX((WhoKW&lt;&gt;"")*ISNUMBER(SEARCH(WhoKW,INDEX(FormData,$W40,f_Who)&amp;""))*(ROW(WhoKW)-MIN(ROW(WhoKW))+1)))=0,"",INDEX(WhoVal,SUMPRODUCT(MAX((WhoKW&lt;&gt;"")*ISNUMBER(SEARCH(WhoKW,INDEX(FormData,$W40,f_Who)&amp;""))*(ROW(WhoKW)-MIN(ROW(WhoKW))+1))))),""))</f>
        <v/>
      </c>
      <c r="F40" s="17">
        <f>IF($W40="","",TRIM(IFERROR(INDEX(FormData,$W40,f_Org1)&amp;"","")&amp;" "&amp;IFERROR(INDEX(FormData,$W40,f_Org2)&amp;"","")))</f>
        <v/>
      </c>
      <c r="G40" s="16">
        <f>IF($W40="","",IFERROR(INDEX(FormData,$W40,f_Region)&amp;"",""))</f>
        <v/>
      </c>
      <c r="H40" s="16">
        <f>IF($W40="","",IFERROR(IF(SUMPRODUCT(MAX((SitKW&lt;&gt;"")*ISNUMBER(SEARCH(SitKW,INDEX(FormData,$W40,f_Sit)&amp;""))*(ROW(SitKW)-MIN(ROW(SitKW))+1)))=0,"",INDEX(SitVal,SUMPRODUCT(MAX((SitKW&lt;&gt;"")*ISNUMBER(SEARCH(SitKW,INDEX(FormData,$W40,f_Sit)&amp;""))*(ROW(SitKW)-MIN(ROW(SitKW))+1))))),""))</f>
        <v/>
      </c>
      <c r="I40" s="14">
        <f>IF($W40="","",IFERROR(INDEX(FormData,$W40,f_Appr)&amp;"",""))</f>
        <v/>
      </c>
      <c r="J40" s="16">
        <f>IF($W40="","",IFERROR(INDEX(FormData,$W40,f_Trade)&amp;"",""))</f>
        <v/>
      </c>
      <c r="K40" s="16" t="n"/>
      <c r="L40" s="17" t="n"/>
      <c r="M40" s="16" t="n"/>
      <c r="N40" s="17" t="n"/>
      <c r="O40" s="14" t="n"/>
      <c r="P40" s="14" t="n"/>
      <c r="Q40" s="18" t="n"/>
      <c r="R40" s="18" t="n"/>
      <c r="S40" s="13">
        <f>IF($P40&lt;&gt;"✓","",IF($R40&lt;&gt;"","Done",IF($Q40="","Open — no date",IF($Q40&lt;TODAY(),"Overdue",IF($Q40-TODAY()&lt;=DueSoon,"Due soon","Scheduled")))))</f>
        <v/>
      </c>
      <c r="T40" s="14">
        <f>IF($W40="","",IFERROR(IF(INDEX(FormData,$W40,f_Consent)&amp;""="","",IF(ISNUMBER(SEARCH("yes",INDEX(FormData,$W40,f_Consent))),"Yes","No")),""))</f>
        <v/>
      </c>
      <c r="U40" s="14" t="n"/>
      <c r="V40" s="13">
        <f>IF($U40="","",IF($W40="","not found","✓"))</f>
        <v/>
      </c>
      <c r="W40">
        <f>IF($U40="","",IFERROR(MATCH($U40,INDEX(FormData,0,f_Id),0),IFERROR(MATCH(--$U40,INDEX(FormData,0,f_Id),0),IFERROR(MATCH($U40&amp;"",INDEX(FormData,0,f_Id),0),""))))</f>
        <v/>
      </c>
      <c r="X40">
        <f>IF(AND($B40&lt;&gt;"",$B40='Event Report'!$C$3),ROW(),"")</f>
        <v/>
      </c>
      <c r="Y40">
        <f>IF(AND($P40="✓",$R40=""),IF($Q40="",90000,$Q40)+ROW()/100000,"")</f>
        <v/>
      </c>
      <c r="Z40">
        <f>IF(OR($U40&lt;&gt;"",$D40&lt;&gt;"",$E40&lt;&gt;"",$N40&lt;&gt;""),1,"")</f>
        <v/>
      </c>
    </row>
    <row r="41">
      <c r="A41" s="13" t="inlineStr">
        <is>
          <t>P-0037</t>
        </is>
      </c>
      <c r="B41" s="14">
        <f>IF(AND($U41="",$C41=""),"",IFERROR(INDEX(EvID,MATCH(INDEX(FormData,$W41,f_Event),EvID,0)),IFERROR(INDEX(EvID,MATCH(INDEX(FormData,$W41,f_Event),EvName,0)),IFERROR(INDEX(EvID,MATCH(INT($C41),EvDate,0)),""))))</f>
        <v/>
      </c>
      <c r="C41" s="15">
        <f>IF($W41="","",INDEX(FormData,$W41,f_Time))</f>
        <v/>
      </c>
      <c r="D41" s="14">
        <f>IF($W41="","",IFERROR(UPPER(LEFT(TRIM(INDEX(FormData,$W41,f_Name)),1)&amp;IFERROR(MID(TRIM(INDEX(FormData,$W41,f_Name)),FIND("^",SUBSTITUTE(TRIM(INDEX(FormData,$W41,f_Name))," ","^",LEN(TRIM(INDEX(FormData,$W41,f_Name)))-LEN(SUBSTITUTE(TRIM(INDEX(FormData,$W41,f_Name))," ",""))))+1,1),"")),""))</f>
        <v/>
      </c>
      <c r="E41" s="16">
        <f>IF($W41="","",IFERROR(IF(SUMPRODUCT(MAX((WhoKW&lt;&gt;"")*ISNUMBER(SEARCH(WhoKW,INDEX(FormData,$W41,f_Who)&amp;""))*(ROW(WhoKW)-MIN(ROW(WhoKW))+1)))=0,"",INDEX(WhoVal,SUMPRODUCT(MAX((WhoKW&lt;&gt;"")*ISNUMBER(SEARCH(WhoKW,INDEX(FormData,$W41,f_Who)&amp;""))*(ROW(WhoKW)-MIN(ROW(WhoKW))+1))))),""))</f>
        <v/>
      </c>
      <c r="F41" s="17">
        <f>IF($W41="","",TRIM(IFERROR(INDEX(FormData,$W41,f_Org1)&amp;"","")&amp;" "&amp;IFERROR(INDEX(FormData,$W41,f_Org2)&amp;"","")))</f>
        <v/>
      </c>
      <c r="G41" s="16">
        <f>IF($W41="","",IFERROR(INDEX(FormData,$W41,f_Region)&amp;"",""))</f>
        <v/>
      </c>
      <c r="H41" s="16">
        <f>IF($W41="","",IFERROR(IF(SUMPRODUCT(MAX((SitKW&lt;&gt;"")*ISNUMBER(SEARCH(SitKW,INDEX(FormData,$W41,f_Sit)&amp;""))*(ROW(SitKW)-MIN(ROW(SitKW))+1)))=0,"",INDEX(SitVal,SUMPRODUCT(MAX((SitKW&lt;&gt;"")*ISNUMBER(SEARCH(SitKW,INDEX(FormData,$W41,f_Sit)&amp;""))*(ROW(SitKW)-MIN(ROW(SitKW))+1))))),""))</f>
        <v/>
      </c>
      <c r="I41" s="14">
        <f>IF($W41="","",IFERROR(INDEX(FormData,$W41,f_Appr)&amp;"",""))</f>
        <v/>
      </c>
      <c r="J41" s="16">
        <f>IF($W41="","",IFERROR(INDEX(FormData,$W41,f_Trade)&amp;"",""))</f>
        <v/>
      </c>
      <c r="K41" s="16" t="n"/>
      <c r="L41" s="17" t="n"/>
      <c r="M41" s="16" t="n"/>
      <c r="N41" s="17" t="n"/>
      <c r="O41" s="14" t="n"/>
      <c r="P41" s="14" t="n"/>
      <c r="Q41" s="18" t="n"/>
      <c r="R41" s="18" t="n"/>
      <c r="S41" s="13">
        <f>IF($P41&lt;&gt;"✓","",IF($R41&lt;&gt;"","Done",IF($Q41="","Open — no date",IF($Q41&lt;TODAY(),"Overdue",IF($Q41-TODAY()&lt;=DueSoon,"Due soon","Scheduled")))))</f>
        <v/>
      </c>
      <c r="T41" s="14">
        <f>IF($W41="","",IFERROR(IF(INDEX(FormData,$W41,f_Consent)&amp;""="","",IF(ISNUMBER(SEARCH("yes",INDEX(FormData,$W41,f_Consent))),"Yes","No")),""))</f>
        <v/>
      </c>
      <c r="U41" s="14" t="n"/>
      <c r="V41" s="13">
        <f>IF($U41="","",IF($W41="","not found","✓"))</f>
        <v/>
      </c>
      <c r="W41">
        <f>IF($U41="","",IFERROR(MATCH($U41,INDEX(FormData,0,f_Id),0),IFERROR(MATCH(--$U41,INDEX(FormData,0,f_Id),0),IFERROR(MATCH($U41&amp;"",INDEX(FormData,0,f_Id),0),""))))</f>
        <v/>
      </c>
      <c r="X41">
        <f>IF(AND($B41&lt;&gt;"",$B41='Event Report'!$C$3),ROW(),"")</f>
        <v/>
      </c>
      <c r="Y41">
        <f>IF(AND($P41="✓",$R41=""),IF($Q41="",90000,$Q41)+ROW()/100000,"")</f>
        <v/>
      </c>
      <c r="Z41">
        <f>IF(OR($U41&lt;&gt;"",$D41&lt;&gt;"",$E41&lt;&gt;"",$N41&lt;&gt;""),1,"")</f>
        <v/>
      </c>
    </row>
    <row r="42">
      <c r="A42" s="13" t="inlineStr">
        <is>
          <t>P-0038</t>
        </is>
      </c>
      <c r="B42" s="14">
        <f>IF(AND($U42="",$C42=""),"",IFERROR(INDEX(EvID,MATCH(INDEX(FormData,$W42,f_Event),EvID,0)),IFERROR(INDEX(EvID,MATCH(INDEX(FormData,$W42,f_Event),EvName,0)),IFERROR(INDEX(EvID,MATCH(INT($C42),EvDate,0)),""))))</f>
        <v/>
      </c>
      <c r="C42" s="15">
        <f>IF($W42="","",INDEX(FormData,$W42,f_Time))</f>
        <v/>
      </c>
      <c r="D42" s="14">
        <f>IF($W42="","",IFERROR(UPPER(LEFT(TRIM(INDEX(FormData,$W42,f_Name)),1)&amp;IFERROR(MID(TRIM(INDEX(FormData,$W42,f_Name)),FIND("^",SUBSTITUTE(TRIM(INDEX(FormData,$W42,f_Name))," ","^",LEN(TRIM(INDEX(FormData,$W42,f_Name)))-LEN(SUBSTITUTE(TRIM(INDEX(FormData,$W42,f_Name))," ",""))))+1,1),"")),""))</f>
        <v/>
      </c>
      <c r="E42" s="16">
        <f>IF($W42="","",IFERROR(IF(SUMPRODUCT(MAX((WhoKW&lt;&gt;"")*ISNUMBER(SEARCH(WhoKW,INDEX(FormData,$W42,f_Who)&amp;""))*(ROW(WhoKW)-MIN(ROW(WhoKW))+1)))=0,"",INDEX(WhoVal,SUMPRODUCT(MAX((WhoKW&lt;&gt;"")*ISNUMBER(SEARCH(WhoKW,INDEX(FormData,$W42,f_Who)&amp;""))*(ROW(WhoKW)-MIN(ROW(WhoKW))+1))))),""))</f>
        <v/>
      </c>
      <c r="F42" s="17">
        <f>IF($W42="","",TRIM(IFERROR(INDEX(FormData,$W42,f_Org1)&amp;"","")&amp;" "&amp;IFERROR(INDEX(FormData,$W42,f_Org2)&amp;"","")))</f>
        <v/>
      </c>
      <c r="G42" s="16">
        <f>IF($W42="","",IFERROR(INDEX(FormData,$W42,f_Region)&amp;"",""))</f>
        <v/>
      </c>
      <c r="H42" s="16">
        <f>IF($W42="","",IFERROR(IF(SUMPRODUCT(MAX((SitKW&lt;&gt;"")*ISNUMBER(SEARCH(SitKW,INDEX(FormData,$W42,f_Sit)&amp;""))*(ROW(SitKW)-MIN(ROW(SitKW))+1)))=0,"",INDEX(SitVal,SUMPRODUCT(MAX((SitKW&lt;&gt;"")*ISNUMBER(SEARCH(SitKW,INDEX(FormData,$W42,f_Sit)&amp;""))*(ROW(SitKW)-MIN(ROW(SitKW))+1))))),""))</f>
        <v/>
      </c>
      <c r="I42" s="14">
        <f>IF($W42="","",IFERROR(INDEX(FormData,$W42,f_Appr)&amp;"",""))</f>
        <v/>
      </c>
      <c r="J42" s="16">
        <f>IF($W42="","",IFERROR(INDEX(FormData,$W42,f_Trade)&amp;"",""))</f>
        <v/>
      </c>
      <c r="K42" s="16" t="n"/>
      <c r="L42" s="17" t="n"/>
      <c r="M42" s="16" t="n"/>
      <c r="N42" s="17" t="n"/>
      <c r="O42" s="14" t="n"/>
      <c r="P42" s="14" t="n"/>
      <c r="Q42" s="18" t="n"/>
      <c r="R42" s="18" t="n"/>
      <c r="S42" s="13">
        <f>IF($P42&lt;&gt;"✓","",IF($R42&lt;&gt;"","Done",IF($Q42="","Open — no date",IF($Q42&lt;TODAY(),"Overdue",IF($Q42-TODAY()&lt;=DueSoon,"Due soon","Scheduled")))))</f>
        <v/>
      </c>
      <c r="T42" s="14">
        <f>IF($W42="","",IFERROR(IF(INDEX(FormData,$W42,f_Consent)&amp;""="","",IF(ISNUMBER(SEARCH("yes",INDEX(FormData,$W42,f_Consent))),"Yes","No")),""))</f>
        <v/>
      </c>
      <c r="U42" s="14" t="n"/>
      <c r="V42" s="13">
        <f>IF($U42="","",IF($W42="","not found","✓"))</f>
        <v/>
      </c>
      <c r="W42">
        <f>IF($U42="","",IFERROR(MATCH($U42,INDEX(FormData,0,f_Id),0),IFERROR(MATCH(--$U42,INDEX(FormData,0,f_Id),0),IFERROR(MATCH($U42&amp;"",INDEX(FormData,0,f_Id),0),""))))</f>
        <v/>
      </c>
      <c r="X42">
        <f>IF(AND($B42&lt;&gt;"",$B42='Event Report'!$C$3),ROW(),"")</f>
        <v/>
      </c>
      <c r="Y42">
        <f>IF(AND($P42="✓",$R42=""),IF($Q42="",90000,$Q42)+ROW()/100000,"")</f>
        <v/>
      </c>
      <c r="Z42">
        <f>IF(OR($U42&lt;&gt;"",$D42&lt;&gt;"",$E42&lt;&gt;"",$N42&lt;&gt;""),1,"")</f>
        <v/>
      </c>
    </row>
    <row r="43">
      <c r="A43" s="13" t="inlineStr">
        <is>
          <t>P-0039</t>
        </is>
      </c>
      <c r="B43" s="14">
        <f>IF(AND($U43="",$C43=""),"",IFERROR(INDEX(EvID,MATCH(INDEX(FormData,$W43,f_Event),EvID,0)),IFERROR(INDEX(EvID,MATCH(INDEX(FormData,$W43,f_Event),EvName,0)),IFERROR(INDEX(EvID,MATCH(INT($C43),EvDate,0)),""))))</f>
        <v/>
      </c>
      <c r="C43" s="15">
        <f>IF($W43="","",INDEX(FormData,$W43,f_Time))</f>
        <v/>
      </c>
      <c r="D43" s="14">
        <f>IF($W43="","",IFERROR(UPPER(LEFT(TRIM(INDEX(FormData,$W43,f_Name)),1)&amp;IFERROR(MID(TRIM(INDEX(FormData,$W43,f_Name)),FIND("^",SUBSTITUTE(TRIM(INDEX(FormData,$W43,f_Name))," ","^",LEN(TRIM(INDEX(FormData,$W43,f_Name)))-LEN(SUBSTITUTE(TRIM(INDEX(FormData,$W43,f_Name))," ",""))))+1,1),"")),""))</f>
        <v/>
      </c>
      <c r="E43" s="16">
        <f>IF($W43="","",IFERROR(IF(SUMPRODUCT(MAX((WhoKW&lt;&gt;"")*ISNUMBER(SEARCH(WhoKW,INDEX(FormData,$W43,f_Who)&amp;""))*(ROW(WhoKW)-MIN(ROW(WhoKW))+1)))=0,"",INDEX(WhoVal,SUMPRODUCT(MAX((WhoKW&lt;&gt;"")*ISNUMBER(SEARCH(WhoKW,INDEX(FormData,$W43,f_Who)&amp;""))*(ROW(WhoKW)-MIN(ROW(WhoKW))+1))))),""))</f>
        <v/>
      </c>
      <c r="F43" s="17">
        <f>IF($W43="","",TRIM(IFERROR(INDEX(FormData,$W43,f_Org1)&amp;"","")&amp;" "&amp;IFERROR(INDEX(FormData,$W43,f_Org2)&amp;"","")))</f>
        <v/>
      </c>
      <c r="G43" s="16">
        <f>IF($W43="","",IFERROR(INDEX(FormData,$W43,f_Region)&amp;"",""))</f>
        <v/>
      </c>
      <c r="H43" s="16">
        <f>IF($W43="","",IFERROR(IF(SUMPRODUCT(MAX((SitKW&lt;&gt;"")*ISNUMBER(SEARCH(SitKW,INDEX(FormData,$W43,f_Sit)&amp;""))*(ROW(SitKW)-MIN(ROW(SitKW))+1)))=0,"",INDEX(SitVal,SUMPRODUCT(MAX((SitKW&lt;&gt;"")*ISNUMBER(SEARCH(SitKW,INDEX(FormData,$W43,f_Sit)&amp;""))*(ROW(SitKW)-MIN(ROW(SitKW))+1))))),""))</f>
        <v/>
      </c>
      <c r="I43" s="14">
        <f>IF($W43="","",IFERROR(INDEX(FormData,$W43,f_Appr)&amp;"",""))</f>
        <v/>
      </c>
      <c r="J43" s="16">
        <f>IF($W43="","",IFERROR(INDEX(FormData,$W43,f_Trade)&amp;"",""))</f>
        <v/>
      </c>
      <c r="K43" s="16" t="n"/>
      <c r="L43" s="17" t="n"/>
      <c r="M43" s="16" t="n"/>
      <c r="N43" s="17" t="n"/>
      <c r="O43" s="14" t="n"/>
      <c r="P43" s="14" t="n"/>
      <c r="Q43" s="18" t="n"/>
      <c r="R43" s="18" t="n"/>
      <c r="S43" s="13">
        <f>IF($P43&lt;&gt;"✓","",IF($R43&lt;&gt;"","Done",IF($Q43="","Open — no date",IF($Q43&lt;TODAY(),"Overdue",IF($Q43-TODAY()&lt;=DueSoon,"Due soon","Scheduled")))))</f>
        <v/>
      </c>
      <c r="T43" s="14">
        <f>IF($W43="","",IFERROR(IF(INDEX(FormData,$W43,f_Consent)&amp;""="","",IF(ISNUMBER(SEARCH("yes",INDEX(FormData,$W43,f_Consent))),"Yes","No")),""))</f>
        <v/>
      </c>
      <c r="U43" s="14" t="n"/>
      <c r="V43" s="13">
        <f>IF($U43="","",IF($W43="","not found","✓"))</f>
        <v/>
      </c>
      <c r="W43">
        <f>IF($U43="","",IFERROR(MATCH($U43,INDEX(FormData,0,f_Id),0),IFERROR(MATCH(--$U43,INDEX(FormData,0,f_Id),0),IFERROR(MATCH($U43&amp;"",INDEX(FormData,0,f_Id),0),""))))</f>
        <v/>
      </c>
      <c r="X43">
        <f>IF(AND($B43&lt;&gt;"",$B43='Event Report'!$C$3),ROW(),"")</f>
        <v/>
      </c>
      <c r="Y43">
        <f>IF(AND($P43="✓",$R43=""),IF($Q43="",90000,$Q43)+ROW()/100000,"")</f>
        <v/>
      </c>
      <c r="Z43">
        <f>IF(OR($U43&lt;&gt;"",$D43&lt;&gt;"",$E43&lt;&gt;"",$N43&lt;&gt;""),1,"")</f>
        <v/>
      </c>
    </row>
    <row r="44">
      <c r="A44" s="13" t="inlineStr">
        <is>
          <t>P-0040</t>
        </is>
      </c>
      <c r="B44" s="14">
        <f>IF(AND($U44="",$C44=""),"",IFERROR(INDEX(EvID,MATCH(INDEX(FormData,$W44,f_Event),EvID,0)),IFERROR(INDEX(EvID,MATCH(INDEX(FormData,$W44,f_Event),EvName,0)),IFERROR(INDEX(EvID,MATCH(INT($C44),EvDate,0)),""))))</f>
        <v/>
      </c>
      <c r="C44" s="15">
        <f>IF($W44="","",INDEX(FormData,$W44,f_Time))</f>
        <v/>
      </c>
      <c r="D44" s="14">
        <f>IF($W44="","",IFERROR(UPPER(LEFT(TRIM(INDEX(FormData,$W44,f_Name)),1)&amp;IFERROR(MID(TRIM(INDEX(FormData,$W44,f_Name)),FIND("^",SUBSTITUTE(TRIM(INDEX(FormData,$W44,f_Name))," ","^",LEN(TRIM(INDEX(FormData,$W44,f_Name)))-LEN(SUBSTITUTE(TRIM(INDEX(FormData,$W44,f_Name))," ",""))))+1,1),"")),""))</f>
        <v/>
      </c>
      <c r="E44" s="16">
        <f>IF($W44="","",IFERROR(IF(SUMPRODUCT(MAX((WhoKW&lt;&gt;"")*ISNUMBER(SEARCH(WhoKW,INDEX(FormData,$W44,f_Who)&amp;""))*(ROW(WhoKW)-MIN(ROW(WhoKW))+1)))=0,"",INDEX(WhoVal,SUMPRODUCT(MAX((WhoKW&lt;&gt;"")*ISNUMBER(SEARCH(WhoKW,INDEX(FormData,$W44,f_Who)&amp;""))*(ROW(WhoKW)-MIN(ROW(WhoKW))+1))))),""))</f>
        <v/>
      </c>
      <c r="F44" s="17">
        <f>IF($W44="","",TRIM(IFERROR(INDEX(FormData,$W44,f_Org1)&amp;"","")&amp;" "&amp;IFERROR(INDEX(FormData,$W44,f_Org2)&amp;"","")))</f>
        <v/>
      </c>
      <c r="G44" s="16">
        <f>IF($W44="","",IFERROR(INDEX(FormData,$W44,f_Region)&amp;"",""))</f>
        <v/>
      </c>
      <c r="H44" s="16">
        <f>IF($W44="","",IFERROR(IF(SUMPRODUCT(MAX((SitKW&lt;&gt;"")*ISNUMBER(SEARCH(SitKW,INDEX(FormData,$W44,f_Sit)&amp;""))*(ROW(SitKW)-MIN(ROW(SitKW))+1)))=0,"",INDEX(SitVal,SUMPRODUCT(MAX((SitKW&lt;&gt;"")*ISNUMBER(SEARCH(SitKW,INDEX(FormData,$W44,f_Sit)&amp;""))*(ROW(SitKW)-MIN(ROW(SitKW))+1))))),""))</f>
        <v/>
      </c>
      <c r="I44" s="14">
        <f>IF($W44="","",IFERROR(INDEX(FormData,$W44,f_Appr)&amp;"",""))</f>
        <v/>
      </c>
      <c r="J44" s="16">
        <f>IF($W44="","",IFERROR(INDEX(FormData,$W44,f_Trade)&amp;"",""))</f>
        <v/>
      </c>
      <c r="K44" s="16" t="n"/>
      <c r="L44" s="17" t="n"/>
      <c r="M44" s="16" t="n"/>
      <c r="N44" s="17" t="n"/>
      <c r="O44" s="14" t="n"/>
      <c r="P44" s="14" t="n"/>
      <c r="Q44" s="18" t="n"/>
      <c r="R44" s="18" t="n"/>
      <c r="S44" s="13">
        <f>IF($P44&lt;&gt;"✓","",IF($R44&lt;&gt;"","Done",IF($Q44="","Open — no date",IF($Q44&lt;TODAY(),"Overdue",IF($Q44-TODAY()&lt;=DueSoon,"Due soon","Scheduled")))))</f>
        <v/>
      </c>
      <c r="T44" s="14">
        <f>IF($W44="","",IFERROR(IF(INDEX(FormData,$W44,f_Consent)&amp;""="","",IF(ISNUMBER(SEARCH("yes",INDEX(FormData,$W44,f_Consent))),"Yes","No")),""))</f>
        <v/>
      </c>
      <c r="U44" s="14" t="n"/>
      <c r="V44" s="13">
        <f>IF($U44="","",IF($W44="","not found","✓"))</f>
        <v/>
      </c>
      <c r="W44">
        <f>IF($U44="","",IFERROR(MATCH($U44,INDEX(FormData,0,f_Id),0),IFERROR(MATCH(--$U44,INDEX(FormData,0,f_Id),0),IFERROR(MATCH($U44&amp;"",INDEX(FormData,0,f_Id),0),""))))</f>
        <v/>
      </c>
      <c r="X44">
        <f>IF(AND($B44&lt;&gt;"",$B44='Event Report'!$C$3),ROW(),"")</f>
        <v/>
      </c>
      <c r="Y44">
        <f>IF(AND($P44="✓",$R44=""),IF($Q44="",90000,$Q44)+ROW()/100000,"")</f>
        <v/>
      </c>
      <c r="Z44">
        <f>IF(OR($U44&lt;&gt;"",$D44&lt;&gt;"",$E44&lt;&gt;"",$N44&lt;&gt;""),1,"")</f>
        <v/>
      </c>
    </row>
    <row r="45">
      <c r="A45" s="13" t="inlineStr">
        <is>
          <t>P-0041</t>
        </is>
      </c>
      <c r="B45" s="14">
        <f>IF(AND($U45="",$C45=""),"",IFERROR(INDEX(EvID,MATCH(INDEX(FormData,$W45,f_Event),EvID,0)),IFERROR(INDEX(EvID,MATCH(INDEX(FormData,$W45,f_Event),EvName,0)),IFERROR(INDEX(EvID,MATCH(INT($C45),EvDate,0)),""))))</f>
        <v/>
      </c>
      <c r="C45" s="15">
        <f>IF($W45="","",INDEX(FormData,$W45,f_Time))</f>
        <v/>
      </c>
      <c r="D45" s="14">
        <f>IF($W45="","",IFERROR(UPPER(LEFT(TRIM(INDEX(FormData,$W45,f_Name)),1)&amp;IFERROR(MID(TRIM(INDEX(FormData,$W45,f_Name)),FIND("^",SUBSTITUTE(TRIM(INDEX(FormData,$W45,f_Name))," ","^",LEN(TRIM(INDEX(FormData,$W45,f_Name)))-LEN(SUBSTITUTE(TRIM(INDEX(FormData,$W45,f_Name))," ",""))))+1,1),"")),""))</f>
        <v/>
      </c>
      <c r="E45" s="16">
        <f>IF($W45="","",IFERROR(IF(SUMPRODUCT(MAX((WhoKW&lt;&gt;"")*ISNUMBER(SEARCH(WhoKW,INDEX(FormData,$W45,f_Who)&amp;""))*(ROW(WhoKW)-MIN(ROW(WhoKW))+1)))=0,"",INDEX(WhoVal,SUMPRODUCT(MAX((WhoKW&lt;&gt;"")*ISNUMBER(SEARCH(WhoKW,INDEX(FormData,$W45,f_Who)&amp;""))*(ROW(WhoKW)-MIN(ROW(WhoKW))+1))))),""))</f>
        <v/>
      </c>
      <c r="F45" s="17">
        <f>IF($W45="","",TRIM(IFERROR(INDEX(FormData,$W45,f_Org1)&amp;"","")&amp;" "&amp;IFERROR(INDEX(FormData,$W45,f_Org2)&amp;"","")))</f>
        <v/>
      </c>
      <c r="G45" s="16">
        <f>IF($W45="","",IFERROR(INDEX(FormData,$W45,f_Region)&amp;"",""))</f>
        <v/>
      </c>
      <c r="H45" s="16">
        <f>IF($W45="","",IFERROR(IF(SUMPRODUCT(MAX((SitKW&lt;&gt;"")*ISNUMBER(SEARCH(SitKW,INDEX(FormData,$W45,f_Sit)&amp;""))*(ROW(SitKW)-MIN(ROW(SitKW))+1)))=0,"",INDEX(SitVal,SUMPRODUCT(MAX((SitKW&lt;&gt;"")*ISNUMBER(SEARCH(SitKW,INDEX(FormData,$W45,f_Sit)&amp;""))*(ROW(SitKW)-MIN(ROW(SitKW))+1))))),""))</f>
        <v/>
      </c>
      <c r="I45" s="14">
        <f>IF($W45="","",IFERROR(INDEX(FormData,$W45,f_Appr)&amp;"",""))</f>
        <v/>
      </c>
      <c r="J45" s="16">
        <f>IF($W45="","",IFERROR(INDEX(FormData,$W45,f_Trade)&amp;"",""))</f>
        <v/>
      </c>
      <c r="K45" s="16" t="n"/>
      <c r="L45" s="17" t="n"/>
      <c r="M45" s="16" t="n"/>
      <c r="N45" s="17" t="n"/>
      <c r="O45" s="14" t="n"/>
      <c r="P45" s="14" t="n"/>
      <c r="Q45" s="18" t="n"/>
      <c r="R45" s="18" t="n"/>
      <c r="S45" s="13">
        <f>IF($P45&lt;&gt;"✓","",IF($R45&lt;&gt;"","Done",IF($Q45="","Open — no date",IF($Q45&lt;TODAY(),"Overdue",IF($Q45-TODAY()&lt;=DueSoon,"Due soon","Scheduled")))))</f>
        <v/>
      </c>
      <c r="T45" s="14">
        <f>IF($W45="","",IFERROR(IF(INDEX(FormData,$W45,f_Consent)&amp;""="","",IF(ISNUMBER(SEARCH("yes",INDEX(FormData,$W45,f_Consent))),"Yes","No")),""))</f>
        <v/>
      </c>
      <c r="U45" s="14" t="n"/>
      <c r="V45" s="13">
        <f>IF($U45="","",IF($W45="","not found","✓"))</f>
        <v/>
      </c>
      <c r="W45">
        <f>IF($U45="","",IFERROR(MATCH($U45,INDEX(FormData,0,f_Id),0),IFERROR(MATCH(--$U45,INDEX(FormData,0,f_Id),0),IFERROR(MATCH($U45&amp;"",INDEX(FormData,0,f_Id),0),""))))</f>
        <v/>
      </c>
      <c r="X45">
        <f>IF(AND($B45&lt;&gt;"",$B45='Event Report'!$C$3),ROW(),"")</f>
        <v/>
      </c>
      <c r="Y45">
        <f>IF(AND($P45="✓",$R45=""),IF($Q45="",90000,$Q45)+ROW()/100000,"")</f>
        <v/>
      </c>
      <c r="Z45">
        <f>IF(OR($U45&lt;&gt;"",$D45&lt;&gt;"",$E45&lt;&gt;"",$N45&lt;&gt;""),1,"")</f>
        <v/>
      </c>
    </row>
    <row r="46">
      <c r="A46" s="13" t="inlineStr">
        <is>
          <t>P-0042</t>
        </is>
      </c>
      <c r="B46" s="14">
        <f>IF(AND($U46="",$C46=""),"",IFERROR(INDEX(EvID,MATCH(INDEX(FormData,$W46,f_Event),EvID,0)),IFERROR(INDEX(EvID,MATCH(INDEX(FormData,$W46,f_Event),EvName,0)),IFERROR(INDEX(EvID,MATCH(INT($C46),EvDate,0)),""))))</f>
        <v/>
      </c>
      <c r="C46" s="15">
        <f>IF($W46="","",INDEX(FormData,$W46,f_Time))</f>
        <v/>
      </c>
      <c r="D46" s="14">
        <f>IF($W46="","",IFERROR(UPPER(LEFT(TRIM(INDEX(FormData,$W46,f_Name)),1)&amp;IFERROR(MID(TRIM(INDEX(FormData,$W46,f_Name)),FIND("^",SUBSTITUTE(TRIM(INDEX(FormData,$W46,f_Name))," ","^",LEN(TRIM(INDEX(FormData,$W46,f_Name)))-LEN(SUBSTITUTE(TRIM(INDEX(FormData,$W46,f_Name))," ",""))))+1,1),"")),""))</f>
        <v/>
      </c>
      <c r="E46" s="16">
        <f>IF($W46="","",IFERROR(IF(SUMPRODUCT(MAX((WhoKW&lt;&gt;"")*ISNUMBER(SEARCH(WhoKW,INDEX(FormData,$W46,f_Who)&amp;""))*(ROW(WhoKW)-MIN(ROW(WhoKW))+1)))=0,"",INDEX(WhoVal,SUMPRODUCT(MAX((WhoKW&lt;&gt;"")*ISNUMBER(SEARCH(WhoKW,INDEX(FormData,$W46,f_Who)&amp;""))*(ROW(WhoKW)-MIN(ROW(WhoKW))+1))))),""))</f>
        <v/>
      </c>
      <c r="F46" s="17">
        <f>IF($W46="","",TRIM(IFERROR(INDEX(FormData,$W46,f_Org1)&amp;"","")&amp;" "&amp;IFERROR(INDEX(FormData,$W46,f_Org2)&amp;"","")))</f>
        <v/>
      </c>
      <c r="G46" s="16">
        <f>IF($W46="","",IFERROR(INDEX(FormData,$W46,f_Region)&amp;"",""))</f>
        <v/>
      </c>
      <c r="H46" s="16">
        <f>IF($W46="","",IFERROR(IF(SUMPRODUCT(MAX((SitKW&lt;&gt;"")*ISNUMBER(SEARCH(SitKW,INDEX(FormData,$W46,f_Sit)&amp;""))*(ROW(SitKW)-MIN(ROW(SitKW))+1)))=0,"",INDEX(SitVal,SUMPRODUCT(MAX((SitKW&lt;&gt;"")*ISNUMBER(SEARCH(SitKW,INDEX(FormData,$W46,f_Sit)&amp;""))*(ROW(SitKW)-MIN(ROW(SitKW))+1))))),""))</f>
        <v/>
      </c>
      <c r="I46" s="14">
        <f>IF($W46="","",IFERROR(INDEX(FormData,$W46,f_Appr)&amp;"",""))</f>
        <v/>
      </c>
      <c r="J46" s="16">
        <f>IF($W46="","",IFERROR(INDEX(FormData,$W46,f_Trade)&amp;"",""))</f>
        <v/>
      </c>
      <c r="K46" s="16" t="n"/>
      <c r="L46" s="17" t="n"/>
      <c r="M46" s="16" t="n"/>
      <c r="N46" s="17" t="n"/>
      <c r="O46" s="14" t="n"/>
      <c r="P46" s="14" t="n"/>
      <c r="Q46" s="18" t="n"/>
      <c r="R46" s="18" t="n"/>
      <c r="S46" s="13">
        <f>IF($P46&lt;&gt;"✓","",IF($R46&lt;&gt;"","Done",IF($Q46="","Open — no date",IF($Q46&lt;TODAY(),"Overdue",IF($Q46-TODAY()&lt;=DueSoon,"Due soon","Scheduled")))))</f>
        <v/>
      </c>
      <c r="T46" s="14">
        <f>IF($W46="","",IFERROR(IF(INDEX(FormData,$W46,f_Consent)&amp;""="","",IF(ISNUMBER(SEARCH("yes",INDEX(FormData,$W46,f_Consent))),"Yes","No")),""))</f>
        <v/>
      </c>
      <c r="U46" s="14" t="n"/>
      <c r="V46" s="13">
        <f>IF($U46="","",IF($W46="","not found","✓"))</f>
        <v/>
      </c>
      <c r="W46">
        <f>IF($U46="","",IFERROR(MATCH($U46,INDEX(FormData,0,f_Id),0),IFERROR(MATCH(--$U46,INDEX(FormData,0,f_Id),0),IFERROR(MATCH($U46&amp;"",INDEX(FormData,0,f_Id),0),""))))</f>
        <v/>
      </c>
      <c r="X46">
        <f>IF(AND($B46&lt;&gt;"",$B46='Event Report'!$C$3),ROW(),"")</f>
        <v/>
      </c>
      <c r="Y46">
        <f>IF(AND($P46="✓",$R46=""),IF($Q46="",90000,$Q46)+ROW()/100000,"")</f>
        <v/>
      </c>
      <c r="Z46">
        <f>IF(OR($U46&lt;&gt;"",$D46&lt;&gt;"",$E46&lt;&gt;"",$N46&lt;&gt;""),1,"")</f>
        <v/>
      </c>
    </row>
    <row r="47">
      <c r="A47" s="13" t="inlineStr">
        <is>
          <t>P-0043</t>
        </is>
      </c>
      <c r="B47" s="14">
        <f>IF(AND($U47="",$C47=""),"",IFERROR(INDEX(EvID,MATCH(INDEX(FormData,$W47,f_Event),EvID,0)),IFERROR(INDEX(EvID,MATCH(INDEX(FormData,$W47,f_Event),EvName,0)),IFERROR(INDEX(EvID,MATCH(INT($C47),EvDate,0)),""))))</f>
        <v/>
      </c>
      <c r="C47" s="15">
        <f>IF($W47="","",INDEX(FormData,$W47,f_Time))</f>
        <v/>
      </c>
      <c r="D47" s="14">
        <f>IF($W47="","",IFERROR(UPPER(LEFT(TRIM(INDEX(FormData,$W47,f_Name)),1)&amp;IFERROR(MID(TRIM(INDEX(FormData,$W47,f_Name)),FIND("^",SUBSTITUTE(TRIM(INDEX(FormData,$W47,f_Name))," ","^",LEN(TRIM(INDEX(FormData,$W47,f_Name)))-LEN(SUBSTITUTE(TRIM(INDEX(FormData,$W47,f_Name))," ",""))))+1,1),"")),""))</f>
        <v/>
      </c>
      <c r="E47" s="16">
        <f>IF($W47="","",IFERROR(IF(SUMPRODUCT(MAX((WhoKW&lt;&gt;"")*ISNUMBER(SEARCH(WhoKW,INDEX(FormData,$W47,f_Who)&amp;""))*(ROW(WhoKW)-MIN(ROW(WhoKW))+1)))=0,"",INDEX(WhoVal,SUMPRODUCT(MAX((WhoKW&lt;&gt;"")*ISNUMBER(SEARCH(WhoKW,INDEX(FormData,$W47,f_Who)&amp;""))*(ROW(WhoKW)-MIN(ROW(WhoKW))+1))))),""))</f>
        <v/>
      </c>
      <c r="F47" s="17">
        <f>IF($W47="","",TRIM(IFERROR(INDEX(FormData,$W47,f_Org1)&amp;"","")&amp;" "&amp;IFERROR(INDEX(FormData,$W47,f_Org2)&amp;"","")))</f>
        <v/>
      </c>
      <c r="G47" s="16">
        <f>IF($W47="","",IFERROR(INDEX(FormData,$W47,f_Region)&amp;"",""))</f>
        <v/>
      </c>
      <c r="H47" s="16">
        <f>IF($W47="","",IFERROR(IF(SUMPRODUCT(MAX((SitKW&lt;&gt;"")*ISNUMBER(SEARCH(SitKW,INDEX(FormData,$W47,f_Sit)&amp;""))*(ROW(SitKW)-MIN(ROW(SitKW))+1)))=0,"",INDEX(SitVal,SUMPRODUCT(MAX((SitKW&lt;&gt;"")*ISNUMBER(SEARCH(SitKW,INDEX(FormData,$W47,f_Sit)&amp;""))*(ROW(SitKW)-MIN(ROW(SitKW))+1))))),""))</f>
        <v/>
      </c>
      <c r="I47" s="14">
        <f>IF($W47="","",IFERROR(INDEX(FormData,$W47,f_Appr)&amp;"",""))</f>
        <v/>
      </c>
      <c r="J47" s="16">
        <f>IF($W47="","",IFERROR(INDEX(FormData,$W47,f_Trade)&amp;"",""))</f>
        <v/>
      </c>
      <c r="K47" s="16" t="n"/>
      <c r="L47" s="17" t="n"/>
      <c r="M47" s="16" t="n"/>
      <c r="N47" s="17" t="n"/>
      <c r="O47" s="14" t="n"/>
      <c r="P47" s="14" t="n"/>
      <c r="Q47" s="18" t="n"/>
      <c r="R47" s="18" t="n"/>
      <c r="S47" s="13">
        <f>IF($P47&lt;&gt;"✓","",IF($R47&lt;&gt;"","Done",IF($Q47="","Open — no date",IF($Q47&lt;TODAY(),"Overdue",IF($Q47-TODAY()&lt;=DueSoon,"Due soon","Scheduled")))))</f>
        <v/>
      </c>
      <c r="T47" s="14">
        <f>IF($W47="","",IFERROR(IF(INDEX(FormData,$W47,f_Consent)&amp;""="","",IF(ISNUMBER(SEARCH("yes",INDEX(FormData,$W47,f_Consent))),"Yes","No")),""))</f>
        <v/>
      </c>
      <c r="U47" s="14" t="n"/>
      <c r="V47" s="13">
        <f>IF($U47="","",IF($W47="","not found","✓"))</f>
        <v/>
      </c>
      <c r="W47">
        <f>IF($U47="","",IFERROR(MATCH($U47,INDEX(FormData,0,f_Id),0),IFERROR(MATCH(--$U47,INDEX(FormData,0,f_Id),0),IFERROR(MATCH($U47&amp;"",INDEX(FormData,0,f_Id),0),""))))</f>
        <v/>
      </c>
      <c r="X47">
        <f>IF(AND($B47&lt;&gt;"",$B47='Event Report'!$C$3),ROW(),"")</f>
        <v/>
      </c>
      <c r="Y47">
        <f>IF(AND($P47="✓",$R47=""),IF($Q47="",90000,$Q47)+ROW()/100000,"")</f>
        <v/>
      </c>
      <c r="Z47">
        <f>IF(OR($U47&lt;&gt;"",$D47&lt;&gt;"",$E47&lt;&gt;"",$N47&lt;&gt;""),1,"")</f>
        <v/>
      </c>
    </row>
    <row r="48">
      <c r="A48" s="13" t="inlineStr">
        <is>
          <t>P-0044</t>
        </is>
      </c>
      <c r="B48" s="14">
        <f>IF(AND($U48="",$C48=""),"",IFERROR(INDEX(EvID,MATCH(INDEX(FormData,$W48,f_Event),EvID,0)),IFERROR(INDEX(EvID,MATCH(INDEX(FormData,$W48,f_Event),EvName,0)),IFERROR(INDEX(EvID,MATCH(INT($C48),EvDate,0)),""))))</f>
        <v/>
      </c>
      <c r="C48" s="15">
        <f>IF($W48="","",INDEX(FormData,$W48,f_Time))</f>
        <v/>
      </c>
      <c r="D48" s="14">
        <f>IF($W48="","",IFERROR(UPPER(LEFT(TRIM(INDEX(FormData,$W48,f_Name)),1)&amp;IFERROR(MID(TRIM(INDEX(FormData,$W48,f_Name)),FIND("^",SUBSTITUTE(TRIM(INDEX(FormData,$W48,f_Name))," ","^",LEN(TRIM(INDEX(FormData,$W48,f_Name)))-LEN(SUBSTITUTE(TRIM(INDEX(FormData,$W48,f_Name))," ",""))))+1,1),"")),""))</f>
        <v/>
      </c>
      <c r="E48" s="16">
        <f>IF($W48="","",IFERROR(IF(SUMPRODUCT(MAX((WhoKW&lt;&gt;"")*ISNUMBER(SEARCH(WhoKW,INDEX(FormData,$W48,f_Who)&amp;""))*(ROW(WhoKW)-MIN(ROW(WhoKW))+1)))=0,"",INDEX(WhoVal,SUMPRODUCT(MAX((WhoKW&lt;&gt;"")*ISNUMBER(SEARCH(WhoKW,INDEX(FormData,$W48,f_Who)&amp;""))*(ROW(WhoKW)-MIN(ROW(WhoKW))+1))))),""))</f>
        <v/>
      </c>
      <c r="F48" s="17">
        <f>IF($W48="","",TRIM(IFERROR(INDEX(FormData,$W48,f_Org1)&amp;"","")&amp;" "&amp;IFERROR(INDEX(FormData,$W48,f_Org2)&amp;"","")))</f>
        <v/>
      </c>
      <c r="G48" s="16">
        <f>IF($W48="","",IFERROR(INDEX(FormData,$W48,f_Region)&amp;"",""))</f>
        <v/>
      </c>
      <c r="H48" s="16">
        <f>IF($W48="","",IFERROR(IF(SUMPRODUCT(MAX((SitKW&lt;&gt;"")*ISNUMBER(SEARCH(SitKW,INDEX(FormData,$W48,f_Sit)&amp;""))*(ROW(SitKW)-MIN(ROW(SitKW))+1)))=0,"",INDEX(SitVal,SUMPRODUCT(MAX((SitKW&lt;&gt;"")*ISNUMBER(SEARCH(SitKW,INDEX(FormData,$W48,f_Sit)&amp;""))*(ROW(SitKW)-MIN(ROW(SitKW))+1))))),""))</f>
        <v/>
      </c>
      <c r="I48" s="14">
        <f>IF($W48="","",IFERROR(INDEX(FormData,$W48,f_Appr)&amp;"",""))</f>
        <v/>
      </c>
      <c r="J48" s="16">
        <f>IF($W48="","",IFERROR(INDEX(FormData,$W48,f_Trade)&amp;"",""))</f>
        <v/>
      </c>
      <c r="K48" s="16" t="n"/>
      <c r="L48" s="17" t="n"/>
      <c r="M48" s="16" t="n"/>
      <c r="N48" s="17" t="n"/>
      <c r="O48" s="14" t="n"/>
      <c r="P48" s="14" t="n"/>
      <c r="Q48" s="18" t="n"/>
      <c r="R48" s="18" t="n"/>
      <c r="S48" s="13">
        <f>IF($P48&lt;&gt;"✓","",IF($R48&lt;&gt;"","Done",IF($Q48="","Open — no date",IF($Q48&lt;TODAY(),"Overdue",IF($Q48-TODAY()&lt;=DueSoon,"Due soon","Scheduled")))))</f>
        <v/>
      </c>
      <c r="T48" s="14">
        <f>IF($W48="","",IFERROR(IF(INDEX(FormData,$W48,f_Consent)&amp;""="","",IF(ISNUMBER(SEARCH("yes",INDEX(FormData,$W48,f_Consent))),"Yes","No")),""))</f>
        <v/>
      </c>
      <c r="U48" s="14" t="n"/>
      <c r="V48" s="13">
        <f>IF($U48="","",IF($W48="","not found","✓"))</f>
        <v/>
      </c>
      <c r="W48">
        <f>IF($U48="","",IFERROR(MATCH($U48,INDEX(FormData,0,f_Id),0),IFERROR(MATCH(--$U48,INDEX(FormData,0,f_Id),0),IFERROR(MATCH($U48&amp;"",INDEX(FormData,0,f_Id),0),""))))</f>
        <v/>
      </c>
      <c r="X48">
        <f>IF(AND($B48&lt;&gt;"",$B48='Event Report'!$C$3),ROW(),"")</f>
        <v/>
      </c>
      <c r="Y48">
        <f>IF(AND($P48="✓",$R48=""),IF($Q48="",90000,$Q48)+ROW()/100000,"")</f>
        <v/>
      </c>
      <c r="Z48">
        <f>IF(OR($U48&lt;&gt;"",$D48&lt;&gt;"",$E48&lt;&gt;"",$N48&lt;&gt;""),1,"")</f>
        <v/>
      </c>
    </row>
    <row r="49">
      <c r="A49" s="13" t="inlineStr">
        <is>
          <t>P-0045</t>
        </is>
      </c>
      <c r="B49" s="14">
        <f>IF(AND($U49="",$C49=""),"",IFERROR(INDEX(EvID,MATCH(INDEX(FormData,$W49,f_Event),EvID,0)),IFERROR(INDEX(EvID,MATCH(INDEX(FormData,$W49,f_Event),EvName,0)),IFERROR(INDEX(EvID,MATCH(INT($C49),EvDate,0)),""))))</f>
        <v/>
      </c>
      <c r="C49" s="15">
        <f>IF($W49="","",INDEX(FormData,$W49,f_Time))</f>
        <v/>
      </c>
      <c r="D49" s="14">
        <f>IF($W49="","",IFERROR(UPPER(LEFT(TRIM(INDEX(FormData,$W49,f_Name)),1)&amp;IFERROR(MID(TRIM(INDEX(FormData,$W49,f_Name)),FIND("^",SUBSTITUTE(TRIM(INDEX(FormData,$W49,f_Name))," ","^",LEN(TRIM(INDEX(FormData,$W49,f_Name)))-LEN(SUBSTITUTE(TRIM(INDEX(FormData,$W49,f_Name))," ",""))))+1,1),"")),""))</f>
        <v/>
      </c>
      <c r="E49" s="16">
        <f>IF($W49="","",IFERROR(IF(SUMPRODUCT(MAX((WhoKW&lt;&gt;"")*ISNUMBER(SEARCH(WhoKW,INDEX(FormData,$W49,f_Who)&amp;""))*(ROW(WhoKW)-MIN(ROW(WhoKW))+1)))=0,"",INDEX(WhoVal,SUMPRODUCT(MAX((WhoKW&lt;&gt;"")*ISNUMBER(SEARCH(WhoKW,INDEX(FormData,$W49,f_Who)&amp;""))*(ROW(WhoKW)-MIN(ROW(WhoKW))+1))))),""))</f>
        <v/>
      </c>
      <c r="F49" s="17">
        <f>IF($W49="","",TRIM(IFERROR(INDEX(FormData,$W49,f_Org1)&amp;"","")&amp;" "&amp;IFERROR(INDEX(FormData,$W49,f_Org2)&amp;"","")))</f>
        <v/>
      </c>
      <c r="G49" s="16">
        <f>IF($W49="","",IFERROR(INDEX(FormData,$W49,f_Region)&amp;"",""))</f>
        <v/>
      </c>
      <c r="H49" s="16">
        <f>IF($W49="","",IFERROR(IF(SUMPRODUCT(MAX((SitKW&lt;&gt;"")*ISNUMBER(SEARCH(SitKW,INDEX(FormData,$W49,f_Sit)&amp;""))*(ROW(SitKW)-MIN(ROW(SitKW))+1)))=0,"",INDEX(SitVal,SUMPRODUCT(MAX((SitKW&lt;&gt;"")*ISNUMBER(SEARCH(SitKW,INDEX(FormData,$W49,f_Sit)&amp;""))*(ROW(SitKW)-MIN(ROW(SitKW))+1))))),""))</f>
        <v/>
      </c>
      <c r="I49" s="14">
        <f>IF($W49="","",IFERROR(INDEX(FormData,$W49,f_Appr)&amp;"",""))</f>
        <v/>
      </c>
      <c r="J49" s="16">
        <f>IF($W49="","",IFERROR(INDEX(FormData,$W49,f_Trade)&amp;"",""))</f>
        <v/>
      </c>
      <c r="K49" s="16" t="n"/>
      <c r="L49" s="17" t="n"/>
      <c r="M49" s="16" t="n"/>
      <c r="N49" s="17" t="n"/>
      <c r="O49" s="14" t="n"/>
      <c r="P49" s="14" t="n"/>
      <c r="Q49" s="18" t="n"/>
      <c r="R49" s="18" t="n"/>
      <c r="S49" s="13">
        <f>IF($P49&lt;&gt;"✓","",IF($R49&lt;&gt;"","Done",IF($Q49="","Open — no date",IF($Q49&lt;TODAY(),"Overdue",IF($Q49-TODAY()&lt;=DueSoon,"Due soon","Scheduled")))))</f>
        <v/>
      </c>
      <c r="T49" s="14">
        <f>IF($W49="","",IFERROR(IF(INDEX(FormData,$W49,f_Consent)&amp;""="","",IF(ISNUMBER(SEARCH("yes",INDEX(FormData,$W49,f_Consent))),"Yes","No")),""))</f>
        <v/>
      </c>
      <c r="U49" s="14" t="n"/>
      <c r="V49" s="13">
        <f>IF($U49="","",IF($W49="","not found","✓"))</f>
        <v/>
      </c>
      <c r="W49">
        <f>IF($U49="","",IFERROR(MATCH($U49,INDEX(FormData,0,f_Id),0),IFERROR(MATCH(--$U49,INDEX(FormData,0,f_Id),0),IFERROR(MATCH($U49&amp;"",INDEX(FormData,0,f_Id),0),""))))</f>
        <v/>
      </c>
      <c r="X49">
        <f>IF(AND($B49&lt;&gt;"",$B49='Event Report'!$C$3),ROW(),"")</f>
        <v/>
      </c>
      <c r="Y49">
        <f>IF(AND($P49="✓",$R49=""),IF($Q49="",90000,$Q49)+ROW()/100000,"")</f>
        <v/>
      </c>
      <c r="Z49">
        <f>IF(OR($U49&lt;&gt;"",$D49&lt;&gt;"",$E49&lt;&gt;"",$N49&lt;&gt;""),1,"")</f>
        <v/>
      </c>
    </row>
    <row r="50">
      <c r="A50" s="13" t="inlineStr">
        <is>
          <t>P-0046</t>
        </is>
      </c>
      <c r="B50" s="14">
        <f>IF(AND($U50="",$C50=""),"",IFERROR(INDEX(EvID,MATCH(INDEX(FormData,$W50,f_Event),EvID,0)),IFERROR(INDEX(EvID,MATCH(INDEX(FormData,$W50,f_Event),EvName,0)),IFERROR(INDEX(EvID,MATCH(INT($C50),EvDate,0)),""))))</f>
        <v/>
      </c>
      <c r="C50" s="15">
        <f>IF($W50="","",INDEX(FormData,$W50,f_Time))</f>
        <v/>
      </c>
      <c r="D50" s="14">
        <f>IF($W50="","",IFERROR(UPPER(LEFT(TRIM(INDEX(FormData,$W50,f_Name)),1)&amp;IFERROR(MID(TRIM(INDEX(FormData,$W50,f_Name)),FIND("^",SUBSTITUTE(TRIM(INDEX(FormData,$W50,f_Name))," ","^",LEN(TRIM(INDEX(FormData,$W50,f_Name)))-LEN(SUBSTITUTE(TRIM(INDEX(FormData,$W50,f_Name))," ",""))))+1,1),"")),""))</f>
        <v/>
      </c>
      <c r="E50" s="16">
        <f>IF($W50="","",IFERROR(IF(SUMPRODUCT(MAX((WhoKW&lt;&gt;"")*ISNUMBER(SEARCH(WhoKW,INDEX(FormData,$W50,f_Who)&amp;""))*(ROW(WhoKW)-MIN(ROW(WhoKW))+1)))=0,"",INDEX(WhoVal,SUMPRODUCT(MAX((WhoKW&lt;&gt;"")*ISNUMBER(SEARCH(WhoKW,INDEX(FormData,$W50,f_Who)&amp;""))*(ROW(WhoKW)-MIN(ROW(WhoKW))+1))))),""))</f>
        <v/>
      </c>
      <c r="F50" s="17">
        <f>IF($W50="","",TRIM(IFERROR(INDEX(FormData,$W50,f_Org1)&amp;"","")&amp;" "&amp;IFERROR(INDEX(FormData,$W50,f_Org2)&amp;"","")))</f>
        <v/>
      </c>
      <c r="G50" s="16">
        <f>IF($W50="","",IFERROR(INDEX(FormData,$W50,f_Region)&amp;"",""))</f>
        <v/>
      </c>
      <c r="H50" s="16">
        <f>IF($W50="","",IFERROR(IF(SUMPRODUCT(MAX((SitKW&lt;&gt;"")*ISNUMBER(SEARCH(SitKW,INDEX(FormData,$W50,f_Sit)&amp;""))*(ROW(SitKW)-MIN(ROW(SitKW))+1)))=0,"",INDEX(SitVal,SUMPRODUCT(MAX((SitKW&lt;&gt;"")*ISNUMBER(SEARCH(SitKW,INDEX(FormData,$W50,f_Sit)&amp;""))*(ROW(SitKW)-MIN(ROW(SitKW))+1))))),""))</f>
        <v/>
      </c>
      <c r="I50" s="14">
        <f>IF($W50="","",IFERROR(INDEX(FormData,$W50,f_Appr)&amp;"",""))</f>
        <v/>
      </c>
      <c r="J50" s="16">
        <f>IF($W50="","",IFERROR(INDEX(FormData,$W50,f_Trade)&amp;"",""))</f>
        <v/>
      </c>
      <c r="K50" s="16" t="n"/>
      <c r="L50" s="17" t="n"/>
      <c r="M50" s="16" t="n"/>
      <c r="N50" s="17" t="n"/>
      <c r="O50" s="14" t="n"/>
      <c r="P50" s="14" t="n"/>
      <c r="Q50" s="18" t="n"/>
      <c r="R50" s="18" t="n"/>
      <c r="S50" s="13">
        <f>IF($P50&lt;&gt;"✓","",IF($R50&lt;&gt;"","Done",IF($Q50="","Open — no date",IF($Q50&lt;TODAY(),"Overdue",IF($Q50-TODAY()&lt;=DueSoon,"Due soon","Scheduled")))))</f>
        <v/>
      </c>
      <c r="T50" s="14">
        <f>IF($W50="","",IFERROR(IF(INDEX(FormData,$W50,f_Consent)&amp;""="","",IF(ISNUMBER(SEARCH("yes",INDEX(FormData,$W50,f_Consent))),"Yes","No")),""))</f>
        <v/>
      </c>
      <c r="U50" s="14" t="n"/>
      <c r="V50" s="13">
        <f>IF($U50="","",IF($W50="","not found","✓"))</f>
        <v/>
      </c>
      <c r="W50">
        <f>IF($U50="","",IFERROR(MATCH($U50,INDEX(FormData,0,f_Id),0),IFERROR(MATCH(--$U50,INDEX(FormData,0,f_Id),0),IFERROR(MATCH($U50&amp;"",INDEX(FormData,0,f_Id),0),""))))</f>
        <v/>
      </c>
      <c r="X50">
        <f>IF(AND($B50&lt;&gt;"",$B50='Event Report'!$C$3),ROW(),"")</f>
        <v/>
      </c>
      <c r="Y50">
        <f>IF(AND($P50="✓",$R50=""),IF($Q50="",90000,$Q50)+ROW()/100000,"")</f>
        <v/>
      </c>
      <c r="Z50">
        <f>IF(OR($U50&lt;&gt;"",$D50&lt;&gt;"",$E50&lt;&gt;"",$N50&lt;&gt;""),1,"")</f>
        <v/>
      </c>
    </row>
    <row r="51">
      <c r="A51" s="13" t="inlineStr">
        <is>
          <t>P-0047</t>
        </is>
      </c>
      <c r="B51" s="14">
        <f>IF(AND($U51="",$C51=""),"",IFERROR(INDEX(EvID,MATCH(INDEX(FormData,$W51,f_Event),EvID,0)),IFERROR(INDEX(EvID,MATCH(INDEX(FormData,$W51,f_Event),EvName,0)),IFERROR(INDEX(EvID,MATCH(INT($C51),EvDate,0)),""))))</f>
        <v/>
      </c>
      <c r="C51" s="15">
        <f>IF($W51="","",INDEX(FormData,$W51,f_Time))</f>
        <v/>
      </c>
      <c r="D51" s="14">
        <f>IF($W51="","",IFERROR(UPPER(LEFT(TRIM(INDEX(FormData,$W51,f_Name)),1)&amp;IFERROR(MID(TRIM(INDEX(FormData,$W51,f_Name)),FIND("^",SUBSTITUTE(TRIM(INDEX(FormData,$W51,f_Name))," ","^",LEN(TRIM(INDEX(FormData,$W51,f_Name)))-LEN(SUBSTITUTE(TRIM(INDEX(FormData,$W51,f_Name))," ",""))))+1,1),"")),""))</f>
        <v/>
      </c>
      <c r="E51" s="16">
        <f>IF($W51="","",IFERROR(IF(SUMPRODUCT(MAX((WhoKW&lt;&gt;"")*ISNUMBER(SEARCH(WhoKW,INDEX(FormData,$W51,f_Who)&amp;""))*(ROW(WhoKW)-MIN(ROW(WhoKW))+1)))=0,"",INDEX(WhoVal,SUMPRODUCT(MAX((WhoKW&lt;&gt;"")*ISNUMBER(SEARCH(WhoKW,INDEX(FormData,$W51,f_Who)&amp;""))*(ROW(WhoKW)-MIN(ROW(WhoKW))+1))))),""))</f>
        <v/>
      </c>
      <c r="F51" s="17">
        <f>IF($W51="","",TRIM(IFERROR(INDEX(FormData,$W51,f_Org1)&amp;"","")&amp;" "&amp;IFERROR(INDEX(FormData,$W51,f_Org2)&amp;"","")))</f>
        <v/>
      </c>
      <c r="G51" s="16">
        <f>IF($W51="","",IFERROR(INDEX(FormData,$W51,f_Region)&amp;"",""))</f>
        <v/>
      </c>
      <c r="H51" s="16">
        <f>IF($W51="","",IFERROR(IF(SUMPRODUCT(MAX((SitKW&lt;&gt;"")*ISNUMBER(SEARCH(SitKW,INDEX(FormData,$W51,f_Sit)&amp;""))*(ROW(SitKW)-MIN(ROW(SitKW))+1)))=0,"",INDEX(SitVal,SUMPRODUCT(MAX((SitKW&lt;&gt;"")*ISNUMBER(SEARCH(SitKW,INDEX(FormData,$W51,f_Sit)&amp;""))*(ROW(SitKW)-MIN(ROW(SitKW))+1))))),""))</f>
        <v/>
      </c>
      <c r="I51" s="14">
        <f>IF($W51="","",IFERROR(INDEX(FormData,$W51,f_Appr)&amp;"",""))</f>
        <v/>
      </c>
      <c r="J51" s="16">
        <f>IF($W51="","",IFERROR(INDEX(FormData,$W51,f_Trade)&amp;"",""))</f>
        <v/>
      </c>
      <c r="K51" s="16" t="n"/>
      <c r="L51" s="17" t="n"/>
      <c r="M51" s="16" t="n"/>
      <c r="N51" s="17" t="n"/>
      <c r="O51" s="14" t="n"/>
      <c r="P51" s="14" t="n"/>
      <c r="Q51" s="18" t="n"/>
      <c r="R51" s="18" t="n"/>
      <c r="S51" s="13">
        <f>IF($P51&lt;&gt;"✓","",IF($R51&lt;&gt;"","Done",IF($Q51="","Open — no date",IF($Q51&lt;TODAY(),"Overdue",IF($Q51-TODAY()&lt;=DueSoon,"Due soon","Scheduled")))))</f>
        <v/>
      </c>
      <c r="T51" s="14">
        <f>IF($W51="","",IFERROR(IF(INDEX(FormData,$W51,f_Consent)&amp;""="","",IF(ISNUMBER(SEARCH("yes",INDEX(FormData,$W51,f_Consent))),"Yes","No")),""))</f>
        <v/>
      </c>
      <c r="U51" s="14" t="n"/>
      <c r="V51" s="13">
        <f>IF($U51="","",IF($W51="","not found","✓"))</f>
        <v/>
      </c>
      <c r="W51">
        <f>IF($U51="","",IFERROR(MATCH($U51,INDEX(FormData,0,f_Id),0),IFERROR(MATCH(--$U51,INDEX(FormData,0,f_Id),0),IFERROR(MATCH($U51&amp;"",INDEX(FormData,0,f_Id),0),""))))</f>
        <v/>
      </c>
      <c r="X51">
        <f>IF(AND($B51&lt;&gt;"",$B51='Event Report'!$C$3),ROW(),"")</f>
        <v/>
      </c>
      <c r="Y51">
        <f>IF(AND($P51="✓",$R51=""),IF($Q51="",90000,$Q51)+ROW()/100000,"")</f>
        <v/>
      </c>
      <c r="Z51">
        <f>IF(OR($U51&lt;&gt;"",$D51&lt;&gt;"",$E51&lt;&gt;"",$N51&lt;&gt;""),1,"")</f>
        <v/>
      </c>
    </row>
    <row r="52">
      <c r="A52" s="13" t="inlineStr">
        <is>
          <t>P-0048</t>
        </is>
      </c>
      <c r="B52" s="14">
        <f>IF(AND($U52="",$C52=""),"",IFERROR(INDEX(EvID,MATCH(INDEX(FormData,$W52,f_Event),EvID,0)),IFERROR(INDEX(EvID,MATCH(INDEX(FormData,$W52,f_Event),EvName,0)),IFERROR(INDEX(EvID,MATCH(INT($C52),EvDate,0)),""))))</f>
        <v/>
      </c>
      <c r="C52" s="15">
        <f>IF($W52="","",INDEX(FormData,$W52,f_Time))</f>
        <v/>
      </c>
      <c r="D52" s="14">
        <f>IF($W52="","",IFERROR(UPPER(LEFT(TRIM(INDEX(FormData,$W52,f_Name)),1)&amp;IFERROR(MID(TRIM(INDEX(FormData,$W52,f_Name)),FIND("^",SUBSTITUTE(TRIM(INDEX(FormData,$W52,f_Name))," ","^",LEN(TRIM(INDEX(FormData,$W52,f_Name)))-LEN(SUBSTITUTE(TRIM(INDEX(FormData,$W52,f_Name))," ",""))))+1,1),"")),""))</f>
        <v/>
      </c>
      <c r="E52" s="16">
        <f>IF($W52="","",IFERROR(IF(SUMPRODUCT(MAX((WhoKW&lt;&gt;"")*ISNUMBER(SEARCH(WhoKW,INDEX(FormData,$W52,f_Who)&amp;""))*(ROW(WhoKW)-MIN(ROW(WhoKW))+1)))=0,"",INDEX(WhoVal,SUMPRODUCT(MAX((WhoKW&lt;&gt;"")*ISNUMBER(SEARCH(WhoKW,INDEX(FormData,$W52,f_Who)&amp;""))*(ROW(WhoKW)-MIN(ROW(WhoKW))+1))))),""))</f>
        <v/>
      </c>
      <c r="F52" s="17">
        <f>IF($W52="","",TRIM(IFERROR(INDEX(FormData,$W52,f_Org1)&amp;"","")&amp;" "&amp;IFERROR(INDEX(FormData,$W52,f_Org2)&amp;"","")))</f>
        <v/>
      </c>
      <c r="G52" s="16">
        <f>IF($W52="","",IFERROR(INDEX(FormData,$W52,f_Region)&amp;"",""))</f>
        <v/>
      </c>
      <c r="H52" s="16">
        <f>IF($W52="","",IFERROR(IF(SUMPRODUCT(MAX((SitKW&lt;&gt;"")*ISNUMBER(SEARCH(SitKW,INDEX(FormData,$W52,f_Sit)&amp;""))*(ROW(SitKW)-MIN(ROW(SitKW))+1)))=0,"",INDEX(SitVal,SUMPRODUCT(MAX((SitKW&lt;&gt;"")*ISNUMBER(SEARCH(SitKW,INDEX(FormData,$W52,f_Sit)&amp;""))*(ROW(SitKW)-MIN(ROW(SitKW))+1))))),""))</f>
        <v/>
      </c>
      <c r="I52" s="14">
        <f>IF($W52="","",IFERROR(INDEX(FormData,$W52,f_Appr)&amp;"",""))</f>
        <v/>
      </c>
      <c r="J52" s="16">
        <f>IF($W52="","",IFERROR(INDEX(FormData,$W52,f_Trade)&amp;"",""))</f>
        <v/>
      </c>
      <c r="K52" s="16" t="n"/>
      <c r="L52" s="17" t="n"/>
      <c r="M52" s="16" t="n"/>
      <c r="N52" s="17" t="n"/>
      <c r="O52" s="14" t="n"/>
      <c r="P52" s="14" t="n"/>
      <c r="Q52" s="18" t="n"/>
      <c r="R52" s="18" t="n"/>
      <c r="S52" s="13">
        <f>IF($P52&lt;&gt;"✓","",IF($R52&lt;&gt;"","Done",IF($Q52="","Open — no date",IF($Q52&lt;TODAY(),"Overdue",IF($Q52-TODAY()&lt;=DueSoon,"Due soon","Scheduled")))))</f>
        <v/>
      </c>
      <c r="T52" s="14">
        <f>IF($W52="","",IFERROR(IF(INDEX(FormData,$W52,f_Consent)&amp;""="","",IF(ISNUMBER(SEARCH("yes",INDEX(FormData,$W52,f_Consent))),"Yes","No")),""))</f>
        <v/>
      </c>
      <c r="U52" s="14" t="n"/>
      <c r="V52" s="13">
        <f>IF($U52="","",IF($W52="","not found","✓"))</f>
        <v/>
      </c>
      <c r="W52">
        <f>IF($U52="","",IFERROR(MATCH($U52,INDEX(FormData,0,f_Id),0),IFERROR(MATCH(--$U52,INDEX(FormData,0,f_Id),0),IFERROR(MATCH($U52&amp;"",INDEX(FormData,0,f_Id),0),""))))</f>
        <v/>
      </c>
      <c r="X52">
        <f>IF(AND($B52&lt;&gt;"",$B52='Event Report'!$C$3),ROW(),"")</f>
        <v/>
      </c>
      <c r="Y52">
        <f>IF(AND($P52="✓",$R52=""),IF($Q52="",90000,$Q52)+ROW()/100000,"")</f>
        <v/>
      </c>
      <c r="Z52">
        <f>IF(OR($U52&lt;&gt;"",$D52&lt;&gt;"",$E52&lt;&gt;"",$N52&lt;&gt;""),1,"")</f>
        <v/>
      </c>
    </row>
    <row r="53">
      <c r="A53" s="13" t="inlineStr">
        <is>
          <t>P-0049</t>
        </is>
      </c>
      <c r="B53" s="14">
        <f>IF(AND($U53="",$C53=""),"",IFERROR(INDEX(EvID,MATCH(INDEX(FormData,$W53,f_Event),EvID,0)),IFERROR(INDEX(EvID,MATCH(INDEX(FormData,$W53,f_Event),EvName,0)),IFERROR(INDEX(EvID,MATCH(INT($C53),EvDate,0)),""))))</f>
        <v/>
      </c>
      <c r="C53" s="15">
        <f>IF($W53="","",INDEX(FormData,$W53,f_Time))</f>
        <v/>
      </c>
      <c r="D53" s="14">
        <f>IF($W53="","",IFERROR(UPPER(LEFT(TRIM(INDEX(FormData,$W53,f_Name)),1)&amp;IFERROR(MID(TRIM(INDEX(FormData,$W53,f_Name)),FIND("^",SUBSTITUTE(TRIM(INDEX(FormData,$W53,f_Name))," ","^",LEN(TRIM(INDEX(FormData,$W53,f_Name)))-LEN(SUBSTITUTE(TRIM(INDEX(FormData,$W53,f_Name))," ",""))))+1,1),"")),""))</f>
        <v/>
      </c>
      <c r="E53" s="16">
        <f>IF($W53="","",IFERROR(IF(SUMPRODUCT(MAX((WhoKW&lt;&gt;"")*ISNUMBER(SEARCH(WhoKW,INDEX(FormData,$W53,f_Who)&amp;""))*(ROW(WhoKW)-MIN(ROW(WhoKW))+1)))=0,"",INDEX(WhoVal,SUMPRODUCT(MAX((WhoKW&lt;&gt;"")*ISNUMBER(SEARCH(WhoKW,INDEX(FormData,$W53,f_Who)&amp;""))*(ROW(WhoKW)-MIN(ROW(WhoKW))+1))))),""))</f>
        <v/>
      </c>
      <c r="F53" s="17">
        <f>IF($W53="","",TRIM(IFERROR(INDEX(FormData,$W53,f_Org1)&amp;"","")&amp;" "&amp;IFERROR(INDEX(FormData,$W53,f_Org2)&amp;"","")))</f>
        <v/>
      </c>
      <c r="G53" s="16">
        <f>IF($W53="","",IFERROR(INDEX(FormData,$W53,f_Region)&amp;"",""))</f>
        <v/>
      </c>
      <c r="H53" s="16">
        <f>IF($W53="","",IFERROR(IF(SUMPRODUCT(MAX((SitKW&lt;&gt;"")*ISNUMBER(SEARCH(SitKW,INDEX(FormData,$W53,f_Sit)&amp;""))*(ROW(SitKW)-MIN(ROW(SitKW))+1)))=0,"",INDEX(SitVal,SUMPRODUCT(MAX((SitKW&lt;&gt;"")*ISNUMBER(SEARCH(SitKW,INDEX(FormData,$W53,f_Sit)&amp;""))*(ROW(SitKW)-MIN(ROW(SitKW))+1))))),""))</f>
        <v/>
      </c>
      <c r="I53" s="14">
        <f>IF($W53="","",IFERROR(INDEX(FormData,$W53,f_Appr)&amp;"",""))</f>
        <v/>
      </c>
      <c r="J53" s="16">
        <f>IF($W53="","",IFERROR(INDEX(FormData,$W53,f_Trade)&amp;"",""))</f>
        <v/>
      </c>
      <c r="K53" s="16" t="n"/>
      <c r="L53" s="17" t="n"/>
      <c r="M53" s="16" t="n"/>
      <c r="N53" s="17" t="n"/>
      <c r="O53" s="14" t="n"/>
      <c r="P53" s="14" t="n"/>
      <c r="Q53" s="18" t="n"/>
      <c r="R53" s="18" t="n"/>
      <c r="S53" s="13">
        <f>IF($P53&lt;&gt;"✓","",IF($R53&lt;&gt;"","Done",IF($Q53="","Open — no date",IF($Q53&lt;TODAY(),"Overdue",IF($Q53-TODAY()&lt;=DueSoon,"Due soon","Scheduled")))))</f>
        <v/>
      </c>
      <c r="T53" s="14">
        <f>IF($W53="","",IFERROR(IF(INDEX(FormData,$W53,f_Consent)&amp;""="","",IF(ISNUMBER(SEARCH("yes",INDEX(FormData,$W53,f_Consent))),"Yes","No")),""))</f>
        <v/>
      </c>
      <c r="U53" s="14" t="n"/>
      <c r="V53" s="13">
        <f>IF($U53="","",IF($W53="","not found","✓"))</f>
        <v/>
      </c>
      <c r="W53">
        <f>IF($U53="","",IFERROR(MATCH($U53,INDEX(FormData,0,f_Id),0),IFERROR(MATCH(--$U53,INDEX(FormData,0,f_Id),0),IFERROR(MATCH($U53&amp;"",INDEX(FormData,0,f_Id),0),""))))</f>
        <v/>
      </c>
      <c r="X53">
        <f>IF(AND($B53&lt;&gt;"",$B53='Event Report'!$C$3),ROW(),"")</f>
        <v/>
      </c>
      <c r="Y53">
        <f>IF(AND($P53="✓",$R53=""),IF($Q53="",90000,$Q53)+ROW()/100000,"")</f>
        <v/>
      </c>
      <c r="Z53">
        <f>IF(OR($U53&lt;&gt;"",$D53&lt;&gt;"",$E53&lt;&gt;"",$N53&lt;&gt;""),1,"")</f>
        <v/>
      </c>
    </row>
    <row r="54">
      <c r="A54" s="13" t="inlineStr">
        <is>
          <t>P-0050</t>
        </is>
      </c>
      <c r="B54" s="14">
        <f>IF(AND($U54="",$C54=""),"",IFERROR(INDEX(EvID,MATCH(INDEX(FormData,$W54,f_Event),EvID,0)),IFERROR(INDEX(EvID,MATCH(INDEX(FormData,$W54,f_Event),EvName,0)),IFERROR(INDEX(EvID,MATCH(INT($C54),EvDate,0)),""))))</f>
        <v/>
      </c>
      <c r="C54" s="15">
        <f>IF($W54="","",INDEX(FormData,$W54,f_Time))</f>
        <v/>
      </c>
      <c r="D54" s="14">
        <f>IF($W54="","",IFERROR(UPPER(LEFT(TRIM(INDEX(FormData,$W54,f_Name)),1)&amp;IFERROR(MID(TRIM(INDEX(FormData,$W54,f_Name)),FIND("^",SUBSTITUTE(TRIM(INDEX(FormData,$W54,f_Name))," ","^",LEN(TRIM(INDEX(FormData,$W54,f_Name)))-LEN(SUBSTITUTE(TRIM(INDEX(FormData,$W54,f_Name))," ",""))))+1,1),"")),""))</f>
        <v/>
      </c>
      <c r="E54" s="16">
        <f>IF($W54="","",IFERROR(IF(SUMPRODUCT(MAX((WhoKW&lt;&gt;"")*ISNUMBER(SEARCH(WhoKW,INDEX(FormData,$W54,f_Who)&amp;""))*(ROW(WhoKW)-MIN(ROW(WhoKW))+1)))=0,"",INDEX(WhoVal,SUMPRODUCT(MAX((WhoKW&lt;&gt;"")*ISNUMBER(SEARCH(WhoKW,INDEX(FormData,$W54,f_Who)&amp;""))*(ROW(WhoKW)-MIN(ROW(WhoKW))+1))))),""))</f>
        <v/>
      </c>
      <c r="F54" s="17">
        <f>IF($W54="","",TRIM(IFERROR(INDEX(FormData,$W54,f_Org1)&amp;"","")&amp;" "&amp;IFERROR(INDEX(FormData,$W54,f_Org2)&amp;"","")))</f>
        <v/>
      </c>
      <c r="G54" s="16">
        <f>IF($W54="","",IFERROR(INDEX(FormData,$W54,f_Region)&amp;"",""))</f>
        <v/>
      </c>
      <c r="H54" s="16">
        <f>IF($W54="","",IFERROR(IF(SUMPRODUCT(MAX((SitKW&lt;&gt;"")*ISNUMBER(SEARCH(SitKW,INDEX(FormData,$W54,f_Sit)&amp;""))*(ROW(SitKW)-MIN(ROW(SitKW))+1)))=0,"",INDEX(SitVal,SUMPRODUCT(MAX((SitKW&lt;&gt;"")*ISNUMBER(SEARCH(SitKW,INDEX(FormData,$W54,f_Sit)&amp;""))*(ROW(SitKW)-MIN(ROW(SitKW))+1))))),""))</f>
        <v/>
      </c>
      <c r="I54" s="14">
        <f>IF($W54="","",IFERROR(INDEX(FormData,$W54,f_Appr)&amp;"",""))</f>
        <v/>
      </c>
      <c r="J54" s="16">
        <f>IF($W54="","",IFERROR(INDEX(FormData,$W54,f_Trade)&amp;"",""))</f>
        <v/>
      </c>
      <c r="K54" s="16" t="n"/>
      <c r="L54" s="17" t="n"/>
      <c r="M54" s="16" t="n"/>
      <c r="N54" s="17" t="n"/>
      <c r="O54" s="14" t="n"/>
      <c r="P54" s="14" t="n"/>
      <c r="Q54" s="18" t="n"/>
      <c r="R54" s="18" t="n"/>
      <c r="S54" s="13">
        <f>IF($P54&lt;&gt;"✓","",IF($R54&lt;&gt;"","Done",IF($Q54="","Open — no date",IF($Q54&lt;TODAY(),"Overdue",IF($Q54-TODAY()&lt;=DueSoon,"Due soon","Scheduled")))))</f>
        <v/>
      </c>
      <c r="T54" s="14">
        <f>IF($W54="","",IFERROR(IF(INDEX(FormData,$W54,f_Consent)&amp;""="","",IF(ISNUMBER(SEARCH("yes",INDEX(FormData,$W54,f_Consent))),"Yes","No")),""))</f>
        <v/>
      </c>
      <c r="U54" s="14" t="n"/>
      <c r="V54" s="13">
        <f>IF($U54="","",IF($W54="","not found","✓"))</f>
        <v/>
      </c>
      <c r="W54">
        <f>IF($U54="","",IFERROR(MATCH($U54,INDEX(FormData,0,f_Id),0),IFERROR(MATCH(--$U54,INDEX(FormData,0,f_Id),0),IFERROR(MATCH($U54&amp;"",INDEX(FormData,0,f_Id),0),""))))</f>
        <v/>
      </c>
      <c r="X54">
        <f>IF(AND($B54&lt;&gt;"",$B54='Event Report'!$C$3),ROW(),"")</f>
        <v/>
      </c>
      <c r="Y54">
        <f>IF(AND($P54="✓",$R54=""),IF($Q54="",90000,$Q54)+ROW()/100000,"")</f>
        <v/>
      </c>
      <c r="Z54">
        <f>IF(OR($U54&lt;&gt;"",$D54&lt;&gt;"",$E54&lt;&gt;"",$N54&lt;&gt;""),1,"")</f>
        <v/>
      </c>
    </row>
    <row r="55">
      <c r="A55" s="13" t="inlineStr">
        <is>
          <t>P-0051</t>
        </is>
      </c>
      <c r="B55" s="14">
        <f>IF(AND($U55="",$C55=""),"",IFERROR(INDEX(EvID,MATCH(INDEX(FormData,$W55,f_Event),EvID,0)),IFERROR(INDEX(EvID,MATCH(INDEX(FormData,$W55,f_Event),EvName,0)),IFERROR(INDEX(EvID,MATCH(INT($C55),EvDate,0)),""))))</f>
        <v/>
      </c>
      <c r="C55" s="15">
        <f>IF($W55="","",INDEX(FormData,$W55,f_Time))</f>
        <v/>
      </c>
      <c r="D55" s="14">
        <f>IF($W55="","",IFERROR(UPPER(LEFT(TRIM(INDEX(FormData,$W55,f_Name)),1)&amp;IFERROR(MID(TRIM(INDEX(FormData,$W55,f_Name)),FIND("^",SUBSTITUTE(TRIM(INDEX(FormData,$W55,f_Name))," ","^",LEN(TRIM(INDEX(FormData,$W55,f_Name)))-LEN(SUBSTITUTE(TRIM(INDEX(FormData,$W55,f_Name))," ",""))))+1,1),"")),""))</f>
        <v/>
      </c>
      <c r="E55" s="16">
        <f>IF($W55="","",IFERROR(IF(SUMPRODUCT(MAX((WhoKW&lt;&gt;"")*ISNUMBER(SEARCH(WhoKW,INDEX(FormData,$W55,f_Who)&amp;""))*(ROW(WhoKW)-MIN(ROW(WhoKW))+1)))=0,"",INDEX(WhoVal,SUMPRODUCT(MAX((WhoKW&lt;&gt;"")*ISNUMBER(SEARCH(WhoKW,INDEX(FormData,$W55,f_Who)&amp;""))*(ROW(WhoKW)-MIN(ROW(WhoKW))+1))))),""))</f>
        <v/>
      </c>
      <c r="F55" s="17">
        <f>IF($W55="","",TRIM(IFERROR(INDEX(FormData,$W55,f_Org1)&amp;"","")&amp;" "&amp;IFERROR(INDEX(FormData,$W55,f_Org2)&amp;"","")))</f>
        <v/>
      </c>
      <c r="G55" s="16">
        <f>IF($W55="","",IFERROR(INDEX(FormData,$W55,f_Region)&amp;"",""))</f>
        <v/>
      </c>
      <c r="H55" s="16">
        <f>IF($W55="","",IFERROR(IF(SUMPRODUCT(MAX((SitKW&lt;&gt;"")*ISNUMBER(SEARCH(SitKW,INDEX(FormData,$W55,f_Sit)&amp;""))*(ROW(SitKW)-MIN(ROW(SitKW))+1)))=0,"",INDEX(SitVal,SUMPRODUCT(MAX((SitKW&lt;&gt;"")*ISNUMBER(SEARCH(SitKW,INDEX(FormData,$W55,f_Sit)&amp;""))*(ROW(SitKW)-MIN(ROW(SitKW))+1))))),""))</f>
        <v/>
      </c>
      <c r="I55" s="14">
        <f>IF($W55="","",IFERROR(INDEX(FormData,$W55,f_Appr)&amp;"",""))</f>
        <v/>
      </c>
      <c r="J55" s="16">
        <f>IF($W55="","",IFERROR(INDEX(FormData,$W55,f_Trade)&amp;"",""))</f>
        <v/>
      </c>
      <c r="K55" s="16" t="n"/>
      <c r="L55" s="17" t="n"/>
      <c r="M55" s="16" t="n"/>
      <c r="N55" s="17" t="n"/>
      <c r="O55" s="14" t="n"/>
      <c r="P55" s="14" t="n"/>
      <c r="Q55" s="18" t="n"/>
      <c r="R55" s="18" t="n"/>
      <c r="S55" s="13">
        <f>IF($P55&lt;&gt;"✓","",IF($R55&lt;&gt;"","Done",IF($Q55="","Open — no date",IF($Q55&lt;TODAY(),"Overdue",IF($Q55-TODAY()&lt;=DueSoon,"Due soon","Scheduled")))))</f>
        <v/>
      </c>
      <c r="T55" s="14">
        <f>IF($W55="","",IFERROR(IF(INDEX(FormData,$W55,f_Consent)&amp;""="","",IF(ISNUMBER(SEARCH("yes",INDEX(FormData,$W55,f_Consent))),"Yes","No")),""))</f>
        <v/>
      </c>
      <c r="U55" s="14" t="n"/>
      <c r="V55" s="13">
        <f>IF($U55="","",IF($W55="","not found","✓"))</f>
        <v/>
      </c>
      <c r="W55">
        <f>IF($U55="","",IFERROR(MATCH($U55,INDEX(FormData,0,f_Id),0),IFERROR(MATCH(--$U55,INDEX(FormData,0,f_Id),0),IFERROR(MATCH($U55&amp;"",INDEX(FormData,0,f_Id),0),""))))</f>
        <v/>
      </c>
      <c r="X55">
        <f>IF(AND($B55&lt;&gt;"",$B55='Event Report'!$C$3),ROW(),"")</f>
        <v/>
      </c>
      <c r="Y55">
        <f>IF(AND($P55="✓",$R55=""),IF($Q55="",90000,$Q55)+ROW()/100000,"")</f>
        <v/>
      </c>
      <c r="Z55">
        <f>IF(OR($U55&lt;&gt;"",$D55&lt;&gt;"",$E55&lt;&gt;"",$N55&lt;&gt;""),1,"")</f>
        <v/>
      </c>
    </row>
    <row r="56">
      <c r="A56" s="13" t="inlineStr">
        <is>
          <t>P-0052</t>
        </is>
      </c>
      <c r="B56" s="14">
        <f>IF(AND($U56="",$C56=""),"",IFERROR(INDEX(EvID,MATCH(INDEX(FormData,$W56,f_Event),EvID,0)),IFERROR(INDEX(EvID,MATCH(INDEX(FormData,$W56,f_Event),EvName,0)),IFERROR(INDEX(EvID,MATCH(INT($C56),EvDate,0)),""))))</f>
        <v/>
      </c>
      <c r="C56" s="15">
        <f>IF($W56="","",INDEX(FormData,$W56,f_Time))</f>
        <v/>
      </c>
      <c r="D56" s="14">
        <f>IF($W56="","",IFERROR(UPPER(LEFT(TRIM(INDEX(FormData,$W56,f_Name)),1)&amp;IFERROR(MID(TRIM(INDEX(FormData,$W56,f_Name)),FIND("^",SUBSTITUTE(TRIM(INDEX(FormData,$W56,f_Name))," ","^",LEN(TRIM(INDEX(FormData,$W56,f_Name)))-LEN(SUBSTITUTE(TRIM(INDEX(FormData,$W56,f_Name))," ",""))))+1,1),"")),""))</f>
        <v/>
      </c>
      <c r="E56" s="16">
        <f>IF($W56="","",IFERROR(IF(SUMPRODUCT(MAX((WhoKW&lt;&gt;"")*ISNUMBER(SEARCH(WhoKW,INDEX(FormData,$W56,f_Who)&amp;""))*(ROW(WhoKW)-MIN(ROW(WhoKW))+1)))=0,"",INDEX(WhoVal,SUMPRODUCT(MAX((WhoKW&lt;&gt;"")*ISNUMBER(SEARCH(WhoKW,INDEX(FormData,$W56,f_Who)&amp;""))*(ROW(WhoKW)-MIN(ROW(WhoKW))+1))))),""))</f>
        <v/>
      </c>
      <c r="F56" s="17">
        <f>IF($W56="","",TRIM(IFERROR(INDEX(FormData,$W56,f_Org1)&amp;"","")&amp;" "&amp;IFERROR(INDEX(FormData,$W56,f_Org2)&amp;"","")))</f>
        <v/>
      </c>
      <c r="G56" s="16">
        <f>IF($W56="","",IFERROR(INDEX(FormData,$W56,f_Region)&amp;"",""))</f>
        <v/>
      </c>
      <c r="H56" s="16">
        <f>IF($W56="","",IFERROR(IF(SUMPRODUCT(MAX((SitKW&lt;&gt;"")*ISNUMBER(SEARCH(SitKW,INDEX(FormData,$W56,f_Sit)&amp;""))*(ROW(SitKW)-MIN(ROW(SitKW))+1)))=0,"",INDEX(SitVal,SUMPRODUCT(MAX((SitKW&lt;&gt;"")*ISNUMBER(SEARCH(SitKW,INDEX(FormData,$W56,f_Sit)&amp;""))*(ROW(SitKW)-MIN(ROW(SitKW))+1))))),""))</f>
        <v/>
      </c>
      <c r="I56" s="14">
        <f>IF($W56="","",IFERROR(INDEX(FormData,$W56,f_Appr)&amp;"",""))</f>
        <v/>
      </c>
      <c r="J56" s="16">
        <f>IF($W56="","",IFERROR(INDEX(FormData,$W56,f_Trade)&amp;"",""))</f>
        <v/>
      </c>
      <c r="K56" s="16" t="n"/>
      <c r="L56" s="17" t="n"/>
      <c r="M56" s="16" t="n"/>
      <c r="N56" s="17" t="n"/>
      <c r="O56" s="14" t="n"/>
      <c r="P56" s="14" t="n"/>
      <c r="Q56" s="18" t="n"/>
      <c r="R56" s="18" t="n"/>
      <c r="S56" s="13">
        <f>IF($P56&lt;&gt;"✓","",IF($R56&lt;&gt;"","Done",IF($Q56="","Open — no date",IF($Q56&lt;TODAY(),"Overdue",IF($Q56-TODAY()&lt;=DueSoon,"Due soon","Scheduled")))))</f>
        <v/>
      </c>
      <c r="T56" s="14">
        <f>IF($W56="","",IFERROR(IF(INDEX(FormData,$W56,f_Consent)&amp;""="","",IF(ISNUMBER(SEARCH("yes",INDEX(FormData,$W56,f_Consent))),"Yes","No")),""))</f>
        <v/>
      </c>
      <c r="U56" s="14" t="n"/>
      <c r="V56" s="13">
        <f>IF($U56="","",IF($W56="","not found","✓"))</f>
        <v/>
      </c>
      <c r="W56">
        <f>IF($U56="","",IFERROR(MATCH($U56,INDEX(FormData,0,f_Id),0),IFERROR(MATCH(--$U56,INDEX(FormData,0,f_Id),0),IFERROR(MATCH($U56&amp;"",INDEX(FormData,0,f_Id),0),""))))</f>
        <v/>
      </c>
      <c r="X56">
        <f>IF(AND($B56&lt;&gt;"",$B56='Event Report'!$C$3),ROW(),"")</f>
        <v/>
      </c>
      <c r="Y56">
        <f>IF(AND($P56="✓",$R56=""),IF($Q56="",90000,$Q56)+ROW()/100000,"")</f>
        <v/>
      </c>
      <c r="Z56">
        <f>IF(OR($U56&lt;&gt;"",$D56&lt;&gt;"",$E56&lt;&gt;"",$N56&lt;&gt;""),1,"")</f>
        <v/>
      </c>
    </row>
    <row r="57">
      <c r="A57" s="13" t="inlineStr">
        <is>
          <t>P-0053</t>
        </is>
      </c>
      <c r="B57" s="14">
        <f>IF(AND($U57="",$C57=""),"",IFERROR(INDEX(EvID,MATCH(INDEX(FormData,$W57,f_Event),EvID,0)),IFERROR(INDEX(EvID,MATCH(INDEX(FormData,$W57,f_Event),EvName,0)),IFERROR(INDEX(EvID,MATCH(INT($C57),EvDate,0)),""))))</f>
        <v/>
      </c>
      <c r="C57" s="15">
        <f>IF($W57="","",INDEX(FormData,$W57,f_Time))</f>
        <v/>
      </c>
      <c r="D57" s="14">
        <f>IF($W57="","",IFERROR(UPPER(LEFT(TRIM(INDEX(FormData,$W57,f_Name)),1)&amp;IFERROR(MID(TRIM(INDEX(FormData,$W57,f_Name)),FIND("^",SUBSTITUTE(TRIM(INDEX(FormData,$W57,f_Name))," ","^",LEN(TRIM(INDEX(FormData,$W57,f_Name)))-LEN(SUBSTITUTE(TRIM(INDEX(FormData,$W57,f_Name))," ",""))))+1,1),"")),""))</f>
        <v/>
      </c>
      <c r="E57" s="16">
        <f>IF($W57="","",IFERROR(IF(SUMPRODUCT(MAX((WhoKW&lt;&gt;"")*ISNUMBER(SEARCH(WhoKW,INDEX(FormData,$W57,f_Who)&amp;""))*(ROW(WhoKW)-MIN(ROW(WhoKW))+1)))=0,"",INDEX(WhoVal,SUMPRODUCT(MAX((WhoKW&lt;&gt;"")*ISNUMBER(SEARCH(WhoKW,INDEX(FormData,$W57,f_Who)&amp;""))*(ROW(WhoKW)-MIN(ROW(WhoKW))+1))))),""))</f>
        <v/>
      </c>
      <c r="F57" s="17">
        <f>IF($W57="","",TRIM(IFERROR(INDEX(FormData,$W57,f_Org1)&amp;"","")&amp;" "&amp;IFERROR(INDEX(FormData,$W57,f_Org2)&amp;"","")))</f>
        <v/>
      </c>
      <c r="G57" s="16">
        <f>IF($W57="","",IFERROR(INDEX(FormData,$W57,f_Region)&amp;"",""))</f>
        <v/>
      </c>
      <c r="H57" s="16">
        <f>IF($W57="","",IFERROR(IF(SUMPRODUCT(MAX((SitKW&lt;&gt;"")*ISNUMBER(SEARCH(SitKW,INDEX(FormData,$W57,f_Sit)&amp;""))*(ROW(SitKW)-MIN(ROW(SitKW))+1)))=0,"",INDEX(SitVal,SUMPRODUCT(MAX((SitKW&lt;&gt;"")*ISNUMBER(SEARCH(SitKW,INDEX(FormData,$W57,f_Sit)&amp;""))*(ROW(SitKW)-MIN(ROW(SitKW))+1))))),""))</f>
        <v/>
      </c>
      <c r="I57" s="14">
        <f>IF($W57="","",IFERROR(INDEX(FormData,$W57,f_Appr)&amp;"",""))</f>
        <v/>
      </c>
      <c r="J57" s="16">
        <f>IF($W57="","",IFERROR(INDEX(FormData,$W57,f_Trade)&amp;"",""))</f>
        <v/>
      </c>
      <c r="K57" s="16" t="n"/>
      <c r="L57" s="17" t="n"/>
      <c r="M57" s="16" t="n"/>
      <c r="N57" s="17" t="n"/>
      <c r="O57" s="14" t="n"/>
      <c r="P57" s="14" t="n"/>
      <c r="Q57" s="18" t="n"/>
      <c r="R57" s="18" t="n"/>
      <c r="S57" s="13">
        <f>IF($P57&lt;&gt;"✓","",IF($R57&lt;&gt;"","Done",IF($Q57="","Open — no date",IF($Q57&lt;TODAY(),"Overdue",IF($Q57-TODAY()&lt;=DueSoon,"Due soon","Scheduled")))))</f>
        <v/>
      </c>
      <c r="T57" s="14">
        <f>IF($W57="","",IFERROR(IF(INDEX(FormData,$W57,f_Consent)&amp;""="","",IF(ISNUMBER(SEARCH("yes",INDEX(FormData,$W57,f_Consent))),"Yes","No")),""))</f>
        <v/>
      </c>
      <c r="U57" s="14" t="n"/>
      <c r="V57" s="13">
        <f>IF($U57="","",IF($W57="","not found","✓"))</f>
        <v/>
      </c>
      <c r="W57">
        <f>IF($U57="","",IFERROR(MATCH($U57,INDEX(FormData,0,f_Id),0),IFERROR(MATCH(--$U57,INDEX(FormData,0,f_Id),0),IFERROR(MATCH($U57&amp;"",INDEX(FormData,0,f_Id),0),""))))</f>
        <v/>
      </c>
      <c r="X57">
        <f>IF(AND($B57&lt;&gt;"",$B57='Event Report'!$C$3),ROW(),"")</f>
        <v/>
      </c>
      <c r="Y57">
        <f>IF(AND($P57="✓",$R57=""),IF($Q57="",90000,$Q57)+ROW()/100000,"")</f>
        <v/>
      </c>
      <c r="Z57">
        <f>IF(OR($U57&lt;&gt;"",$D57&lt;&gt;"",$E57&lt;&gt;"",$N57&lt;&gt;""),1,"")</f>
        <v/>
      </c>
    </row>
    <row r="58">
      <c r="A58" s="13" t="inlineStr">
        <is>
          <t>P-0054</t>
        </is>
      </c>
      <c r="B58" s="14">
        <f>IF(AND($U58="",$C58=""),"",IFERROR(INDEX(EvID,MATCH(INDEX(FormData,$W58,f_Event),EvID,0)),IFERROR(INDEX(EvID,MATCH(INDEX(FormData,$W58,f_Event),EvName,0)),IFERROR(INDEX(EvID,MATCH(INT($C58),EvDate,0)),""))))</f>
        <v/>
      </c>
      <c r="C58" s="15">
        <f>IF($W58="","",INDEX(FormData,$W58,f_Time))</f>
        <v/>
      </c>
      <c r="D58" s="14">
        <f>IF($W58="","",IFERROR(UPPER(LEFT(TRIM(INDEX(FormData,$W58,f_Name)),1)&amp;IFERROR(MID(TRIM(INDEX(FormData,$W58,f_Name)),FIND("^",SUBSTITUTE(TRIM(INDEX(FormData,$W58,f_Name))," ","^",LEN(TRIM(INDEX(FormData,$W58,f_Name)))-LEN(SUBSTITUTE(TRIM(INDEX(FormData,$W58,f_Name))," ",""))))+1,1),"")),""))</f>
        <v/>
      </c>
      <c r="E58" s="16">
        <f>IF($W58="","",IFERROR(IF(SUMPRODUCT(MAX((WhoKW&lt;&gt;"")*ISNUMBER(SEARCH(WhoKW,INDEX(FormData,$W58,f_Who)&amp;""))*(ROW(WhoKW)-MIN(ROW(WhoKW))+1)))=0,"",INDEX(WhoVal,SUMPRODUCT(MAX((WhoKW&lt;&gt;"")*ISNUMBER(SEARCH(WhoKW,INDEX(FormData,$W58,f_Who)&amp;""))*(ROW(WhoKW)-MIN(ROW(WhoKW))+1))))),""))</f>
        <v/>
      </c>
      <c r="F58" s="17">
        <f>IF($W58="","",TRIM(IFERROR(INDEX(FormData,$W58,f_Org1)&amp;"","")&amp;" "&amp;IFERROR(INDEX(FormData,$W58,f_Org2)&amp;"","")))</f>
        <v/>
      </c>
      <c r="G58" s="16">
        <f>IF($W58="","",IFERROR(INDEX(FormData,$W58,f_Region)&amp;"",""))</f>
        <v/>
      </c>
      <c r="H58" s="16">
        <f>IF($W58="","",IFERROR(IF(SUMPRODUCT(MAX((SitKW&lt;&gt;"")*ISNUMBER(SEARCH(SitKW,INDEX(FormData,$W58,f_Sit)&amp;""))*(ROW(SitKW)-MIN(ROW(SitKW))+1)))=0,"",INDEX(SitVal,SUMPRODUCT(MAX((SitKW&lt;&gt;"")*ISNUMBER(SEARCH(SitKW,INDEX(FormData,$W58,f_Sit)&amp;""))*(ROW(SitKW)-MIN(ROW(SitKW))+1))))),""))</f>
        <v/>
      </c>
      <c r="I58" s="14">
        <f>IF($W58="","",IFERROR(INDEX(FormData,$W58,f_Appr)&amp;"",""))</f>
        <v/>
      </c>
      <c r="J58" s="16">
        <f>IF($W58="","",IFERROR(INDEX(FormData,$W58,f_Trade)&amp;"",""))</f>
        <v/>
      </c>
      <c r="K58" s="16" t="n"/>
      <c r="L58" s="17" t="n"/>
      <c r="M58" s="16" t="n"/>
      <c r="N58" s="17" t="n"/>
      <c r="O58" s="14" t="n"/>
      <c r="P58" s="14" t="n"/>
      <c r="Q58" s="18" t="n"/>
      <c r="R58" s="18" t="n"/>
      <c r="S58" s="13">
        <f>IF($P58&lt;&gt;"✓","",IF($R58&lt;&gt;"","Done",IF($Q58="","Open — no date",IF($Q58&lt;TODAY(),"Overdue",IF($Q58-TODAY()&lt;=DueSoon,"Due soon","Scheduled")))))</f>
        <v/>
      </c>
      <c r="T58" s="14">
        <f>IF($W58="","",IFERROR(IF(INDEX(FormData,$W58,f_Consent)&amp;""="","",IF(ISNUMBER(SEARCH("yes",INDEX(FormData,$W58,f_Consent))),"Yes","No")),""))</f>
        <v/>
      </c>
      <c r="U58" s="14" t="n"/>
      <c r="V58" s="13">
        <f>IF($U58="","",IF($W58="","not found","✓"))</f>
        <v/>
      </c>
      <c r="W58">
        <f>IF($U58="","",IFERROR(MATCH($U58,INDEX(FormData,0,f_Id),0),IFERROR(MATCH(--$U58,INDEX(FormData,0,f_Id),0),IFERROR(MATCH($U58&amp;"",INDEX(FormData,0,f_Id),0),""))))</f>
        <v/>
      </c>
      <c r="X58">
        <f>IF(AND($B58&lt;&gt;"",$B58='Event Report'!$C$3),ROW(),"")</f>
        <v/>
      </c>
      <c r="Y58">
        <f>IF(AND($P58="✓",$R58=""),IF($Q58="",90000,$Q58)+ROW()/100000,"")</f>
        <v/>
      </c>
      <c r="Z58">
        <f>IF(OR($U58&lt;&gt;"",$D58&lt;&gt;"",$E58&lt;&gt;"",$N58&lt;&gt;""),1,"")</f>
        <v/>
      </c>
    </row>
    <row r="59">
      <c r="A59" s="13" t="inlineStr">
        <is>
          <t>P-0055</t>
        </is>
      </c>
      <c r="B59" s="14">
        <f>IF(AND($U59="",$C59=""),"",IFERROR(INDEX(EvID,MATCH(INDEX(FormData,$W59,f_Event),EvID,0)),IFERROR(INDEX(EvID,MATCH(INDEX(FormData,$W59,f_Event),EvName,0)),IFERROR(INDEX(EvID,MATCH(INT($C59),EvDate,0)),""))))</f>
        <v/>
      </c>
      <c r="C59" s="15">
        <f>IF($W59="","",INDEX(FormData,$W59,f_Time))</f>
        <v/>
      </c>
      <c r="D59" s="14">
        <f>IF($W59="","",IFERROR(UPPER(LEFT(TRIM(INDEX(FormData,$W59,f_Name)),1)&amp;IFERROR(MID(TRIM(INDEX(FormData,$W59,f_Name)),FIND("^",SUBSTITUTE(TRIM(INDEX(FormData,$W59,f_Name))," ","^",LEN(TRIM(INDEX(FormData,$W59,f_Name)))-LEN(SUBSTITUTE(TRIM(INDEX(FormData,$W59,f_Name))," ",""))))+1,1),"")),""))</f>
        <v/>
      </c>
      <c r="E59" s="16">
        <f>IF($W59="","",IFERROR(IF(SUMPRODUCT(MAX((WhoKW&lt;&gt;"")*ISNUMBER(SEARCH(WhoKW,INDEX(FormData,$W59,f_Who)&amp;""))*(ROW(WhoKW)-MIN(ROW(WhoKW))+1)))=0,"",INDEX(WhoVal,SUMPRODUCT(MAX((WhoKW&lt;&gt;"")*ISNUMBER(SEARCH(WhoKW,INDEX(FormData,$W59,f_Who)&amp;""))*(ROW(WhoKW)-MIN(ROW(WhoKW))+1))))),""))</f>
        <v/>
      </c>
      <c r="F59" s="17">
        <f>IF($W59="","",TRIM(IFERROR(INDEX(FormData,$W59,f_Org1)&amp;"","")&amp;" "&amp;IFERROR(INDEX(FormData,$W59,f_Org2)&amp;"","")))</f>
        <v/>
      </c>
      <c r="G59" s="16">
        <f>IF($W59="","",IFERROR(INDEX(FormData,$W59,f_Region)&amp;"",""))</f>
        <v/>
      </c>
      <c r="H59" s="16">
        <f>IF($W59="","",IFERROR(IF(SUMPRODUCT(MAX((SitKW&lt;&gt;"")*ISNUMBER(SEARCH(SitKW,INDEX(FormData,$W59,f_Sit)&amp;""))*(ROW(SitKW)-MIN(ROW(SitKW))+1)))=0,"",INDEX(SitVal,SUMPRODUCT(MAX((SitKW&lt;&gt;"")*ISNUMBER(SEARCH(SitKW,INDEX(FormData,$W59,f_Sit)&amp;""))*(ROW(SitKW)-MIN(ROW(SitKW))+1))))),""))</f>
        <v/>
      </c>
      <c r="I59" s="14">
        <f>IF($W59="","",IFERROR(INDEX(FormData,$W59,f_Appr)&amp;"",""))</f>
        <v/>
      </c>
      <c r="J59" s="16">
        <f>IF($W59="","",IFERROR(INDEX(FormData,$W59,f_Trade)&amp;"",""))</f>
        <v/>
      </c>
      <c r="K59" s="16" t="n"/>
      <c r="L59" s="17" t="n"/>
      <c r="M59" s="16" t="n"/>
      <c r="N59" s="17" t="n"/>
      <c r="O59" s="14" t="n"/>
      <c r="P59" s="14" t="n"/>
      <c r="Q59" s="18" t="n"/>
      <c r="R59" s="18" t="n"/>
      <c r="S59" s="13">
        <f>IF($P59&lt;&gt;"✓","",IF($R59&lt;&gt;"","Done",IF($Q59="","Open — no date",IF($Q59&lt;TODAY(),"Overdue",IF($Q59-TODAY()&lt;=DueSoon,"Due soon","Scheduled")))))</f>
        <v/>
      </c>
      <c r="T59" s="14">
        <f>IF($W59="","",IFERROR(IF(INDEX(FormData,$W59,f_Consent)&amp;""="","",IF(ISNUMBER(SEARCH("yes",INDEX(FormData,$W59,f_Consent))),"Yes","No")),""))</f>
        <v/>
      </c>
      <c r="U59" s="14" t="n"/>
      <c r="V59" s="13">
        <f>IF($U59="","",IF($W59="","not found","✓"))</f>
        <v/>
      </c>
      <c r="W59">
        <f>IF($U59="","",IFERROR(MATCH($U59,INDEX(FormData,0,f_Id),0),IFERROR(MATCH(--$U59,INDEX(FormData,0,f_Id),0),IFERROR(MATCH($U59&amp;"",INDEX(FormData,0,f_Id),0),""))))</f>
        <v/>
      </c>
      <c r="X59">
        <f>IF(AND($B59&lt;&gt;"",$B59='Event Report'!$C$3),ROW(),"")</f>
        <v/>
      </c>
      <c r="Y59">
        <f>IF(AND($P59="✓",$R59=""),IF($Q59="",90000,$Q59)+ROW()/100000,"")</f>
        <v/>
      </c>
      <c r="Z59">
        <f>IF(OR($U59&lt;&gt;"",$D59&lt;&gt;"",$E59&lt;&gt;"",$N59&lt;&gt;""),1,"")</f>
        <v/>
      </c>
    </row>
    <row r="60">
      <c r="A60" s="13" t="inlineStr">
        <is>
          <t>P-0056</t>
        </is>
      </c>
      <c r="B60" s="14">
        <f>IF(AND($U60="",$C60=""),"",IFERROR(INDEX(EvID,MATCH(INDEX(FormData,$W60,f_Event),EvID,0)),IFERROR(INDEX(EvID,MATCH(INDEX(FormData,$W60,f_Event),EvName,0)),IFERROR(INDEX(EvID,MATCH(INT($C60),EvDate,0)),""))))</f>
        <v/>
      </c>
      <c r="C60" s="15">
        <f>IF($W60="","",INDEX(FormData,$W60,f_Time))</f>
        <v/>
      </c>
      <c r="D60" s="14">
        <f>IF($W60="","",IFERROR(UPPER(LEFT(TRIM(INDEX(FormData,$W60,f_Name)),1)&amp;IFERROR(MID(TRIM(INDEX(FormData,$W60,f_Name)),FIND("^",SUBSTITUTE(TRIM(INDEX(FormData,$W60,f_Name))," ","^",LEN(TRIM(INDEX(FormData,$W60,f_Name)))-LEN(SUBSTITUTE(TRIM(INDEX(FormData,$W60,f_Name))," ",""))))+1,1),"")),""))</f>
        <v/>
      </c>
      <c r="E60" s="16">
        <f>IF($W60="","",IFERROR(IF(SUMPRODUCT(MAX((WhoKW&lt;&gt;"")*ISNUMBER(SEARCH(WhoKW,INDEX(FormData,$W60,f_Who)&amp;""))*(ROW(WhoKW)-MIN(ROW(WhoKW))+1)))=0,"",INDEX(WhoVal,SUMPRODUCT(MAX((WhoKW&lt;&gt;"")*ISNUMBER(SEARCH(WhoKW,INDEX(FormData,$W60,f_Who)&amp;""))*(ROW(WhoKW)-MIN(ROW(WhoKW))+1))))),""))</f>
        <v/>
      </c>
      <c r="F60" s="17">
        <f>IF($W60="","",TRIM(IFERROR(INDEX(FormData,$W60,f_Org1)&amp;"","")&amp;" "&amp;IFERROR(INDEX(FormData,$W60,f_Org2)&amp;"","")))</f>
        <v/>
      </c>
      <c r="G60" s="16">
        <f>IF($W60="","",IFERROR(INDEX(FormData,$W60,f_Region)&amp;"",""))</f>
        <v/>
      </c>
      <c r="H60" s="16">
        <f>IF($W60="","",IFERROR(IF(SUMPRODUCT(MAX((SitKW&lt;&gt;"")*ISNUMBER(SEARCH(SitKW,INDEX(FormData,$W60,f_Sit)&amp;""))*(ROW(SitKW)-MIN(ROW(SitKW))+1)))=0,"",INDEX(SitVal,SUMPRODUCT(MAX((SitKW&lt;&gt;"")*ISNUMBER(SEARCH(SitKW,INDEX(FormData,$W60,f_Sit)&amp;""))*(ROW(SitKW)-MIN(ROW(SitKW))+1))))),""))</f>
        <v/>
      </c>
      <c r="I60" s="14">
        <f>IF($W60="","",IFERROR(INDEX(FormData,$W60,f_Appr)&amp;"",""))</f>
        <v/>
      </c>
      <c r="J60" s="16">
        <f>IF($W60="","",IFERROR(INDEX(FormData,$W60,f_Trade)&amp;"",""))</f>
        <v/>
      </c>
      <c r="K60" s="16" t="n"/>
      <c r="L60" s="17" t="n"/>
      <c r="M60" s="16" t="n"/>
      <c r="N60" s="17" t="n"/>
      <c r="O60" s="14" t="n"/>
      <c r="P60" s="14" t="n"/>
      <c r="Q60" s="18" t="n"/>
      <c r="R60" s="18" t="n"/>
      <c r="S60" s="13">
        <f>IF($P60&lt;&gt;"✓","",IF($R60&lt;&gt;"","Done",IF($Q60="","Open — no date",IF($Q60&lt;TODAY(),"Overdue",IF($Q60-TODAY()&lt;=DueSoon,"Due soon","Scheduled")))))</f>
        <v/>
      </c>
      <c r="T60" s="14">
        <f>IF($W60="","",IFERROR(IF(INDEX(FormData,$W60,f_Consent)&amp;""="","",IF(ISNUMBER(SEARCH("yes",INDEX(FormData,$W60,f_Consent))),"Yes","No")),""))</f>
        <v/>
      </c>
      <c r="U60" s="14" t="n"/>
      <c r="V60" s="13">
        <f>IF($U60="","",IF($W60="","not found","✓"))</f>
        <v/>
      </c>
      <c r="W60">
        <f>IF($U60="","",IFERROR(MATCH($U60,INDEX(FormData,0,f_Id),0),IFERROR(MATCH(--$U60,INDEX(FormData,0,f_Id),0),IFERROR(MATCH($U60&amp;"",INDEX(FormData,0,f_Id),0),""))))</f>
        <v/>
      </c>
      <c r="X60">
        <f>IF(AND($B60&lt;&gt;"",$B60='Event Report'!$C$3),ROW(),"")</f>
        <v/>
      </c>
      <c r="Y60">
        <f>IF(AND($P60="✓",$R60=""),IF($Q60="",90000,$Q60)+ROW()/100000,"")</f>
        <v/>
      </c>
      <c r="Z60">
        <f>IF(OR($U60&lt;&gt;"",$D60&lt;&gt;"",$E60&lt;&gt;"",$N60&lt;&gt;""),1,"")</f>
        <v/>
      </c>
    </row>
    <row r="61">
      <c r="A61" s="13" t="inlineStr">
        <is>
          <t>P-0057</t>
        </is>
      </c>
      <c r="B61" s="14">
        <f>IF(AND($U61="",$C61=""),"",IFERROR(INDEX(EvID,MATCH(INDEX(FormData,$W61,f_Event),EvID,0)),IFERROR(INDEX(EvID,MATCH(INDEX(FormData,$W61,f_Event),EvName,0)),IFERROR(INDEX(EvID,MATCH(INT($C61),EvDate,0)),""))))</f>
        <v/>
      </c>
      <c r="C61" s="15">
        <f>IF($W61="","",INDEX(FormData,$W61,f_Time))</f>
        <v/>
      </c>
      <c r="D61" s="14">
        <f>IF($W61="","",IFERROR(UPPER(LEFT(TRIM(INDEX(FormData,$W61,f_Name)),1)&amp;IFERROR(MID(TRIM(INDEX(FormData,$W61,f_Name)),FIND("^",SUBSTITUTE(TRIM(INDEX(FormData,$W61,f_Name))," ","^",LEN(TRIM(INDEX(FormData,$W61,f_Name)))-LEN(SUBSTITUTE(TRIM(INDEX(FormData,$W61,f_Name))," ",""))))+1,1),"")),""))</f>
        <v/>
      </c>
      <c r="E61" s="16">
        <f>IF($W61="","",IFERROR(IF(SUMPRODUCT(MAX((WhoKW&lt;&gt;"")*ISNUMBER(SEARCH(WhoKW,INDEX(FormData,$W61,f_Who)&amp;""))*(ROW(WhoKW)-MIN(ROW(WhoKW))+1)))=0,"",INDEX(WhoVal,SUMPRODUCT(MAX((WhoKW&lt;&gt;"")*ISNUMBER(SEARCH(WhoKW,INDEX(FormData,$W61,f_Who)&amp;""))*(ROW(WhoKW)-MIN(ROW(WhoKW))+1))))),""))</f>
        <v/>
      </c>
      <c r="F61" s="17">
        <f>IF($W61="","",TRIM(IFERROR(INDEX(FormData,$W61,f_Org1)&amp;"","")&amp;" "&amp;IFERROR(INDEX(FormData,$W61,f_Org2)&amp;"","")))</f>
        <v/>
      </c>
      <c r="G61" s="16">
        <f>IF($W61="","",IFERROR(INDEX(FormData,$W61,f_Region)&amp;"",""))</f>
        <v/>
      </c>
      <c r="H61" s="16">
        <f>IF($W61="","",IFERROR(IF(SUMPRODUCT(MAX((SitKW&lt;&gt;"")*ISNUMBER(SEARCH(SitKW,INDEX(FormData,$W61,f_Sit)&amp;""))*(ROW(SitKW)-MIN(ROW(SitKW))+1)))=0,"",INDEX(SitVal,SUMPRODUCT(MAX((SitKW&lt;&gt;"")*ISNUMBER(SEARCH(SitKW,INDEX(FormData,$W61,f_Sit)&amp;""))*(ROW(SitKW)-MIN(ROW(SitKW))+1))))),""))</f>
        <v/>
      </c>
      <c r="I61" s="14">
        <f>IF($W61="","",IFERROR(INDEX(FormData,$W61,f_Appr)&amp;"",""))</f>
        <v/>
      </c>
      <c r="J61" s="16">
        <f>IF($W61="","",IFERROR(INDEX(FormData,$W61,f_Trade)&amp;"",""))</f>
        <v/>
      </c>
      <c r="K61" s="16" t="n"/>
      <c r="L61" s="17" t="n"/>
      <c r="M61" s="16" t="n"/>
      <c r="N61" s="17" t="n"/>
      <c r="O61" s="14" t="n"/>
      <c r="P61" s="14" t="n"/>
      <c r="Q61" s="18" t="n"/>
      <c r="R61" s="18" t="n"/>
      <c r="S61" s="13">
        <f>IF($P61&lt;&gt;"✓","",IF($R61&lt;&gt;"","Done",IF($Q61="","Open — no date",IF($Q61&lt;TODAY(),"Overdue",IF($Q61-TODAY()&lt;=DueSoon,"Due soon","Scheduled")))))</f>
        <v/>
      </c>
      <c r="T61" s="14">
        <f>IF($W61="","",IFERROR(IF(INDEX(FormData,$W61,f_Consent)&amp;""="","",IF(ISNUMBER(SEARCH("yes",INDEX(FormData,$W61,f_Consent))),"Yes","No")),""))</f>
        <v/>
      </c>
      <c r="U61" s="14" t="n"/>
      <c r="V61" s="13">
        <f>IF($U61="","",IF($W61="","not found","✓"))</f>
        <v/>
      </c>
      <c r="W61">
        <f>IF($U61="","",IFERROR(MATCH($U61,INDEX(FormData,0,f_Id),0),IFERROR(MATCH(--$U61,INDEX(FormData,0,f_Id),0),IFERROR(MATCH($U61&amp;"",INDEX(FormData,0,f_Id),0),""))))</f>
        <v/>
      </c>
      <c r="X61">
        <f>IF(AND($B61&lt;&gt;"",$B61='Event Report'!$C$3),ROW(),"")</f>
        <v/>
      </c>
      <c r="Y61">
        <f>IF(AND($P61="✓",$R61=""),IF($Q61="",90000,$Q61)+ROW()/100000,"")</f>
        <v/>
      </c>
      <c r="Z61">
        <f>IF(OR($U61&lt;&gt;"",$D61&lt;&gt;"",$E61&lt;&gt;"",$N61&lt;&gt;""),1,"")</f>
        <v/>
      </c>
    </row>
    <row r="62">
      <c r="A62" s="13" t="inlineStr">
        <is>
          <t>P-0058</t>
        </is>
      </c>
      <c r="B62" s="14">
        <f>IF(AND($U62="",$C62=""),"",IFERROR(INDEX(EvID,MATCH(INDEX(FormData,$W62,f_Event),EvID,0)),IFERROR(INDEX(EvID,MATCH(INDEX(FormData,$W62,f_Event),EvName,0)),IFERROR(INDEX(EvID,MATCH(INT($C62),EvDate,0)),""))))</f>
        <v/>
      </c>
      <c r="C62" s="15">
        <f>IF($W62="","",INDEX(FormData,$W62,f_Time))</f>
        <v/>
      </c>
      <c r="D62" s="14">
        <f>IF($W62="","",IFERROR(UPPER(LEFT(TRIM(INDEX(FormData,$W62,f_Name)),1)&amp;IFERROR(MID(TRIM(INDEX(FormData,$W62,f_Name)),FIND("^",SUBSTITUTE(TRIM(INDEX(FormData,$W62,f_Name))," ","^",LEN(TRIM(INDEX(FormData,$W62,f_Name)))-LEN(SUBSTITUTE(TRIM(INDEX(FormData,$W62,f_Name))," ",""))))+1,1),"")),""))</f>
        <v/>
      </c>
      <c r="E62" s="16">
        <f>IF($W62="","",IFERROR(IF(SUMPRODUCT(MAX((WhoKW&lt;&gt;"")*ISNUMBER(SEARCH(WhoKW,INDEX(FormData,$W62,f_Who)&amp;""))*(ROW(WhoKW)-MIN(ROW(WhoKW))+1)))=0,"",INDEX(WhoVal,SUMPRODUCT(MAX((WhoKW&lt;&gt;"")*ISNUMBER(SEARCH(WhoKW,INDEX(FormData,$W62,f_Who)&amp;""))*(ROW(WhoKW)-MIN(ROW(WhoKW))+1))))),""))</f>
        <v/>
      </c>
      <c r="F62" s="17">
        <f>IF($W62="","",TRIM(IFERROR(INDEX(FormData,$W62,f_Org1)&amp;"","")&amp;" "&amp;IFERROR(INDEX(FormData,$W62,f_Org2)&amp;"","")))</f>
        <v/>
      </c>
      <c r="G62" s="16">
        <f>IF($W62="","",IFERROR(INDEX(FormData,$W62,f_Region)&amp;"",""))</f>
        <v/>
      </c>
      <c r="H62" s="16">
        <f>IF($W62="","",IFERROR(IF(SUMPRODUCT(MAX((SitKW&lt;&gt;"")*ISNUMBER(SEARCH(SitKW,INDEX(FormData,$W62,f_Sit)&amp;""))*(ROW(SitKW)-MIN(ROW(SitKW))+1)))=0,"",INDEX(SitVal,SUMPRODUCT(MAX((SitKW&lt;&gt;"")*ISNUMBER(SEARCH(SitKW,INDEX(FormData,$W62,f_Sit)&amp;""))*(ROW(SitKW)-MIN(ROW(SitKW))+1))))),""))</f>
        <v/>
      </c>
      <c r="I62" s="14">
        <f>IF($W62="","",IFERROR(INDEX(FormData,$W62,f_Appr)&amp;"",""))</f>
        <v/>
      </c>
      <c r="J62" s="16">
        <f>IF($W62="","",IFERROR(INDEX(FormData,$W62,f_Trade)&amp;"",""))</f>
        <v/>
      </c>
      <c r="K62" s="16" t="n"/>
      <c r="L62" s="17" t="n"/>
      <c r="M62" s="16" t="n"/>
      <c r="N62" s="17" t="n"/>
      <c r="O62" s="14" t="n"/>
      <c r="P62" s="14" t="n"/>
      <c r="Q62" s="18" t="n"/>
      <c r="R62" s="18" t="n"/>
      <c r="S62" s="13">
        <f>IF($P62&lt;&gt;"✓","",IF($R62&lt;&gt;"","Done",IF($Q62="","Open — no date",IF($Q62&lt;TODAY(),"Overdue",IF($Q62-TODAY()&lt;=DueSoon,"Due soon","Scheduled")))))</f>
        <v/>
      </c>
      <c r="T62" s="14">
        <f>IF($W62="","",IFERROR(IF(INDEX(FormData,$W62,f_Consent)&amp;""="","",IF(ISNUMBER(SEARCH("yes",INDEX(FormData,$W62,f_Consent))),"Yes","No")),""))</f>
        <v/>
      </c>
      <c r="U62" s="14" t="n"/>
      <c r="V62" s="13">
        <f>IF($U62="","",IF($W62="","not found","✓"))</f>
        <v/>
      </c>
      <c r="W62">
        <f>IF($U62="","",IFERROR(MATCH($U62,INDEX(FormData,0,f_Id),0),IFERROR(MATCH(--$U62,INDEX(FormData,0,f_Id),0),IFERROR(MATCH($U62&amp;"",INDEX(FormData,0,f_Id),0),""))))</f>
        <v/>
      </c>
      <c r="X62">
        <f>IF(AND($B62&lt;&gt;"",$B62='Event Report'!$C$3),ROW(),"")</f>
        <v/>
      </c>
      <c r="Y62">
        <f>IF(AND($P62="✓",$R62=""),IF($Q62="",90000,$Q62)+ROW()/100000,"")</f>
        <v/>
      </c>
      <c r="Z62">
        <f>IF(OR($U62&lt;&gt;"",$D62&lt;&gt;"",$E62&lt;&gt;"",$N62&lt;&gt;""),1,"")</f>
        <v/>
      </c>
    </row>
    <row r="63">
      <c r="A63" s="13" t="inlineStr">
        <is>
          <t>P-0059</t>
        </is>
      </c>
      <c r="B63" s="14">
        <f>IF(AND($U63="",$C63=""),"",IFERROR(INDEX(EvID,MATCH(INDEX(FormData,$W63,f_Event),EvID,0)),IFERROR(INDEX(EvID,MATCH(INDEX(FormData,$W63,f_Event),EvName,0)),IFERROR(INDEX(EvID,MATCH(INT($C63),EvDate,0)),""))))</f>
        <v/>
      </c>
      <c r="C63" s="15">
        <f>IF($W63="","",INDEX(FormData,$W63,f_Time))</f>
        <v/>
      </c>
      <c r="D63" s="14">
        <f>IF($W63="","",IFERROR(UPPER(LEFT(TRIM(INDEX(FormData,$W63,f_Name)),1)&amp;IFERROR(MID(TRIM(INDEX(FormData,$W63,f_Name)),FIND("^",SUBSTITUTE(TRIM(INDEX(FormData,$W63,f_Name))," ","^",LEN(TRIM(INDEX(FormData,$W63,f_Name)))-LEN(SUBSTITUTE(TRIM(INDEX(FormData,$W63,f_Name))," ",""))))+1,1),"")),""))</f>
        <v/>
      </c>
      <c r="E63" s="16">
        <f>IF($W63="","",IFERROR(IF(SUMPRODUCT(MAX((WhoKW&lt;&gt;"")*ISNUMBER(SEARCH(WhoKW,INDEX(FormData,$W63,f_Who)&amp;""))*(ROW(WhoKW)-MIN(ROW(WhoKW))+1)))=0,"",INDEX(WhoVal,SUMPRODUCT(MAX((WhoKW&lt;&gt;"")*ISNUMBER(SEARCH(WhoKW,INDEX(FormData,$W63,f_Who)&amp;""))*(ROW(WhoKW)-MIN(ROW(WhoKW))+1))))),""))</f>
        <v/>
      </c>
      <c r="F63" s="17">
        <f>IF($W63="","",TRIM(IFERROR(INDEX(FormData,$W63,f_Org1)&amp;"","")&amp;" "&amp;IFERROR(INDEX(FormData,$W63,f_Org2)&amp;"","")))</f>
        <v/>
      </c>
      <c r="G63" s="16">
        <f>IF($W63="","",IFERROR(INDEX(FormData,$W63,f_Region)&amp;"",""))</f>
        <v/>
      </c>
      <c r="H63" s="16">
        <f>IF($W63="","",IFERROR(IF(SUMPRODUCT(MAX((SitKW&lt;&gt;"")*ISNUMBER(SEARCH(SitKW,INDEX(FormData,$W63,f_Sit)&amp;""))*(ROW(SitKW)-MIN(ROW(SitKW))+1)))=0,"",INDEX(SitVal,SUMPRODUCT(MAX((SitKW&lt;&gt;"")*ISNUMBER(SEARCH(SitKW,INDEX(FormData,$W63,f_Sit)&amp;""))*(ROW(SitKW)-MIN(ROW(SitKW))+1))))),""))</f>
        <v/>
      </c>
      <c r="I63" s="14">
        <f>IF($W63="","",IFERROR(INDEX(FormData,$W63,f_Appr)&amp;"",""))</f>
        <v/>
      </c>
      <c r="J63" s="16">
        <f>IF($W63="","",IFERROR(INDEX(FormData,$W63,f_Trade)&amp;"",""))</f>
        <v/>
      </c>
      <c r="K63" s="16" t="n"/>
      <c r="L63" s="17" t="n"/>
      <c r="M63" s="16" t="n"/>
      <c r="N63" s="17" t="n"/>
      <c r="O63" s="14" t="n"/>
      <c r="P63" s="14" t="n"/>
      <c r="Q63" s="18" t="n"/>
      <c r="R63" s="18" t="n"/>
      <c r="S63" s="13">
        <f>IF($P63&lt;&gt;"✓","",IF($R63&lt;&gt;"","Done",IF($Q63="","Open — no date",IF($Q63&lt;TODAY(),"Overdue",IF($Q63-TODAY()&lt;=DueSoon,"Due soon","Scheduled")))))</f>
        <v/>
      </c>
      <c r="T63" s="14">
        <f>IF($W63="","",IFERROR(IF(INDEX(FormData,$W63,f_Consent)&amp;""="","",IF(ISNUMBER(SEARCH("yes",INDEX(FormData,$W63,f_Consent))),"Yes","No")),""))</f>
        <v/>
      </c>
      <c r="U63" s="14" t="n"/>
      <c r="V63" s="13">
        <f>IF($U63="","",IF($W63="","not found","✓"))</f>
        <v/>
      </c>
      <c r="W63">
        <f>IF($U63="","",IFERROR(MATCH($U63,INDEX(FormData,0,f_Id),0),IFERROR(MATCH(--$U63,INDEX(FormData,0,f_Id),0),IFERROR(MATCH($U63&amp;"",INDEX(FormData,0,f_Id),0),""))))</f>
        <v/>
      </c>
      <c r="X63">
        <f>IF(AND($B63&lt;&gt;"",$B63='Event Report'!$C$3),ROW(),"")</f>
        <v/>
      </c>
      <c r="Y63">
        <f>IF(AND($P63="✓",$R63=""),IF($Q63="",90000,$Q63)+ROW()/100000,"")</f>
        <v/>
      </c>
      <c r="Z63">
        <f>IF(OR($U63&lt;&gt;"",$D63&lt;&gt;"",$E63&lt;&gt;"",$N63&lt;&gt;""),1,"")</f>
        <v/>
      </c>
    </row>
    <row r="64">
      <c r="A64" s="13" t="inlineStr">
        <is>
          <t>P-0060</t>
        </is>
      </c>
      <c r="B64" s="14">
        <f>IF(AND($U64="",$C64=""),"",IFERROR(INDEX(EvID,MATCH(INDEX(FormData,$W64,f_Event),EvID,0)),IFERROR(INDEX(EvID,MATCH(INDEX(FormData,$W64,f_Event),EvName,0)),IFERROR(INDEX(EvID,MATCH(INT($C64),EvDate,0)),""))))</f>
        <v/>
      </c>
      <c r="C64" s="15">
        <f>IF($W64="","",INDEX(FormData,$W64,f_Time))</f>
        <v/>
      </c>
      <c r="D64" s="14">
        <f>IF($W64="","",IFERROR(UPPER(LEFT(TRIM(INDEX(FormData,$W64,f_Name)),1)&amp;IFERROR(MID(TRIM(INDEX(FormData,$W64,f_Name)),FIND("^",SUBSTITUTE(TRIM(INDEX(FormData,$W64,f_Name))," ","^",LEN(TRIM(INDEX(FormData,$W64,f_Name)))-LEN(SUBSTITUTE(TRIM(INDEX(FormData,$W64,f_Name))," ",""))))+1,1),"")),""))</f>
        <v/>
      </c>
      <c r="E64" s="16">
        <f>IF($W64="","",IFERROR(IF(SUMPRODUCT(MAX((WhoKW&lt;&gt;"")*ISNUMBER(SEARCH(WhoKW,INDEX(FormData,$W64,f_Who)&amp;""))*(ROW(WhoKW)-MIN(ROW(WhoKW))+1)))=0,"",INDEX(WhoVal,SUMPRODUCT(MAX((WhoKW&lt;&gt;"")*ISNUMBER(SEARCH(WhoKW,INDEX(FormData,$W64,f_Who)&amp;""))*(ROW(WhoKW)-MIN(ROW(WhoKW))+1))))),""))</f>
        <v/>
      </c>
      <c r="F64" s="17">
        <f>IF($W64="","",TRIM(IFERROR(INDEX(FormData,$W64,f_Org1)&amp;"","")&amp;" "&amp;IFERROR(INDEX(FormData,$W64,f_Org2)&amp;"","")))</f>
        <v/>
      </c>
      <c r="G64" s="16">
        <f>IF($W64="","",IFERROR(INDEX(FormData,$W64,f_Region)&amp;"",""))</f>
        <v/>
      </c>
      <c r="H64" s="16">
        <f>IF($W64="","",IFERROR(IF(SUMPRODUCT(MAX((SitKW&lt;&gt;"")*ISNUMBER(SEARCH(SitKW,INDEX(FormData,$W64,f_Sit)&amp;""))*(ROW(SitKW)-MIN(ROW(SitKW))+1)))=0,"",INDEX(SitVal,SUMPRODUCT(MAX((SitKW&lt;&gt;"")*ISNUMBER(SEARCH(SitKW,INDEX(FormData,$W64,f_Sit)&amp;""))*(ROW(SitKW)-MIN(ROW(SitKW))+1))))),""))</f>
        <v/>
      </c>
      <c r="I64" s="14">
        <f>IF($W64="","",IFERROR(INDEX(FormData,$W64,f_Appr)&amp;"",""))</f>
        <v/>
      </c>
      <c r="J64" s="16">
        <f>IF($W64="","",IFERROR(INDEX(FormData,$W64,f_Trade)&amp;"",""))</f>
        <v/>
      </c>
      <c r="K64" s="16" t="n"/>
      <c r="L64" s="17" t="n"/>
      <c r="M64" s="16" t="n"/>
      <c r="N64" s="17" t="n"/>
      <c r="O64" s="14" t="n"/>
      <c r="P64" s="14" t="n"/>
      <c r="Q64" s="18" t="n"/>
      <c r="R64" s="18" t="n"/>
      <c r="S64" s="13">
        <f>IF($P64&lt;&gt;"✓","",IF($R64&lt;&gt;"","Done",IF($Q64="","Open — no date",IF($Q64&lt;TODAY(),"Overdue",IF($Q64-TODAY()&lt;=DueSoon,"Due soon","Scheduled")))))</f>
        <v/>
      </c>
      <c r="T64" s="14">
        <f>IF($W64="","",IFERROR(IF(INDEX(FormData,$W64,f_Consent)&amp;""="","",IF(ISNUMBER(SEARCH("yes",INDEX(FormData,$W64,f_Consent))),"Yes","No")),""))</f>
        <v/>
      </c>
      <c r="U64" s="14" t="n"/>
      <c r="V64" s="13">
        <f>IF($U64="","",IF($W64="","not found","✓"))</f>
        <v/>
      </c>
      <c r="W64">
        <f>IF($U64="","",IFERROR(MATCH($U64,INDEX(FormData,0,f_Id),0),IFERROR(MATCH(--$U64,INDEX(FormData,0,f_Id),0),IFERROR(MATCH($U64&amp;"",INDEX(FormData,0,f_Id),0),""))))</f>
        <v/>
      </c>
      <c r="X64">
        <f>IF(AND($B64&lt;&gt;"",$B64='Event Report'!$C$3),ROW(),"")</f>
        <v/>
      </c>
      <c r="Y64">
        <f>IF(AND($P64="✓",$R64=""),IF($Q64="",90000,$Q64)+ROW()/100000,"")</f>
        <v/>
      </c>
      <c r="Z64">
        <f>IF(OR($U64&lt;&gt;"",$D64&lt;&gt;"",$E64&lt;&gt;"",$N64&lt;&gt;""),1,"")</f>
        <v/>
      </c>
    </row>
    <row r="65">
      <c r="A65" s="13" t="inlineStr">
        <is>
          <t>P-0061</t>
        </is>
      </c>
      <c r="B65" s="14">
        <f>IF(AND($U65="",$C65=""),"",IFERROR(INDEX(EvID,MATCH(INDEX(FormData,$W65,f_Event),EvID,0)),IFERROR(INDEX(EvID,MATCH(INDEX(FormData,$W65,f_Event),EvName,0)),IFERROR(INDEX(EvID,MATCH(INT($C65),EvDate,0)),""))))</f>
        <v/>
      </c>
      <c r="C65" s="15">
        <f>IF($W65="","",INDEX(FormData,$W65,f_Time))</f>
        <v/>
      </c>
      <c r="D65" s="14">
        <f>IF($W65="","",IFERROR(UPPER(LEFT(TRIM(INDEX(FormData,$W65,f_Name)),1)&amp;IFERROR(MID(TRIM(INDEX(FormData,$W65,f_Name)),FIND("^",SUBSTITUTE(TRIM(INDEX(FormData,$W65,f_Name))," ","^",LEN(TRIM(INDEX(FormData,$W65,f_Name)))-LEN(SUBSTITUTE(TRIM(INDEX(FormData,$W65,f_Name))," ",""))))+1,1),"")),""))</f>
        <v/>
      </c>
      <c r="E65" s="16">
        <f>IF($W65="","",IFERROR(IF(SUMPRODUCT(MAX((WhoKW&lt;&gt;"")*ISNUMBER(SEARCH(WhoKW,INDEX(FormData,$W65,f_Who)&amp;""))*(ROW(WhoKW)-MIN(ROW(WhoKW))+1)))=0,"",INDEX(WhoVal,SUMPRODUCT(MAX((WhoKW&lt;&gt;"")*ISNUMBER(SEARCH(WhoKW,INDEX(FormData,$W65,f_Who)&amp;""))*(ROW(WhoKW)-MIN(ROW(WhoKW))+1))))),""))</f>
        <v/>
      </c>
      <c r="F65" s="17">
        <f>IF($W65="","",TRIM(IFERROR(INDEX(FormData,$W65,f_Org1)&amp;"","")&amp;" "&amp;IFERROR(INDEX(FormData,$W65,f_Org2)&amp;"","")))</f>
        <v/>
      </c>
      <c r="G65" s="16">
        <f>IF($W65="","",IFERROR(INDEX(FormData,$W65,f_Region)&amp;"",""))</f>
        <v/>
      </c>
      <c r="H65" s="16">
        <f>IF($W65="","",IFERROR(IF(SUMPRODUCT(MAX((SitKW&lt;&gt;"")*ISNUMBER(SEARCH(SitKW,INDEX(FormData,$W65,f_Sit)&amp;""))*(ROW(SitKW)-MIN(ROW(SitKW))+1)))=0,"",INDEX(SitVal,SUMPRODUCT(MAX((SitKW&lt;&gt;"")*ISNUMBER(SEARCH(SitKW,INDEX(FormData,$W65,f_Sit)&amp;""))*(ROW(SitKW)-MIN(ROW(SitKW))+1))))),""))</f>
        <v/>
      </c>
      <c r="I65" s="14">
        <f>IF($W65="","",IFERROR(INDEX(FormData,$W65,f_Appr)&amp;"",""))</f>
        <v/>
      </c>
      <c r="J65" s="16">
        <f>IF($W65="","",IFERROR(INDEX(FormData,$W65,f_Trade)&amp;"",""))</f>
        <v/>
      </c>
      <c r="K65" s="16" t="n"/>
      <c r="L65" s="17" t="n"/>
      <c r="M65" s="16" t="n"/>
      <c r="N65" s="17" t="n"/>
      <c r="O65" s="14" t="n"/>
      <c r="P65" s="14" t="n"/>
      <c r="Q65" s="18" t="n"/>
      <c r="R65" s="18" t="n"/>
      <c r="S65" s="13">
        <f>IF($P65&lt;&gt;"✓","",IF($R65&lt;&gt;"","Done",IF($Q65="","Open — no date",IF($Q65&lt;TODAY(),"Overdue",IF($Q65-TODAY()&lt;=DueSoon,"Due soon","Scheduled")))))</f>
        <v/>
      </c>
      <c r="T65" s="14">
        <f>IF($W65="","",IFERROR(IF(INDEX(FormData,$W65,f_Consent)&amp;""="","",IF(ISNUMBER(SEARCH("yes",INDEX(FormData,$W65,f_Consent))),"Yes","No")),""))</f>
        <v/>
      </c>
      <c r="U65" s="14" t="n"/>
      <c r="V65" s="13">
        <f>IF($U65="","",IF($W65="","not found","✓"))</f>
        <v/>
      </c>
      <c r="W65">
        <f>IF($U65="","",IFERROR(MATCH($U65,INDEX(FormData,0,f_Id),0),IFERROR(MATCH(--$U65,INDEX(FormData,0,f_Id),0),IFERROR(MATCH($U65&amp;"",INDEX(FormData,0,f_Id),0),""))))</f>
        <v/>
      </c>
      <c r="X65">
        <f>IF(AND($B65&lt;&gt;"",$B65='Event Report'!$C$3),ROW(),"")</f>
        <v/>
      </c>
      <c r="Y65">
        <f>IF(AND($P65="✓",$R65=""),IF($Q65="",90000,$Q65)+ROW()/100000,"")</f>
        <v/>
      </c>
      <c r="Z65">
        <f>IF(OR($U65&lt;&gt;"",$D65&lt;&gt;"",$E65&lt;&gt;"",$N65&lt;&gt;""),1,"")</f>
        <v/>
      </c>
    </row>
    <row r="66">
      <c r="A66" s="13" t="inlineStr">
        <is>
          <t>P-0062</t>
        </is>
      </c>
      <c r="B66" s="14">
        <f>IF(AND($U66="",$C66=""),"",IFERROR(INDEX(EvID,MATCH(INDEX(FormData,$W66,f_Event),EvID,0)),IFERROR(INDEX(EvID,MATCH(INDEX(FormData,$W66,f_Event),EvName,0)),IFERROR(INDEX(EvID,MATCH(INT($C66),EvDate,0)),""))))</f>
        <v/>
      </c>
      <c r="C66" s="15">
        <f>IF($W66="","",INDEX(FormData,$W66,f_Time))</f>
        <v/>
      </c>
      <c r="D66" s="14">
        <f>IF($W66="","",IFERROR(UPPER(LEFT(TRIM(INDEX(FormData,$W66,f_Name)),1)&amp;IFERROR(MID(TRIM(INDEX(FormData,$W66,f_Name)),FIND("^",SUBSTITUTE(TRIM(INDEX(FormData,$W66,f_Name))," ","^",LEN(TRIM(INDEX(FormData,$W66,f_Name)))-LEN(SUBSTITUTE(TRIM(INDEX(FormData,$W66,f_Name))," ",""))))+1,1),"")),""))</f>
        <v/>
      </c>
      <c r="E66" s="16">
        <f>IF($W66="","",IFERROR(IF(SUMPRODUCT(MAX((WhoKW&lt;&gt;"")*ISNUMBER(SEARCH(WhoKW,INDEX(FormData,$W66,f_Who)&amp;""))*(ROW(WhoKW)-MIN(ROW(WhoKW))+1)))=0,"",INDEX(WhoVal,SUMPRODUCT(MAX((WhoKW&lt;&gt;"")*ISNUMBER(SEARCH(WhoKW,INDEX(FormData,$W66,f_Who)&amp;""))*(ROW(WhoKW)-MIN(ROW(WhoKW))+1))))),""))</f>
        <v/>
      </c>
      <c r="F66" s="17">
        <f>IF($W66="","",TRIM(IFERROR(INDEX(FormData,$W66,f_Org1)&amp;"","")&amp;" "&amp;IFERROR(INDEX(FormData,$W66,f_Org2)&amp;"","")))</f>
        <v/>
      </c>
      <c r="G66" s="16">
        <f>IF($W66="","",IFERROR(INDEX(FormData,$W66,f_Region)&amp;"",""))</f>
        <v/>
      </c>
      <c r="H66" s="16">
        <f>IF($W66="","",IFERROR(IF(SUMPRODUCT(MAX((SitKW&lt;&gt;"")*ISNUMBER(SEARCH(SitKW,INDEX(FormData,$W66,f_Sit)&amp;""))*(ROW(SitKW)-MIN(ROW(SitKW))+1)))=0,"",INDEX(SitVal,SUMPRODUCT(MAX((SitKW&lt;&gt;"")*ISNUMBER(SEARCH(SitKW,INDEX(FormData,$W66,f_Sit)&amp;""))*(ROW(SitKW)-MIN(ROW(SitKW))+1))))),""))</f>
        <v/>
      </c>
      <c r="I66" s="14">
        <f>IF($W66="","",IFERROR(INDEX(FormData,$W66,f_Appr)&amp;"",""))</f>
        <v/>
      </c>
      <c r="J66" s="16">
        <f>IF($W66="","",IFERROR(INDEX(FormData,$W66,f_Trade)&amp;"",""))</f>
        <v/>
      </c>
      <c r="K66" s="16" t="n"/>
      <c r="L66" s="17" t="n"/>
      <c r="M66" s="16" t="n"/>
      <c r="N66" s="17" t="n"/>
      <c r="O66" s="14" t="n"/>
      <c r="P66" s="14" t="n"/>
      <c r="Q66" s="18" t="n"/>
      <c r="R66" s="18" t="n"/>
      <c r="S66" s="13">
        <f>IF($P66&lt;&gt;"✓","",IF($R66&lt;&gt;"","Done",IF($Q66="","Open — no date",IF($Q66&lt;TODAY(),"Overdue",IF($Q66-TODAY()&lt;=DueSoon,"Due soon","Scheduled")))))</f>
        <v/>
      </c>
      <c r="T66" s="14">
        <f>IF($W66="","",IFERROR(IF(INDEX(FormData,$W66,f_Consent)&amp;""="","",IF(ISNUMBER(SEARCH("yes",INDEX(FormData,$W66,f_Consent))),"Yes","No")),""))</f>
        <v/>
      </c>
      <c r="U66" s="14" t="n"/>
      <c r="V66" s="13">
        <f>IF($U66="","",IF($W66="","not found","✓"))</f>
        <v/>
      </c>
      <c r="W66">
        <f>IF($U66="","",IFERROR(MATCH($U66,INDEX(FormData,0,f_Id),0),IFERROR(MATCH(--$U66,INDEX(FormData,0,f_Id),0),IFERROR(MATCH($U66&amp;"",INDEX(FormData,0,f_Id),0),""))))</f>
        <v/>
      </c>
      <c r="X66">
        <f>IF(AND($B66&lt;&gt;"",$B66='Event Report'!$C$3),ROW(),"")</f>
        <v/>
      </c>
      <c r="Y66">
        <f>IF(AND($P66="✓",$R66=""),IF($Q66="",90000,$Q66)+ROW()/100000,"")</f>
        <v/>
      </c>
      <c r="Z66">
        <f>IF(OR($U66&lt;&gt;"",$D66&lt;&gt;"",$E66&lt;&gt;"",$N66&lt;&gt;""),1,"")</f>
        <v/>
      </c>
    </row>
    <row r="67">
      <c r="A67" s="13" t="inlineStr">
        <is>
          <t>P-0063</t>
        </is>
      </c>
      <c r="B67" s="14">
        <f>IF(AND($U67="",$C67=""),"",IFERROR(INDEX(EvID,MATCH(INDEX(FormData,$W67,f_Event),EvID,0)),IFERROR(INDEX(EvID,MATCH(INDEX(FormData,$W67,f_Event),EvName,0)),IFERROR(INDEX(EvID,MATCH(INT($C67),EvDate,0)),""))))</f>
        <v/>
      </c>
      <c r="C67" s="15">
        <f>IF($W67="","",INDEX(FormData,$W67,f_Time))</f>
        <v/>
      </c>
      <c r="D67" s="14">
        <f>IF($W67="","",IFERROR(UPPER(LEFT(TRIM(INDEX(FormData,$W67,f_Name)),1)&amp;IFERROR(MID(TRIM(INDEX(FormData,$W67,f_Name)),FIND("^",SUBSTITUTE(TRIM(INDEX(FormData,$W67,f_Name))," ","^",LEN(TRIM(INDEX(FormData,$W67,f_Name)))-LEN(SUBSTITUTE(TRIM(INDEX(FormData,$W67,f_Name))," ",""))))+1,1),"")),""))</f>
        <v/>
      </c>
      <c r="E67" s="16">
        <f>IF($W67="","",IFERROR(IF(SUMPRODUCT(MAX((WhoKW&lt;&gt;"")*ISNUMBER(SEARCH(WhoKW,INDEX(FormData,$W67,f_Who)&amp;""))*(ROW(WhoKW)-MIN(ROW(WhoKW))+1)))=0,"",INDEX(WhoVal,SUMPRODUCT(MAX((WhoKW&lt;&gt;"")*ISNUMBER(SEARCH(WhoKW,INDEX(FormData,$W67,f_Who)&amp;""))*(ROW(WhoKW)-MIN(ROW(WhoKW))+1))))),""))</f>
        <v/>
      </c>
      <c r="F67" s="17">
        <f>IF($W67="","",TRIM(IFERROR(INDEX(FormData,$W67,f_Org1)&amp;"","")&amp;" "&amp;IFERROR(INDEX(FormData,$W67,f_Org2)&amp;"","")))</f>
        <v/>
      </c>
      <c r="G67" s="16">
        <f>IF($W67="","",IFERROR(INDEX(FormData,$W67,f_Region)&amp;"",""))</f>
        <v/>
      </c>
      <c r="H67" s="16">
        <f>IF($W67="","",IFERROR(IF(SUMPRODUCT(MAX((SitKW&lt;&gt;"")*ISNUMBER(SEARCH(SitKW,INDEX(FormData,$W67,f_Sit)&amp;""))*(ROW(SitKW)-MIN(ROW(SitKW))+1)))=0,"",INDEX(SitVal,SUMPRODUCT(MAX((SitKW&lt;&gt;"")*ISNUMBER(SEARCH(SitKW,INDEX(FormData,$W67,f_Sit)&amp;""))*(ROW(SitKW)-MIN(ROW(SitKW))+1))))),""))</f>
        <v/>
      </c>
      <c r="I67" s="14">
        <f>IF($W67="","",IFERROR(INDEX(FormData,$W67,f_Appr)&amp;"",""))</f>
        <v/>
      </c>
      <c r="J67" s="16">
        <f>IF($W67="","",IFERROR(INDEX(FormData,$W67,f_Trade)&amp;"",""))</f>
        <v/>
      </c>
      <c r="K67" s="16" t="n"/>
      <c r="L67" s="17" t="n"/>
      <c r="M67" s="16" t="n"/>
      <c r="N67" s="17" t="n"/>
      <c r="O67" s="14" t="n"/>
      <c r="P67" s="14" t="n"/>
      <c r="Q67" s="18" t="n"/>
      <c r="R67" s="18" t="n"/>
      <c r="S67" s="13">
        <f>IF($P67&lt;&gt;"✓","",IF($R67&lt;&gt;"","Done",IF($Q67="","Open — no date",IF($Q67&lt;TODAY(),"Overdue",IF($Q67-TODAY()&lt;=DueSoon,"Due soon","Scheduled")))))</f>
        <v/>
      </c>
      <c r="T67" s="14">
        <f>IF($W67="","",IFERROR(IF(INDEX(FormData,$W67,f_Consent)&amp;""="","",IF(ISNUMBER(SEARCH("yes",INDEX(FormData,$W67,f_Consent))),"Yes","No")),""))</f>
        <v/>
      </c>
      <c r="U67" s="14" t="n"/>
      <c r="V67" s="13">
        <f>IF($U67="","",IF($W67="","not found","✓"))</f>
        <v/>
      </c>
      <c r="W67">
        <f>IF($U67="","",IFERROR(MATCH($U67,INDEX(FormData,0,f_Id),0),IFERROR(MATCH(--$U67,INDEX(FormData,0,f_Id),0),IFERROR(MATCH($U67&amp;"",INDEX(FormData,0,f_Id),0),""))))</f>
        <v/>
      </c>
      <c r="X67">
        <f>IF(AND($B67&lt;&gt;"",$B67='Event Report'!$C$3),ROW(),"")</f>
        <v/>
      </c>
      <c r="Y67">
        <f>IF(AND($P67="✓",$R67=""),IF($Q67="",90000,$Q67)+ROW()/100000,"")</f>
        <v/>
      </c>
      <c r="Z67">
        <f>IF(OR($U67&lt;&gt;"",$D67&lt;&gt;"",$E67&lt;&gt;"",$N67&lt;&gt;""),1,"")</f>
        <v/>
      </c>
    </row>
    <row r="68">
      <c r="A68" s="13" t="inlineStr">
        <is>
          <t>P-0064</t>
        </is>
      </c>
      <c r="B68" s="14">
        <f>IF(AND($U68="",$C68=""),"",IFERROR(INDEX(EvID,MATCH(INDEX(FormData,$W68,f_Event),EvID,0)),IFERROR(INDEX(EvID,MATCH(INDEX(FormData,$W68,f_Event),EvName,0)),IFERROR(INDEX(EvID,MATCH(INT($C68),EvDate,0)),""))))</f>
        <v/>
      </c>
      <c r="C68" s="15">
        <f>IF($W68="","",INDEX(FormData,$W68,f_Time))</f>
        <v/>
      </c>
      <c r="D68" s="14">
        <f>IF($W68="","",IFERROR(UPPER(LEFT(TRIM(INDEX(FormData,$W68,f_Name)),1)&amp;IFERROR(MID(TRIM(INDEX(FormData,$W68,f_Name)),FIND("^",SUBSTITUTE(TRIM(INDEX(FormData,$W68,f_Name))," ","^",LEN(TRIM(INDEX(FormData,$W68,f_Name)))-LEN(SUBSTITUTE(TRIM(INDEX(FormData,$W68,f_Name))," ",""))))+1,1),"")),""))</f>
        <v/>
      </c>
      <c r="E68" s="16">
        <f>IF($W68="","",IFERROR(IF(SUMPRODUCT(MAX((WhoKW&lt;&gt;"")*ISNUMBER(SEARCH(WhoKW,INDEX(FormData,$W68,f_Who)&amp;""))*(ROW(WhoKW)-MIN(ROW(WhoKW))+1)))=0,"",INDEX(WhoVal,SUMPRODUCT(MAX((WhoKW&lt;&gt;"")*ISNUMBER(SEARCH(WhoKW,INDEX(FormData,$W68,f_Who)&amp;""))*(ROW(WhoKW)-MIN(ROW(WhoKW))+1))))),""))</f>
        <v/>
      </c>
      <c r="F68" s="17">
        <f>IF($W68="","",TRIM(IFERROR(INDEX(FormData,$W68,f_Org1)&amp;"","")&amp;" "&amp;IFERROR(INDEX(FormData,$W68,f_Org2)&amp;"","")))</f>
        <v/>
      </c>
      <c r="G68" s="16">
        <f>IF($W68="","",IFERROR(INDEX(FormData,$W68,f_Region)&amp;"",""))</f>
        <v/>
      </c>
      <c r="H68" s="16">
        <f>IF($W68="","",IFERROR(IF(SUMPRODUCT(MAX((SitKW&lt;&gt;"")*ISNUMBER(SEARCH(SitKW,INDEX(FormData,$W68,f_Sit)&amp;""))*(ROW(SitKW)-MIN(ROW(SitKW))+1)))=0,"",INDEX(SitVal,SUMPRODUCT(MAX((SitKW&lt;&gt;"")*ISNUMBER(SEARCH(SitKW,INDEX(FormData,$W68,f_Sit)&amp;""))*(ROW(SitKW)-MIN(ROW(SitKW))+1))))),""))</f>
        <v/>
      </c>
      <c r="I68" s="14">
        <f>IF($W68="","",IFERROR(INDEX(FormData,$W68,f_Appr)&amp;"",""))</f>
        <v/>
      </c>
      <c r="J68" s="16">
        <f>IF($W68="","",IFERROR(INDEX(FormData,$W68,f_Trade)&amp;"",""))</f>
        <v/>
      </c>
      <c r="K68" s="16" t="n"/>
      <c r="L68" s="17" t="n"/>
      <c r="M68" s="16" t="n"/>
      <c r="N68" s="17" t="n"/>
      <c r="O68" s="14" t="n"/>
      <c r="P68" s="14" t="n"/>
      <c r="Q68" s="18" t="n"/>
      <c r="R68" s="18" t="n"/>
      <c r="S68" s="13">
        <f>IF($P68&lt;&gt;"✓","",IF($R68&lt;&gt;"","Done",IF($Q68="","Open — no date",IF($Q68&lt;TODAY(),"Overdue",IF($Q68-TODAY()&lt;=DueSoon,"Due soon","Scheduled")))))</f>
        <v/>
      </c>
      <c r="T68" s="14">
        <f>IF($W68="","",IFERROR(IF(INDEX(FormData,$W68,f_Consent)&amp;""="","",IF(ISNUMBER(SEARCH("yes",INDEX(FormData,$W68,f_Consent))),"Yes","No")),""))</f>
        <v/>
      </c>
      <c r="U68" s="14" t="n"/>
      <c r="V68" s="13">
        <f>IF($U68="","",IF($W68="","not found","✓"))</f>
        <v/>
      </c>
      <c r="W68">
        <f>IF($U68="","",IFERROR(MATCH($U68,INDEX(FormData,0,f_Id),0),IFERROR(MATCH(--$U68,INDEX(FormData,0,f_Id),0),IFERROR(MATCH($U68&amp;"",INDEX(FormData,0,f_Id),0),""))))</f>
        <v/>
      </c>
      <c r="X68">
        <f>IF(AND($B68&lt;&gt;"",$B68='Event Report'!$C$3),ROW(),"")</f>
        <v/>
      </c>
      <c r="Y68">
        <f>IF(AND($P68="✓",$R68=""),IF($Q68="",90000,$Q68)+ROW()/100000,"")</f>
        <v/>
      </c>
      <c r="Z68">
        <f>IF(OR($U68&lt;&gt;"",$D68&lt;&gt;"",$E68&lt;&gt;"",$N68&lt;&gt;""),1,"")</f>
        <v/>
      </c>
    </row>
    <row r="69">
      <c r="A69" s="13" t="inlineStr">
        <is>
          <t>P-0065</t>
        </is>
      </c>
      <c r="B69" s="14">
        <f>IF(AND($U69="",$C69=""),"",IFERROR(INDEX(EvID,MATCH(INDEX(FormData,$W69,f_Event),EvID,0)),IFERROR(INDEX(EvID,MATCH(INDEX(FormData,$W69,f_Event),EvName,0)),IFERROR(INDEX(EvID,MATCH(INT($C69),EvDate,0)),""))))</f>
        <v/>
      </c>
      <c r="C69" s="15">
        <f>IF($W69="","",INDEX(FormData,$W69,f_Time))</f>
        <v/>
      </c>
      <c r="D69" s="14">
        <f>IF($W69="","",IFERROR(UPPER(LEFT(TRIM(INDEX(FormData,$W69,f_Name)),1)&amp;IFERROR(MID(TRIM(INDEX(FormData,$W69,f_Name)),FIND("^",SUBSTITUTE(TRIM(INDEX(FormData,$W69,f_Name))," ","^",LEN(TRIM(INDEX(FormData,$W69,f_Name)))-LEN(SUBSTITUTE(TRIM(INDEX(FormData,$W69,f_Name))," ",""))))+1,1),"")),""))</f>
        <v/>
      </c>
      <c r="E69" s="16">
        <f>IF($W69="","",IFERROR(IF(SUMPRODUCT(MAX((WhoKW&lt;&gt;"")*ISNUMBER(SEARCH(WhoKW,INDEX(FormData,$W69,f_Who)&amp;""))*(ROW(WhoKW)-MIN(ROW(WhoKW))+1)))=0,"",INDEX(WhoVal,SUMPRODUCT(MAX((WhoKW&lt;&gt;"")*ISNUMBER(SEARCH(WhoKW,INDEX(FormData,$W69,f_Who)&amp;""))*(ROW(WhoKW)-MIN(ROW(WhoKW))+1))))),""))</f>
        <v/>
      </c>
      <c r="F69" s="17">
        <f>IF($W69="","",TRIM(IFERROR(INDEX(FormData,$W69,f_Org1)&amp;"","")&amp;" "&amp;IFERROR(INDEX(FormData,$W69,f_Org2)&amp;"","")))</f>
        <v/>
      </c>
      <c r="G69" s="16">
        <f>IF($W69="","",IFERROR(INDEX(FormData,$W69,f_Region)&amp;"",""))</f>
        <v/>
      </c>
      <c r="H69" s="16">
        <f>IF($W69="","",IFERROR(IF(SUMPRODUCT(MAX((SitKW&lt;&gt;"")*ISNUMBER(SEARCH(SitKW,INDEX(FormData,$W69,f_Sit)&amp;""))*(ROW(SitKW)-MIN(ROW(SitKW))+1)))=0,"",INDEX(SitVal,SUMPRODUCT(MAX((SitKW&lt;&gt;"")*ISNUMBER(SEARCH(SitKW,INDEX(FormData,$W69,f_Sit)&amp;""))*(ROW(SitKW)-MIN(ROW(SitKW))+1))))),""))</f>
        <v/>
      </c>
      <c r="I69" s="14">
        <f>IF($W69="","",IFERROR(INDEX(FormData,$W69,f_Appr)&amp;"",""))</f>
        <v/>
      </c>
      <c r="J69" s="16">
        <f>IF($W69="","",IFERROR(INDEX(FormData,$W69,f_Trade)&amp;"",""))</f>
        <v/>
      </c>
      <c r="K69" s="16" t="n"/>
      <c r="L69" s="17" t="n"/>
      <c r="M69" s="16" t="n"/>
      <c r="N69" s="17" t="n"/>
      <c r="O69" s="14" t="n"/>
      <c r="P69" s="14" t="n"/>
      <c r="Q69" s="18" t="n"/>
      <c r="R69" s="18" t="n"/>
      <c r="S69" s="13">
        <f>IF($P69&lt;&gt;"✓","",IF($R69&lt;&gt;"","Done",IF($Q69="","Open — no date",IF($Q69&lt;TODAY(),"Overdue",IF($Q69-TODAY()&lt;=DueSoon,"Due soon","Scheduled")))))</f>
        <v/>
      </c>
      <c r="T69" s="14">
        <f>IF($W69="","",IFERROR(IF(INDEX(FormData,$W69,f_Consent)&amp;""="","",IF(ISNUMBER(SEARCH("yes",INDEX(FormData,$W69,f_Consent))),"Yes","No")),""))</f>
        <v/>
      </c>
      <c r="U69" s="14" t="n"/>
      <c r="V69" s="13">
        <f>IF($U69="","",IF($W69="","not found","✓"))</f>
        <v/>
      </c>
      <c r="W69">
        <f>IF($U69="","",IFERROR(MATCH($U69,INDEX(FormData,0,f_Id),0),IFERROR(MATCH(--$U69,INDEX(FormData,0,f_Id),0),IFERROR(MATCH($U69&amp;"",INDEX(FormData,0,f_Id),0),""))))</f>
        <v/>
      </c>
      <c r="X69">
        <f>IF(AND($B69&lt;&gt;"",$B69='Event Report'!$C$3),ROW(),"")</f>
        <v/>
      </c>
      <c r="Y69">
        <f>IF(AND($P69="✓",$R69=""),IF($Q69="",90000,$Q69)+ROW()/100000,"")</f>
        <v/>
      </c>
      <c r="Z69">
        <f>IF(OR($U69&lt;&gt;"",$D69&lt;&gt;"",$E69&lt;&gt;"",$N69&lt;&gt;""),1,"")</f>
        <v/>
      </c>
    </row>
    <row r="70">
      <c r="A70" s="13" t="inlineStr">
        <is>
          <t>P-0066</t>
        </is>
      </c>
      <c r="B70" s="14">
        <f>IF(AND($U70="",$C70=""),"",IFERROR(INDEX(EvID,MATCH(INDEX(FormData,$W70,f_Event),EvID,0)),IFERROR(INDEX(EvID,MATCH(INDEX(FormData,$W70,f_Event),EvName,0)),IFERROR(INDEX(EvID,MATCH(INT($C70),EvDate,0)),""))))</f>
        <v/>
      </c>
      <c r="C70" s="15">
        <f>IF($W70="","",INDEX(FormData,$W70,f_Time))</f>
        <v/>
      </c>
      <c r="D70" s="14">
        <f>IF($W70="","",IFERROR(UPPER(LEFT(TRIM(INDEX(FormData,$W70,f_Name)),1)&amp;IFERROR(MID(TRIM(INDEX(FormData,$W70,f_Name)),FIND("^",SUBSTITUTE(TRIM(INDEX(FormData,$W70,f_Name))," ","^",LEN(TRIM(INDEX(FormData,$W70,f_Name)))-LEN(SUBSTITUTE(TRIM(INDEX(FormData,$W70,f_Name))," ",""))))+1,1),"")),""))</f>
        <v/>
      </c>
      <c r="E70" s="16">
        <f>IF($W70="","",IFERROR(IF(SUMPRODUCT(MAX((WhoKW&lt;&gt;"")*ISNUMBER(SEARCH(WhoKW,INDEX(FormData,$W70,f_Who)&amp;""))*(ROW(WhoKW)-MIN(ROW(WhoKW))+1)))=0,"",INDEX(WhoVal,SUMPRODUCT(MAX((WhoKW&lt;&gt;"")*ISNUMBER(SEARCH(WhoKW,INDEX(FormData,$W70,f_Who)&amp;""))*(ROW(WhoKW)-MIN(ROW(WhoKW))+1))))),""))</f>
        <v/>
      </c>
      <c r="F70" s="17">
        <f>IF($W70="","",TRIM(IFERROR(INDEX(FormData,$W70,f_Org1)&amp;"","")&amp;" "&amp;IFERROR(INDEX(FormData,$W70,f_Org2)&amp;"","")))</f>
        <v/>
      </c>
      <c r="G70" s="16">
        <f>IF($W70="","",IFERROR(INDEX(FormData,$W70,f_Region)&amp;"",""))</f>
        <v/>
      </c>
      <c r="H70" s="16">
        <f>IF($W70="","",IFERROR(IF(SUMPRODUCT(MAX((SitKW&lt;&gt;"")*ISNUMBER(SEARCH(SitKW,INDEX(FormData,$W70,f_Sit)&amp;""))*(ROW(SitKW)-MIN(ROW(SitKW))+1)))=0,"",INDEX(SitVal,SUMPRODUCT(MAX((SitKW&lt;&gt;"")*ISNUMBER(SEARCH(SitKW,INDEX(FormData,$W70,f_Sit)&amp;""))*(ROW(SitKW)-MIN(ROW(SitKW))+1))))),""))</f>
        <v/>
      </c>
      <c r="I70" s="14">
        <f>IF($W70="","",IFERROR(INDEX(FormData,$W70,f_Appr)&amp;"",""))</f>
        <v/>
      </c>
      <c r="J70" s="16">
        <f>IF($W70="","",IFERROR(INDEX(FormData,$W70,f_Trade)&amp;"",""))</f>
        <v/>
      </c>
      <c r="K70" s="16" t="n"/>
      <c r="L70" s="17" t="n"/>
      <c r="M70" s="16" t="n"/>
      <c r="N70" s="17" t="n"/>
      <c r="O70" s="14" t="n"/>
      <c r="P70" s="14" t="n"/>
      <c r="Q70" s="18" t="n"/>
      <c r="R70" s="18" t="n"/>
      <c r="S70" s="13">
        <f>IF($P70&lt;&gt;"✓","",IF($R70&lt;&gt;"","Done",IF($Q70="","Open — no date",IF($Q70&lt;TODAY(),"Overdue",IF($Q70-TODAY()&lt;=DueSoon,"Due soon","Scheduled")))))</f>
        <v/>
      </c>
      <c r="T70" s="14">
        <f>IF($W70="","",IFERROR(IF(INDEX(FormData,$W70,f_Consent)&amp;""="","",IF(ISNUMBER(SEARCH("yes",INDEX(FormData,$W70,f_Consent))),"Yes","No")),""))</f>
        <v/>
      </c>
      <c r="U70" s="14" t="n"/>
      <c r="V70" s="13">
        <f>IF($U70="","",IF($W70="","not found","✓"))</f>
        <v/>
      </c>
      <c r="W70">
        <f>IF($U70="","",IFERROR(MATCH($U70,INDEX(FormData,0,f_Id),0),IFERROR(MATCH(--$U70,INDEX(FormData,0,f_Id),0),IFERROR(MATCH($U70&amp;"",INDEX(FormData,0,f_Id),0),""))))</f>
        <v/>
      </c>
      <c r="X70">
        <f>IF(AND($B70&lt;&gt;"",$B70='Event Report'!$C$3),ROW(),"")</f>
        <v/>
      </c>
      <c r="Y70">
        <f>IF(AND($P70="✓",$R70=""),IF($Q70="",90000,$Q70)+ROW()/100000,"")</f>
        <v/>
      </c>
      <c r="Z70">
        <f>IF(OR($U70&lt;&gt;"",$D70&lt;&gt;"",$E70&lt;&gt;"",$N70&lt;&gt;""),1,"")</f>
        <v/>
      </c>
    </row>
    <row r="71">
      <c r="A71" s="13" t="inlineStr">
        <is>
          <t>P-0067</t>
        </is>
      </c>
      <c r="B71" s="14">
        <f>IF(AND($U71="",$C71=""),"",IFERROR(INDEX(EvID,MATCH(INDEX(FormData,$W71,f_Event),EvID,0)),IFERROR(INDEX(EvID,MATCH(INDEX(FormData,$W71,f_Event),EvName,0)),IFERROR(INDEX(EvID,MATCH(INT($C71),EvDate,0)),""))))</f>
        <v/>
      </c>
      <c r="C71" s="15">
        <f>IF($W71="","",INDEX(FormData,$W71,f_Time))</f>
        <v/>
      </c>
      <c r="D71" s="14">
        <f>IF($W71="","",IFERROR(UPPER(LEFT(TRIM(INDEX(FormData,$W71,f_Name)),1)&amp;IFERROR(MID(TRIM(INDEX(FormData,$W71,f_Name)),FIND("^",SUBSTITUTE(TRIM(INDEX(FormData,$W71,f_Name))," ","^",LEN(TRIM(INDEX(FormData,$W71,f_Name)))-LEN(SUBSTITUTE(TRIM(INDEX(FormData,$W71,f_Name))," ",""))))+1,1),"")),""))</f>
        <v/>
      </c>
      <c r="E71" s="16">
        <f>IF($W71="","",IFERROR(IF(SUMPRODUCT(MAX((WhoKW&lt;&gt;"")*ISNUMBER(SEARCH(WhoKW,INDEX(FormData,$W71,f_Who)&amp;""))*(ROW(WhoKW)-MIN(ROW(WhoKW))+1)))=0,"",INDEX(WhoVal,SUMPRODUCT(MAX((WhoKW&lt;&gt;"")*ISNUMBER(SEARCH(WhoKW,INDEX(FormData,$W71,f_Who)&amp;""))*(ROW(WhoKW)-MIN(ROW(WhoKW))+1))))),""))</f>
        <v/>
      </c>
      <c r="F71" s="17">
        <f>IF($W71="","",TRIM(IFERROR(INDEX(FormData,$W71,f_Org1)&amp;"","")&amp;" "&amp;IFERROR(INDEX(FormData,$W71,f_Org2)&amp;"","")))</f>
        <v/>
      </c>
      <c r="G71" s="16">
        <f>IF($W71="","",IFERROR(INDEX(FormData,$W71,f_Region)&amp;"",""))</f>
        <v/>
      </c>
      <c r="H71" s="16">
        <f>IF($W71="","",IFERROR(IF(SUMPRODUCT(MAX((SitKW&lt;&gt;"")*ISNUMBER(SEARCH(SitKW,INDEX(FormData,$W71,f_Sit)&amp;""))*(ROW(SitKW)-MIN(ROW(SitKW))+1)))=0,"",INDEX(SitVal,SUMPRODUCT(MAX((SitKW&lt;&gt;"")*ISNUMBER(SEARCH(SitKW,INDEX(FormData,$W71,f_Sit)&amp;""))*(ROW(SitKW)-MIN(ROW(SitKW))+1))))),""))</f>
        <v/>
      </c>
      <c r="I71" s="14">
        <f>IF($W71="","",IFERROR(INDEX(FormData,$W71,f_Appr)&amp;"",""))</f>
        <v/>
      </c>
      <c r="J71" s="16">
        <f>IF($W71="","",IFERROR(INDEX(FormData,$W71,f_Trade)&amp;"",""))</f>
        <v/>
      </c>
      <c r="K71" s="16" t="n"/>
      <c r="L71" s="17" t="n"/>
      <c r="M71" s="16" t="n"/>
      <c r="N71" s="17" t="n"/>
      <c r="O71" s="14" t="n"/>
      <c r="P71" s="14" t="n"/>
      <c r="Q71" s="18" t="n"/>
      <c r="R71" s="18" t="n"/>
      <c r="S71" s="13">
        <f>IF($P71&lt;&gt;"✓","",IF($R71&lt;&gt;"","Done",IF($Q71="","Open — no date",IF($Q71&lt;TODAY(),"Overdue",IF($Q71-TODAY()&lt;=DueSoon,"Due soon","Scheduled")))))</f>
        <v/>
      </c>
      <c r="T71" s="14">
        <f>IF($W71="","",IFERROR(IF(INDEX(FormData,$W71,f_Consent)&amp;""="","",IF(ISNUMBER(SEARCH("yes",INDEX(FormData,$W71,f_Consent))),"Yes","No")),""))</f>
        <v/>
      </c>
      <c r="U71" s="14" t="n"/>
      <c r="V71" s="13">
        <f>IF($U71="","",IF($W71="","not found","✓"))</f>
        <v/>
      </c>
      <c r="W71">
        <f>IF($U71="","",IFERROR(MATCH($U71,INDEX(FormData,0,f_Id),0),IFERROR(MATCH(--$U71,INDEX(FormData,0,f_Id),0),IFERROR(MATCH($U71&amp;"",INDEX(FormData,0,f_Id),0),""))))</f>
        <v/>
      </c>
      <c r="X71">
        <f>IF(AND($B71&lt;&gt;"",$B71='Event Report'!$C$3),ROW(),"")</f>
        <v/>
      </c>
      <c r="Y71">
        <f>IF(AND($P71="✓",$R71=""),IF($Q71="",90000,$Q71)+ROW()/100000,"")</f>
        <v/>
      </c>
      <c r="Z71">
        <f>IF(OR($U71&lt;&gt;"",$D71&lt;&gt;"",$E71&lt;&gt;"",$N71&lt;&gt;""),1,"")</f>
        <v/>
      </c>
    </row>
    <row r="72">
      <c r="A72" s="13" t="inlineStr">
        <is>
          <t>P-0068</t>
        </is>
      </c>
      <c r="B72" s="14">
        <f>IF(AND($U72="",$C72=""),"",IFERROR(INDEX(EvID,MATCH(INDEX(FormData,$W72,f_Event),EvID,0)),IFERROR(INDEX(EvID,MATCH(INDEX(FormData,$W72,f_Event),EvName,0)),IFERROR(INDEX(EvID,MATCH(INT($C72),EvDate,0)),""))))</f>
        <v/>
      </c>
      <c r="C72" s="15">
        <f>IF($W72="","",INDEX(FormData,$W72,f_Time))</f>
        <v/>
      </c>
      <c r="D72" s="14">
        <f>IF($W72="","",IFERROR(UPPER(LEFT(TRIM(INDEX(FormData,$W72,f_Name)),1)&amp;IFERROR(MID(TRIM(INDEX(FormData,$W72,f_Name)),FIND("^",SUBSTITUTE(TRIM(INDEX(FormData,$W72,f_Name))," ","^",LEN(TRIM(INDEX(FormData,$W72,f_Name)))-LEN(SUBSTITUTE(TRIM(INDEX(FormData,$W72,f_Name))," ",""))))+1,1),"")),""))</f>
        <v/>
      </c>
      <c r="E72" s="16">
        <f>IF($W72="","",IFERROR(IF(SUMPRODUCT(MAX((WhoKW&lt;&gt;"")*ISNUMBER(SEARCH(WhoKW,INDEX(FormData,$W72,f_Who)&amp;""))*(ROW(WhoKW)-MIN(ROW(WhoKW))+1)))=0,"",INDEX(WhoVal,SUMPRODUCT(MAX((WhoKW&lt;&gt;"")*ISNUMBER(SEARCH(WhoKW,INDEX(FormData,$W72,f_Who)&amp;""))*(ROW(WhoKW)-MIN(ROW(WhoKW))+1))))),""))</f>
        <v/>
      </c>
      <c r="F72" s="17">
        <f>IF($W72="","",TRIM(IFERROR(INDEX(FormData,$W72,f_Org1)&amp;"","")&amp;" "&amp;IFERROR(INDEX(FormData,$W72,f_Org2)&amp;"","")))</f>
        <v/>
      </c>
      <c r="G72" s="16">
        <f>IF($W72="","",IFERROR(INDEX(FormData,$W72,f_Region)&amp;"",""))</f>
        <v/>
      </c>
      <c r="H72" s="16">
        <f>IF($W72="","",IFERROR(IF(SUMPRODUCT(MAX((SitKW&lt;&gt;"")*ISNUMBER(SEARCH(SitKW,INDEX(FormData,$W72,f_Sit)&amp;""))*(ROW(SitKW)-MIN(ROW(SitKW))+1)))=0,"",INDEX(SitVal,SUMPRODUCT(MAX((SitKW&lt;&gt;"")*ISNUMBER(SEARCH(SitKW,INDEX(FormData,$W72,f_Sit)&amp;""))*(ROW(SitKW)-MIN(ROW(SitKW))+1))))),""))</f>
        <v/>
      </c>
      <c r="I72" s="14">
        <f>IF($W72="","",IFERROR(INDEX(FormData,$W72,f_Appr)&amp;"",""))</f>
        <v/>
      </c>
      <c r="J72" s="16">
        <f>IF($W72="","",IFERROR(INDEX(FormData,$W72,f_Trade)&amp;"",""))</f>
        <v/>
      </c>
      <c r="K72" s="16" t="n"/>
      <c r="L72" s="17" t="n"/>
      <c r="M72" s="16" t="n"/>
      <c r="N72" s="17" t="n"/>
      <c r="O72" s="14" t="n"/>
      <c r="P72" s="14" t="n"/>
      <c r="Q72" s="18" t="n"/>
      <c r="R72" s="18" t="n"/>
      <c r="S72" s="13">
        <f>IF($P72&lt;&gt;"✓","",IF($R72&lt;&gt;"","Done",IF($Q72="","Open — no date",IF($Q72&lt;TODAY(),"Overdue",IF($Q72-TODAY()&lt;=DueSoon,"Due soon","Scheduled")))))</f>
        <v/>
      </c>
      <c r="T72" s="14">
        <f>IF($W72="","",IFERROR(IF(INDEX(FormData,$W72,f_Consent)&amp;""="","",IF(ISNUMBER(SEARCH("yes",INDEX(FormData,$W72,f_Consent))),"Yes","No")),""))</f>
        <v/>
      </c>
      <c r="U72" s="14" t="n"/>
      <c r="V72" s="13">
        <f>IF($U72="","",IF($W72="","not found","✓"))</f>
        <v/>
      </c>
      <c r="W72">
        <f>IF($U72="","",IFERROR(MATCH($U72,INDEX(FormData,0,f_Id),0),IFERROR(MATCH(--$U72,INDEX(FormData,0,f_Id),0),IFERROR(MATCH($U72&amp;"",INDEX(FormData,0,f_Id),0),""))))</f>
        <v/>
      </c>
      <c r="X72">
        <f>IF(AND($B72&lt;&gt;"",$B72='Event Report'!$C$3),ROW(),"")</f>
        <v/>
      </c>
      <c r="Y72">
        <f>IF(AND($P72="✓",$R72=""),IF($Q72="",90000,$Q72)+ROW()/100000,"")</f>
        <v/>
      </c>
      <c r="Z72">
        <f>IF(OR($U72&lt;&gt;"",$D72&lt;&gt;"",$E72&lt;&gt;"",$N72&lt;&gt;""),1,"")</f>
        <v/>
      </c>
    </row>
    <row r="73">
      <c r="A73" s="13" t="inlineStr">
        <is>
          <t>P-0069</t>
        </is>
      </c>
      <c r="B73" s="14">
        <f>IF(AND($U73="",$C73=""),"",IFERROR(INDEX(EvID,MATCH(INDEX(FormData,$W73,f_Event),EvID,0)),IFERROR(INDEX(EvID,MATCH(INDEX(FormData,$W73,f_Event),EvName,0)),IFERROR(INDEX(EvID,MATCH(INT($C73),EvDate,0)),""))))</f>
        <v/>
      </c>
      <c r="C73" s="15">
        <f>IF($W73="","",INDEX(FormData,$W73,f_Time))</f>
        <v/>
      </c>
      <c r="D73" s="14">
        <f>IF($W73="","",IFERROR(UPPER(LEFT(TRIM(INDEX(FormData,$W73,f_Name)),1)&amp;IFERROR(MID(TRIM(INDEX(FormData,$W73,f_Name)),FIND("^",SUBSTITUTE(TRIM(INDEX(FormData,$W73,f_Name))," ","^",LEN(TRIM(INDEX(FormData,$W73,f_Name)))-LEN(SUBSTITUTE(TRIM(INDEX(FormData,$W73,f_Name))," ",""))))+1,1),"")),""))</f>
        <v/>
      </c>
      <c r="E73" s="16">
        <f>IF($W73="","",IFERROR(IF(SUMPRODUCT(MAX((WhoKW&lt;&gt;"")*ISNUMBER(SEARCH(WhoKW,INDEX(FormData,$W73,f_Who)&amp;""))*(ROW(WhoKW)-MIN(ROW(WhoKW))+1)))=0,"",INDEX(WhoVal,SUMPRODUCT(MAX((WhoKW&lt;&gt;"")*ISNUMBER(SEARCH(WhoKW,INDEX(FormData,$W73,f_Who)&amp;""))*(ROW(WhoKW)-MIN(ROW(WhoKW))+1))))),""))</f>
        <v/>
      </c>
      <c r="F73" s="17">
        <f>IF($W73="","",TRIM(IFERROR(INDEX(FormData,$W73,f_Org1)&amp;"","")&amp;" "&amp;IFERROR(INDEX(FormData,$W73,f_Org2)&amp;"","")))</f>
        <v/>
      </c>
      <c r="G73" s="16">
        <f>IF($W73="","",IFERROR(INDEX(FormData,$W73,f_Region)&amp;"",""))</f>
        <v/>
      </c>
      <c r="H73" s="16">
        <f>IF($W73="","",IFERROR(IF(SUMPRODUCT(MAX((SitKW&lt;&gt;"")*ISNUMBER(SEARCH(SitKW,INDEX(FormData,$W73,f_Sit)&amp;""))*(ROW(SitKW)-MIN(ROW(SitKW))+1)))=0,"",INDEX(SitVal,SUMPRODUCT(MAX((SitKW&lt;&gt;"")*ISNUMBER(SEARCH(SitKW,INDEX(FormData,$W73,f_Sit)&amp;""))*(ROW(SitKW)-MIN(ROW(SitKW))+1))))),""))</f>
        <v/>
      </c>
      <c r="I73" s="14">
        <f>IF($W73="","",IFERROR(INDEX(FormData,$W73,f_Appr)&amp;"",""))</f>
        <v/>
      </c>
      <c r="J73" s="16">
        <f>IF($W73="","",IFERROR(INDEX(FormData,$W73,f_Trade)&amp;"",""))</f>
        <v/>
      </c>
      <c r="K73" s="16" t="n"/>
      <c r="L73" s="17" t="n"/>
      <c r="M73" s="16" t="n"/>
      <c r="N73" s="17" t="n"/>
      <c r="O73" s="14" t="n"/>
      <c r="P73" s="14" t="n"/>
      <c r="Q73" s="18" t="n"/>
      <c r="R73" s="18" t="n"/>
      <c r="S73" s="13">
        <f>IF($P73&lt;&gt;"✓","",IF($R73&lt;&gt;"","Done",IF($Q73="","Open — no date",IF($Q73&lt;TODAY(),"Overdue",IF($Q73-TODAY()&lt;=DueSoon,"Due soon","Scheduled")))))</f>
        <v/>
      </c>
      <c r="T73" s="14">
        <f>IF($W73="","",IFERROR(IF(INDEX(FormData,$W73,f_Consent)&amp;""="","",IF(ISNUMBER(SEARCH("yes",INDEX(FormData,$W73,f_Consent))),"Yes","No")),""))</f>
        <v/>
      </c>
      <c r="U73" s="14" t="n"/>
      <c r="V73" s="13">
        <f>IF($U73="","",IF($W73="","not found","✓"))</f>
        <v/>
      </c>
      <c r="W73">
        <f>IF($U73="","",IFERROR(MATCH($U73,INDEX(FormData,0,f_Id),0),IFERROR(MATCH(--$U73,INDEX(FormData,0,f_Id),0),IFERROR(MATCH($U73&amp;"",INDEX(FormData,0,f_Id),0),""))))</f>
        <v/>
      </c>
      <c r="X73">
        <f>IF(AND($B73&lt;&gt;"",$B73='Event Report'!$C$3),ROW(),"")</f>
        <v/>
      </c>
      <c r="Y73">
        <f>IF(AND($P73="✓",$R73=""),IF($Q73="",90000,$Q73)+ROW()/100000,"")</f>
        <v/>
      </c>
      <c r="Z73">
        <f>IF(OR($U73&lt;&gt;"",$D73&lt;&gt;"",$E73&lt;&gt;"",$N73&lt;&gt;""),1,"")</f>
        <v/>
      </c>
    </row>
    <row r="74">
      <c r="A74" s="13" t="inlineStr">
        <is>
          <t>P-0070</t>
        </is>
      </c>
      <c r="B74" s="14">
        <f>IF(AND($U74="",$C74=""),"",IFERROR(INDEX(EvID,MATCH(INDEX(FormData,$W74,f_Event),EvID,0)),IFERROR(INDEX(EvID,MATCH(INDEX(FormData,$W74,f_Event),EvName,0)),IFERROR(INDEX(EvID,MATCH(INT($C74),EvDate,0)),""))))</f>
        <v/>
      </c>
      <c r="C74" s="15">
        <f>IF($W74="","",INDEX(FormData,$W74,f_Time))</f>
        <v/>
      </c>
      <c r="D74" s="14">
        <f>IF($W74="","",IFERROR(UPPER(LEFT(TRIM(INDEX(FormData,$W74,f_Name)),1)&amp;IFERROR(MID(TRIM(INDEX(FormData,$W74,f_Name)),FIND("^",SUBSTITUTE(TRIM(INDEX(FormData,$W74,f_Name))," ","^",LEN(TRIM(INDEX(FormData,$W74,f_Name)))-LEN(SUBSTITUTE(TRIM(INDEX(FormData,$W74,f_Name))," ",""))))+1,1),"")),""))</f>
        <v/>
      </c>
      <c r="E74" s="16">
        <f>IF($W74="","",IFERROR(IF(SUMPRODUCT(MAX((WhoKW&lt;&gt;"")*ISNUMBER(SEARCH(WhoKW,INDEX(FormData,$W74,f_Who)&amp;""))*(ROW(WhoKW)-MIN(ROW(WhoKW))+1)))=0,"",INDEX(WhoVal,SUMPRODUCT(MAX((WhoKW&lt;&gt;"")*ISNUMBER(SEARCH(WhoKW,INDEX(FormData,$W74,f_Who)&amp;""))*(ROW(WhoKW)-MIN(ROW(WhoKW))+1))))),""))</f>
        <v/>
      </c>
      <c r="F74" s="17">
        <f>IF($W74="","",TRIM(IFERROR(INDEX(FormData,$W74,f_Org1)&amp;"","")&amp;" "&amp;IFERROR(INDEX(FormData,$W74,f_Org2)&amp;"","")))</f>
        <v/>
      </c>
      <c r="G74" s="16">
        <f>IF($W74="","",IFERROR(INDEX(FormData,$W74,f_Region)&amp;"",""))</f>
        <v/>
      </c>
      <c r="H74" s="16">
        <f>IF($W74="","",IFERROR(IF(SUMPRODUCT(MAX((SitKW&lt;&gt;"")*ISNUMBER(SEARCH(SitKW,INDEX(FormData,$W74,f_Sit)&amp;""))*(ROW(SitKW)-MIN(ROW(SitKW))+1)))=0,"",INDEX(SitVal,SUMPRODUCT(MAX((SitKW&lt;&gt;"")*ISNUMBER(SEARCH(SitKW,INDEX(FormData,$W74,f_Sit)&amp;""))*(ROW(SitKW)-MIN(ROW(SitKW))+1))))),""))</f>
        <v/>
      </c>
      <c r="I74" s="14">
        <f>IF($W74="","",IFERROR(INDEX(FormData,$W74,f_Appr)&amp;"",""))</f>
        <v/>
      </c>
      <c r="J74" s="16">
        <f>IF($W74="","",IFERROR(INDEX(FormData,$W74,f_Trade)&amp;"",""))</f>
        <v/>
      </c>
      <c r="K74" s="16" t="n"/>
      <c r="L74" s="17" t="n"/>
      <c r="M74" s="16" t="n"/>
      <c r="N74" s="17" t="n"/>
      <c r="O74" s="14" t="n"/>
      <c r="P74" s="14" t="n"/>
      <c r="Q74" s="18" t="n"/>
      <c r="R74" s="18" t="n"/>
      <c r="S74" s="13">
        <f>IF($P74&lt;&gt;"✓","",IF($R74&lt;&gt;"","Done",IF($Q74="","Open — no date",IF($Q74&lt;TODAY(),"Overdue",IF($Q74-TODAY()&lt;=DueSoon,"Due soon","Scheduled")))))</f>
        <v/>
      </c>
      <c r="T74" s="14">
        <f>IF($W74="","",IFERROR(IF(INDEX(FormData,$W74,f_Consent)&amp;""="","",IF(ISNUMBER(SEARCH("yes",INDEX(FormData,$W74,f_Consent))),"Yes","No")),""))</f>
        <v/>
      </c>
      <c r="U74" s="14" t="n"/>
      <c r="V74" s="13">
        <f>IF($U74="","",IF($W74="","not found","✓"))</f>
        <v/>
      </c>
      <c r="W74">
        <f>IF($U74="","",IFERROR(MATCH($U74,INDEX(FormData,0,f_Id),0),IFERROR(MATCH(--$U74,INDEX(FormData,0,f_Id),0),IFERROR(MATCH($U74&amp;"",INDEX(FormData,0,f_Id),0),""))))</f>
        <v/>
      </c>
      <c r="X74">
        <f>IF(AND($B74&lt;&gt;"",$B74='Event Report'!$C$3),ROW(),"")</f>
        <v/>
      </c>
      <c r="Y74">
        <f>IF(AND($P74="✓",$R74=""),IF($Q74="",90000,$Q74)+ROW()/100000,"")</f>
        <v/>
      </c>
      <c r="Z74">
        <f>IF(OR($U74&lt;&gt;"",$D74&lt;&gt;"",$E74&lt;&gt;"",$N74&lt;&gt;""),1,"")</f>
        <v/>
      </c>
    </row>
    <row r="75">
      <c r="A75" s="13" t="inlineStr">
        <is>
          <t>P-0071</t>
        </is>
      </c>
      <c r="B75" s="14">
        <f>IF(AND($U75="",$C75=""),"",IFERROR(INDEX(EvID,MATCH(INDEX(FormData,$W75,f_Event),EvID,0)),IFERROR(INDEX(EvID,MATCH(INDEX(FormData,$W75,f_Event),EvName,0)),IFERROR(INDEX(EvID,MATCH(INT($C75),EvDate,0)),""))))</f>
        <v/>
      </c>
      <c r="C75" s="15">
        <f>IF($W75="","",INDEX(FormData,$W75,f_Time))</f>
        <v/>
      </c>
      <c r="D75" s="14">
        <f>IF($W75="","",IFERROR(UPPER(LEFT(TRIM(INDEX(FormData,$W75,f_Name)),1)&amp;IFERROR(MID(TRIM(INDEX(FormData,$W75,f_Name)),FIND("^",SUBSTITUTE(TRIM(INDEX(FormData,$W75,f_Name))," ","^",LEN(TRIM(INDEX(FormData,$W75,f_Name)))-LEN(SUBSTITUTE(TRIM(INDEX(FormData,$W75,f_Name))," ",""))))+1,1),"")),""))</f>
        <v/>
      </c>
      <c r="E75" s="16">
        <f>IF($W75="","",IFERROR(IF(SUMPRODUCT(MAX((WhoKW&lt;&gt;"")*ISNUMBER(SEARCH(WhoKW,INDEX(FormData,$W75,f_Who)&amp;""))*(ROW(WhoKW)-MIN(ROW(WhoKW))+1)))=0,"",INDEX(WhoVal,SUMPRODUCT(MAX((WhoKW&lt;&gt;"")*ISNUMBER(SEARCH(WhoKW,INDEX(FormData,$W75,f_Who)&amp;""))*(ROW(WhoKW)-MIN(ROW(WhoKW))+1))))),""))</f>
        <v/>
      </c>
      <c r="F75" s="17">
        <f>IF($W75="","",TRIM(IFERROR(INDEX(FormData,$W75,f_Org1)&amp;"","")&amp;" "&amp;IFERROR(INDEX(FormData,$W75,f_Org2)&amp;"","")))</f>
        <v/>
      </c>
      <c r="G75" s="16">
        <f>IF($W75="","",IFERROR(INDEX(FormData,$W75,f_Region)&amp;"",""))</f>
        <v/>
      </c>
      <c r="H75" s="16">
        <f>IF($W75="","",IFERROR(IF(SUMPRODUCT(MAX((SitKW&lt;&gt;"")*ISNUMBER(SEARCH(SitKW,INDEX(FormData,$W75,f_Sit)&amp;""))*(ROW(SitKW)-MIN(ROW(SitKW))+1)))=0,"",INDEX(SitVal,SUMPRODUCT(MAX((SitKW&lt;&gt;"")*ISNUMBER(SEARCH(SitKW,INDEX(FormData,$W75,f_Sit)&amp;""))*(ROW(SitKW)-MIN(ROW(SitKW))+1))))),""))</f>
        <v/>
      </c>
      <c r="I75" s="14">
        <f>IF($W75="","",IFERROR(INDEX(FormData,$W75,f_Appr)&amp;"",""))</f>
        <v/>
      </c>
      <c r="J75" s="16">
        <f>IF($W75="","",IFERROR(INDEX(FormData,$W75,f_Trade)&amp;"",""))</f>
        <v/>
      </c>
      <c r="K75" s="16" t="n"/>
      <c r="L75" s="17" t="n"/>
      <c r="M75" s="16" t="n"/>
      <c r="N75" s="17" t="n"/>
      <c r="O75" s="14" t="n"/>
      <c r="P75" s="14" t="n"/>
      <c r="Q75" s="18" t="n"/>
      <c r="R75" s="18" t="n"/>
      <c r="S75" s="13">
        <f>IF($P75&lt;&gt;"✓","",IF($R75&lt;&gt;"","Done",IF($Q75="","Open — no date",IF($Q75&lt;TODAY(),"Overdue",IF($Q75-TODAY()&lt;=DueSoon,"Due soon","Scheduled")))))</f>
        <v/>
      </c>
      <c r="T75" s="14">
        <f>IF($W75="","",IFERROR(IF(INDEX(FormData,$W75,f_Consent)&amp;""="","",IF(ISNUMBER(SEARCH("yes",INDEX(FormData,$W75,f_Consent))),"Yes","No")),""))</f>
        <v/>
      </c>
      <c r="U75" s="14" t="n"/>
      <c r="V75" s="13">
        <f>IF($U75="","",IF($W75="","not found","✓"))</f>
        <v/>
      </c>
      <c r="W75">
        <f>IF($U75="","",IFERROR(MATCH($U75,INDEX(FormData,0,f_Id),0),IFERROR(MATCH(--$U75,INDEX(FormData,0,f_Id),0),IFERROR(MATCH($U75&amp;"",INDEX(FormData,0,f_Id),0),""))))</f>
        <v/>
      </c>
      <c r="X75">
        <f>IF(AND($B75&lt;&gt;"",$B75='Event Report'!$C$3),ROW(),"")</f>
        <v/>
      </c>
      <c r="Y75">
        <f>IF(AND($P75="✓",$R75=""),IF($Q75="",90000,$Q75)+ROW()/100000,"")</f>
        <v/>
      </c>
      <c r="Z75">
        <f>IF(OR($U75&lt;&gt;"",$D75&lt;&gt;"",$E75&lt;&gt;"",$N75&lt;&gt;""),1,"")</f>
        <v/>
      </c>
    </row>
    <row r="76">
      <c r="A76" s="13" t="inlineStr">
        <is>
          <t>P-0072</t>
        </is>
      </c>
      <c r="B76" s="14">
        <f>IF(AND($U76="",$C76=""),"",IFERROR(INDEX(EvID,MATCH(INDEX(FormData,$W76,f_Event),EvID,0)),IFERROR(INDEX(EvID,MATCH(INDEX(FormData,$W76,f_Event),EvName,0)),IFERROR(INDEX(EvID,MATCH(INT($C76),EvDate,0)),""))))</f>
        <v/>
      </c>
      <c r="C76" s="15">
        <f>IF($W76="","",INDEX(FormData,$W76,f_Time))</f>
        <v/>
      </c>
      <c r="D76" s="14">
        <f>IF($W76="","",IFERROR(UPPER(LEFT(TRIM(INDEX(FormData,$W76,f_Name)),1)&amp;IFERROR(MID(TRIM(INDEX(FormData,$W76,f_Name)),FIND("^",SUBSTITUTE(TRIM(INDEX(FormData,$W76,f_Name))," ","^",LEN(TRIM(INDEX(FormData,$W76,f_Name)))-LEN(SUBSTITUTE(TRIM(INDEX(FormData,$W76,f_Name))," ",""))))+1,1),"")),""))</f>
        <v/>
      </c>
      <c r="E76" s="16">
        <f>IF($W76="","",IFERROR(IF(SUMPRODUCT(MAX((WhoKW&lt;&gt;"")*ISNUMBER(SEARCH(WhoKW,INDEX(FormData,$W76,f_Who)&amp;""))*(ROW(WhoKW)-MIN(ROW(WhoKW))+1)))=0,"",INDEX(WhoVal,SUMPRODUCT(MAX((WhoKW&lt;&gt;"")*ISNUMBER(SEARCH(WhoKW,INDEX(FormData,$W76,f_Who)&amp;""))*(ROW(WhoKW)-MIN(ROW(WhoKW))+1))))),""))</f>
        <v/>
      </c>
      <c r="F76" s="17">
        <f>IF($W76="","",TRIM(IFERROR(INDEX(FormData,$W76,f_Org1)&amp;"","")&amp;" "&amp;IFERROR(INDEX(FormData,$W76,f_Org2)&amp;"","")))</f>
        <v/>
      </c>
      <c r="G76" s="16">
        <f>IF($W76="","",IFERROR(INDEX(FormData,$W76,f_Region)&amp;"",""))</f>
        <v/>
      </c>
      <c r="H76" s="16">
        <f>IF($W76="","",IFERROR(IF(SUMPRODUCT(MAX((SitKW&lt;&gt;"")*ISNUMBER(SEARCH(SitKW,INDEX(FormData,$W76,f_Sit)&amp;""))*(ROW(SitKW)-MIN(ROW(SitKW))+1)))=0,"",INDEX(SitVal,SUMPRODUCT(MAX((SitKW&lt;&gt;"")*ISNUMBER(SEARCH(SitKW,INDEX(FormData,$W76,f_Sit)&amp;""))*(ROW(SitKW)-MIN(ROW(SitKW))+1))))),""))</f>
        <v/>
      </c>
      <c r="I76" s="14">
        <f>IF($W76="","",IFERROR(INDEX(FormData,$W76,f_Appr)&amp;"",""))</f>
        <v/>
      </c>
      <c r="J76" s="16">
        <f>IF($W76="","",IFERROR(INDEX(FormData,$W76,f_Trade)&amp;"",""))</f>
        <v/>
      </c>
      <c r="K76" s="16" t="n"/>
      <c r="L76" s="17" t="n"/>
      <c r="M76" s="16" t="n"/>
      <c r="N76" s="17" t="n"/>
      <c r="O76" s="14" t="n"/>
      <c r="P76" s="14" t="n"/>
      <c r="Q76" s="18" t="n"/>
      <c r="R76" s="18" t="n"/>
      <c r="S76" s="13">
        <f>IF($P76&lt;&gt;"✓","",IF($R76&lt;&gt;"","Done",IF($Q76="","Open — no date",IF($Q76&lt;TODAY(),"Overdue",IF($Q76-TODAY()&lt;=DueSoon,"Due soon","Scheduled")))))</f>
        <v/>
      </c>
      <c r="T76" s="14">
        <f>IF($W76="","",IFERROR(IF(INDEX(FormData,$W76,f_Consent)&amp;""="","",IF(ISNUMBER(SEARCH("yes",INDEX(FormData,$W76,f_Consent))),"Yes","No")),""))</f>
        <v/>
      </c>
      <c r="U76" s="14" t="n"/>
      <c r="V76" s="13">
        <f>IF($U76="","",IF($W76="","not found","✓"))</f>
        <v/>
      </c>
      <c r="W76">
        <f>IF($U76="","",IFERROR(MATCH($U76,INDEX(FormData,0,f_Id),0),IFERROR(MATCH(--$U76,INDEX(FormData,0,f_Id),0),IFERROR(MATCH($U76&amp;"",INDEX(FormData,0,f_Id),0),""))))</f>
        <v/>
      </c>
      <c r="X76">
        <f>IF(AND($B76&lt;&gt;"",$B76='Event Report'!$C$3),ROW(),"")</f>
        <v/>
      </c>
      <c r="Y76">
        <f>IF(AND($P76="✓",$R76=""),IF($Q76="",90000,$Q76)+ROW()/100000,"")</f>
        <v/>
      </c>
      <c r="Z76">
        <f>IF(OR($U76&lt;&gt;"",$D76&lt;&gt;"",$E76&lt;&gt;"",$N76&lt;&gt;""),1,"")</f>
        <v/>
      </c>
    </row>
    <row r="77">
      <c r="A77" s="13" t="inlineStr">
        <is>
          <t>P-0073</t>
        </is>
      </c>
      <c r="B77" s="14">
        <f>IF(AND($U77="",$C77=""),"",IFERROR(INDEX(EvID,MATCH(INDEX(FormData,$W77,f_Event),EvID,0)),IFERROR(INDEX(EvID,MATCH(INDEX(FormData,$W77,f_Event),EvName,0)),IFERROR(INDEX(EvID,MATCH(INT($C77),EvDate,0)),""))))</f>
        <v/>
      </c>
      <c r="C77" s="15">
        <f>IF($W77="","",INDEX(FormData,$W77,f_Time))</f>
        <v/>
      </c>
      <c r="D77" s="14">
        <f>IF($W77="","",IFERROR(UPPER(LEFT(TRIM(INDEX(FormData,$W77,f_Name)),1)&amp;IFERROR(MID(TRIM(INDEX(FormData,$W77,f_Name)),FIND("^",SUBSTITUTE(TRIM(INDEX(FormData,$W77,f_Name))," ","^",LEN(TRIM(INDEX(FormData,$W77,f_Name)))-LEN(SUBSTITUTE(TRIM(INDEX(FormData,$W77,f_Name))," ",""))))+1,1),"")),""))</f>
        <v/>
      </c>
      <c r="E77" s="16">
        <f>IF($W77="","",IFERROR(IF(SUMPRODUCT(MAX((WhoKW&lt;&gt;"")*ISNUMBER(SEARCH(WhoKW,INDEX(FormData,$W77,f_Who)&amp;""))*(ROW(WhoKW)-MIN(ROW(WhoKW))+1)))=0,"",INDEX(WhoVal,SUMPRODUCT(MAX((WhoKW&lt;&gt;"")*ISNUMBER(SEARCH(WhoKW,INDEX(FormData,$W77,f_Who)&amp;""))*(ROW(WhoKW)-MIN(ROW(WhoKW))+1))))),""))</f>
        <v/>
      </c>
      <c r="F77" s="17">
        <f>IF($W77="","",TRIM(IFERROR(INDEX(FormData,$W77,f_Org1)&amp;"","")&amp;" "&amp;IFERROR(INDEX(FormData,$W77,f_Org2)&amp;"","")))</f>
        <v/>
      </c>
      <c r="G77" s="16">
        <f>IF($W77="","",IFERROR(INDEX(FormData,$W77,f_Region)&amp;"",""))</f>
        <v/>
      </c>
      <c r="H77" s="16">
        <f>IF($W77="","",IFERROR(IF(SUMPRODUCT(MAX((SitKW&lt;&gt;"")*ISNUMBER(SEARCH(SitKW,INDEX(FormData,$W77,f_Sit)&amp;""))*(ROW(SitKW)-MIN(ROW(SitKW))+1)))=0,"",INDEX(SitVal,SUMPRODUCT(MAX((SitKW&lt;&gt;"")*ISNUMBER(SEARCH(SitKW,INDEX(FormData,$W77,f_Sit)&amp;""))*(ROW(SitKW)-MIN(ROW(SitKW))+1))))),""))</f>
        <v/>
      </c>
      <c r="I77" s="14">
        <f>IF($W77="","",IFERROR(INDEX(FormData,$W77,f_Appr)&amp;"",""))</f>
        <v/>
      </c>
      <c r="J77" s="16">
        <f>IF($W77="","",IFERROR(INDEX(FormData,$W77,f_Trade)&amp;"",""))</f>
        <v/>
      </c>
      <c r="K77" s="16" t="n"/>
      <c r="L77" s="17" t="n"/>
      <c r="M77" s="16" t="n"/>
      <c r="N77" s="17" t="n"/>
      <c r="O77" s="14" t="n"/>
      <c r="P77" s="14" t="n"/>
      <c r="Q77" s="18" t="n"/>
      <c r="R77" s="18" t="n"/>
      <c r="S77" s="13">
        <f>IF($P77&lt;&gt;"✓","",IF($R77&lt;&gt;"","Done",IF($Q77="","Open — no date",IF($Q77&lt;TODAY(),"Overdue",IF($Q77-TODAY()&lt;=DueSoon,"Due soon","Scheduled")))))</f>
        <v/>
      </c>
      <c r="T77" s="14">
        <f>IF($W77="","",IFERROR(IF(INDEX(FormData,$W77,f_Consent)&amp;""="","",IF(ISNUMBER(SEARCH("yes",INDEX(FormData,$W77,f_Consent))),"Yes","No")),""))</f>
        <v/>
      </c>
      <c r="U77" s="14" t="n"/>
      <c r="V77" s="13">
        <f>IF($U77="","",IF($W77="","not found","✓"))</f>
        <v/>
      </c>
      <c r="W77">
        <f>IF($U77="","",IFERROR(MATCH($U77,INDEX(FormData,0,f_Id),0),IFERROR(MATCH(--$U77,INDEX(FormData,0,f_Id),0),IFERROR(MATCH($U77&amp;"",INDEX(FormData,0,f_Id),0),""))))</f>
        <v/>
      </c>
      <c r="X77">
        <f>IF(AND($B77&lt;&gt;"",$B77='Event Report'!$C$3),ROW(),"")</f>
        <v/>
      </c>
      <c r="Y77">
        <f>IF(AND($P77="✓",$R77=""),IF($Q77="",90000,$Q77)+ROW()/100000,"")</f>
        <v/>
      </c>
      <c r="Z77">
        <f>IF(OR($U77&lt;&gt;"",$D77&lt;&gt;"",$E77&lt;&gt;"",$N77&lt;&gt;""),1,"")</f>
        <v/>
      </c>
    </row>
    <row r="78">
      <c r="A78" s="13" t="inlineStr">
        <is>
          <t>P-0074</t>
        </is>
      </c>
      <c r="B78" s="14">
        <f>IF(AND($U78="",$C78=""),"",IFERROR(INDEX(EvID,MATCH(INDEX(FormData,$W78,f_Event),EvID,0)),IFERROR(INDEX(EvID,MATCH(INDEX(FormData,$W78,f_Event),EvName,0)),IFERROR(INDEX(EvID,MATCH(INT($C78),EvDate,0)),""))))</f>
        <v/>
      </c>
      <c r="C78" s="15">
        <f>IF($W78="","",INDEX(FormData,$W78,f_Time))</f>
        <v/>
      </c>
      <c r="D78" s="14">
        <f>IF($W78="","",IFERROR(UPPER(LEFT(TRIM(INDEX(FormData,$W78,f_Name)),1)&amp;IFERROR(MID(TRIM(INDEX(FormData,$W78,f_Name)),FIND("^",SUBSTITUTE(TRIM(INDEX(FormData,$W78,f_Name))," ","^",LEN(TRIM(INDEX(FormData,$W78,f_Name)))-LEN(SUBSTITUTE(TRIM(INDEX(FormData,$W78,f_Name))," ",""))))+1,1),"")),""))</f>
        <v/>
      </c>
      <c r="E78" s="16">
        <f>IF($W78="","",IFERROR(IF(SUMPRODUCT(MAX((WhoKW&lt;&gt;"")*ISNUMBER(SEARCH(WhoKW,INDEX(FormData,$W78,f_Who)&amp;""))*(ROW(WhoKW)-MIN(ROW(WhoKW))+1)))=0,"",INDEX(WhoVal,SUMPRODUCT(MAX((WhoKW&lt;&gt;"")*ISNUMBER(SEARCH(WhoKW,INDEX(FormData,$W78,f_Who)&amp;""))*(ROW(WhoKW)-MIN(ROW(WhoKW))+1))))),""))</f>
        <v/>
      </c>
      <c r="F78" s="17">
        <f>IF($W78="","",TRIM(IFERROR(INDEX(FormData,$W78,f_Org1)&amp;"","")&amp;" "&amp;IFERROR(INDEX(FormData,$W78,f_Org2)&amp;"","")))</f>
        <v/>
      </c>
      <c r="G78" s="16">
        <f>IF($W78="","",IFERROR(INDEX(FormData,$W78,f_Region)&amp;"",""))</f>
        <v/>
      </c>
      <c r="H78" s="16">
        <f>IF($W78="","",IFERROR(IF(SUMPRODUCT(MAX((SitKW&lt;&gt;"")*ISNUMBER(SEARCH(SitKW,INDEX(FormData,$W78,f_Sit)&amp;""))*(ROW(SitKW)-MIN(ROW(SitKW))+1)))=0,"",INDEX(SitVal,SUMPRODUCT(MAX((SitKW&lt;&gt;"")*ISNUMBER(SEARCH(SitKW,INDEX(FormData,$W78,f_Sit)&amp;""))*(ROW(SitKW)-MIN(ROW(SitKW))+1))))),""))</f>
        <v/>
      </c>
      <c r="I78" s="14">
        <f>IF($W78="","",IFERROR(INDEX(FormData,$W78,f_Appr)&amp;"",""))</f>
        <v/>
      </c>
      <c r="J78" s="16">
        <f>IF($W78="","",IFERROR(INDEX(FormData,$W78,f_Trade)&amp;"",""))</f>
        <v/>
      </c>
      <c r="K78" s="16" t="n"/>
      <c r="L78" s="17" t="n"/>
      <c r="M78" s="16" t="n"/>
      <c r="N78" s="17" t="n"/>
      <c r="O78" s="14" t="n"/>
      <c r="P78" s="14" t="n"/>
      <c r="Q78" s="18" t="n"/>
      <c r="R78" s="18" t="n"/>
      <c r="S78" s="13">
        <f>IF($P78&lt;&gt;"✓","",IF($R78&lt;&gt;"","Done",IF($Q78="","Open — no date",IF($Q78&lt;TODAY(),"Overdue",IF($Q78-TODAY()&lt;=DueSoon,"Due soon","Scheduled")))))</f>
        <v/>
      </c>
      <c r="T78" s="14">
        <f>IF($W78="","",IFERROR(IF(INDEX(FormData,$W78,f_Consent)&amp;""="","",IF(ISNUMBER(SEARCH("yes",INDEX(FormData,$W78,f_Consent))),"Yes","No")),""))</f>
        <v/>
      </c>
      <c r="U78" s="14" t="n"/>
      <c r="V78" s="13">
        <f>IF($U78="","",IF($W78="","not found","✓"))</f>
        <v/>
      </c>
      <c r="W78">
        <f>IF($U78="","",IFERROR(MATCH($U78,INDEX(FormData,0,f_Id),0),IFERROR(MATCH(--$U78,INDEX(FormData,0,f_Id),0),IFERROR(MATCH($U78&amp;"",INDEX(FormData,0,f_Id),0),""))))</f>
        <v/>
      </c>
      <c r="X78">
        <f>IF(AND($B78&lt;&gt;"",$B78='Event Report'!$C$3),ROW(),"")</f>
        <v/>
      </c>
      <c r="Y78">
        <f>IF(AND($P78="✓",$R78=""),IF($Q78="",90000,$Q78)+ROW()/100000,"")</f>
        <v/>
      </c>
      <c r="Z78">
        <f>IF(OR($U78&lt;&gt;"",$D78&lt;&gt;"",$E78&lt;&gt;"",$N78&lt;&gt;""),1,"")</f>
        <v/>
      </c>
    </row>
    <row r="79">
      <c r="A79" s="13" t="inlineStr">
        <is>
          <t>P-0075</t>
        </is>
      </c>
      <c r="B79" s="14">
        <f>IF(AND($U79="",$C79=""),"",IFERROR(INDEX(EvID,MATCH(INDEX(FormData,$W79,f_Event),EvID,0)),IFERROR(INDEX(EvID,MATCH(INDEX(FormData,$W79,f_Event),EvName,0)),IFERROR(INDEX(EvID,MATCH(INT($C79),EvDate,0)),""))))</f>
        <v/>
      </c>
      <c r="C79" s="15">
        <f>IF($W79="","",INDEX(FormData,$W79,f_Time))</f>
        <v/>
      </c>
      <c r="D79" s="14">
        <f>IF($W79="","",IFERROR(UPPER(LEFT(TRIM(INDEX(FormData,$W79,f_Name)),1)&amp;IFERROR(MID(TRIM(INDEX(FormData,$W79,f_Name)),FIND("^",SUBSTITUTE(TRIM(INDEX(FormData,$W79,f_Name))," ","^",LEN(TRIM(INDEX(FormData,$W79,f_Name)))-LEN(SUBSTITUTE(TRIM(INDEX(FormData,$W79,f_Name))," ",""))))+1,1),"")),""))</f>
        <v/>
      </c>
      <c r="E79" s="16">
        <f>IF($W79="","",IFERROR(IF(SUMPRODUCT(MAX((WhoKW&lt;&gt;"")*ISNUMBER(SEARCH(WhoKW,INDEX(FormData,$W79,f_Who)&amp;""))*(ROW(WhoKW)-MIN(ROW(WhoKW))+1)))=0,"",INDEX(WhoVal,SUMPRODUCT(MAX((WhoKW&lt;&gt;"")*ISNUMBER(SEARCH(WhoKW,INDEX(FormData,$W79,f_Who)&amp;""))*(ROW(WhoKW)-MIN(ROW(WhoKW))+1))))),""))</f>
        <v/>
      </c>
      <c r="F79" s="17">
        <f>IF($W79="","",TRIM(IFERROR(INDEX(FormData,$W79,f_Org1)&amp;"","")&amp;" "&amp;IFERROR(INDEX(FormData,$W79,f_Org2)&amp;"","")))</f>
        <v/>
      </c>
      <c r="G79" s="16">
        <f>IF($W79="","",IFERROR(INDEX(FormData,$W79,f_Region)&amp;"",""))</f>
        <v/>
      </c>
      <c r="H79" s="16">
        <f>IF($W79="","",IFERROR(IF(SUMPRODUCT(MAX((SitKW&lt;&gt;"")*ISNUMBER(SEARCH(SitKW,INDEX(FormData,$W79,f_Sit)&amp;""))*(ROW(SitKW)-MIN(ROW(SitKW))+1)))=0,"",INDEX(SitVal,SUMPRODUCT(MAX((SitKW&lt;&gt;"")*ISNUMBER(SEARCH(SitKW,INDEX(FormData,$W79,f_Sit)&amp;""))*(ROW(SitKW)-MIN(ROW(SitKW))+1))))),""))</f>
        <v/>
      </c>
      <c r="I79" s="14">
        <f>IF($W79="","",IFERROR(INDEX(FormData,$W79,f_Appr)&amp;"",""))</f>
        <v/>
      </c>
      <c r="J79" s="16">
        <f>IF($W79="","",IFERROR(INDEX(FormData,$W79,f_Trade)&amp;"",""))</f>
        <v/>
      </c>
      <c r="K79" s="16" t="n"/>
      <c r="L79" s="17" t="n"/>
      <c r="M79" s="16" t="n"/>
      <c r="N79" s="17" t="n"/>
      <c r="O79" s="14" t="n"/>
      <c r="P79" s="14" t="n"/>
      <c r="Q79" s="18" t="n"/>
      <c r="R79" s="18" t="n"/>
      <c r="S79" s="13">
        <f>IF($P79&lt;&gt;"✓","",IF($R79&lt;&gt;"","Done",IF($Q79="","Open — no date",IF($Q79&lt;TODAY(),"Overdue",IF($Q79-TODAY()&lt;=DueSoon,"Due soon","Scheduled")))))</f>
        <v/>
      </c>
      <c r="T79" s="14">
        <f>IF($W79="","",IFERROR(IF(INDEX(FormData,$W79,f_Consent)&amp;""="","",IF(ISNUMBER(SEARCH("yes",INDEX(FormData,$W79,f_Consent))),"Yes","No")),""))</f>
        <v/>
      </c>
      <c r="U79" s="14" t="n"/>
      <c r="V79" s="13">
        <f>IF($U79="","",IF($W79="","not found","✓"))</f>
        <v/>
      </c>
      <c r="W79">
        <f>IF($U79="","",IFERROR(MATCH($U79,INDEX(FormData,0,f_Id),0),IFERROR(MATCH(--$U79,INDEX(FormData,0,f_Id),0),IFERROR(MATCH($U79&amp;"",INDEX(FormData,0,f_Id),0),""))))</f>
        <v/>
      </c>
      <c r="X79">
        <f>IF(AND($B79&lt;&gt;"",$B79='Event Report'!$C$3),ROW(),"")</f>
        <v/>
      </c>
      <c r="Y79">
        <f>IF(AND($P79="✓",$R79=""),IF($Q79="",90000,$Q79)+ROW()/100000,"")</f>
        <v/>
      </c>
      <c r="Z79">
        <f>IF(OR($U79&lt;&gt;"",$D79&lt;&gt;"",$E79&lt;&gt;"",$N79&lt;&gt;""),1,"")</f>
        <v/>
      </c>
    </row>
    <row r="80">
      <c r="A80" s="13" t="inlineStr">
        <is>
          <t>P-0076</t>
        </is>
      </c>
      <c r="B80" s="14">
        <f>IF(AND($U80="",$C80=""),"",IFERROR(INDEX(EvID,MATCH(INDEX(FormData,$W80,f_Event),EvID,0)),IFERROR(INDEX(EvID,MATCH(INDEX(FormData,$W80,f_Event),EvName,0)),IFERROR(INDEX(EvID,MATCH(INT($C80),EvDate,0)),""))))</f>
        <v/>
      </c>
      <c r="C80" s="15">
        <f>IF($W80="","",INDEX(FormData,$W80,f_Time))</f>
        <v/>
      </c>
      <c r="D80" s="14">
        <f>IF($W80="","",IFERROR(UPPER(LEFT(TRIM(INDEX(FormData,$W80,f_Name)),1)&amp;IFERROR(MID(TRIM(INDEX(FormData,$W80,f_Name)),FIND("^",SUBSTITUTE(TRIM(INDEX(FormData,$W80,f_Name))," ","^",LEN(TRIM(INDEX(FormData,$W80,f_Name)))-LEN(SUBSTITUTE(TRIM(INDEX(FormData,$W80,f_Name))," ",""))))+1,1),"")),""))</f>
        <v/>
      </c>
      <c r="E80" s="16">
        <f>IF($W80="","",IFERROR(IF(SUMPRODUCT(MAX((WhoKW&lt;&gt;"")*ISNUMBER(SEARCH(WhoKW,INDEX(FormData,$W80,f_Who)&amp;""))*(ROW(WhoKW)-MIN(ROW(WhoKW))+1)))=0,"",INDEX(WhoVal,SUMPRODUCT(MAX((WhoKW&lt;&gt;"")*ISNUMBER(SEARCH(WhoKW,INDEX(FormData,$W80,f_Who)&amp;""))*(ROW(WhoKW)-MIN(ROW(WhoKW))+1))))),""))</f>
        <v/>
      </c>
      <c r="F80" s="17">
        <f>IF($W80="","",TRIM(IFERROR(INDEX(FormData,$W80,f_Org1)&amp;"","")&amp;" "&amp;IFERROR(INDEX(FormData,$W80,f_Org2)&amp;"","")))</f>
        <v/>
      </c>
      <c r="G80" s="16">
        <f>IF($W80="","",IFERROR(INDEX(FormData,$W80,f_Region)&amp;"",""))</f>
        <v/>
      </c>
      <c r="H80" s="16">
        <f>IF($W80="","",IFERROR(IF(SUMPRODUCT(MAX((SitKW&lt;&gt;"")*ISNUMBER(SEARCH(SitKW,INDEX(FormData,$W80,f_Sit)&amp;""))*(ROW(SitKW)-MIN(ROW(SitKW))+1)))=0,"",INDEX(SitVal,SUMPRODUCT(MAX((SitKW&lt;&gt;"")*ISNUMBER(SEARCH(SitKW,INDEX(FormData,$W80,f_Sit)&amp;""))*(ROW(SitKW)-MIN(ROW(SitKW))+1))))),""))</f>
        <v/>
      </c>
      <c r="I80" s="14">
        <f>IF($W80="","",IFERROR(INDEX(FormData,$W80,f_Appr)&amp;"",""))</f>
        <v/>
      </c>
      <c r="J80" s="16">
        <f>IF($W80="","",IFERROR(INDEX(FormData,$W80,f_Trade)&amp;"",""))</f>
        <v/>
      </c>
      <c r="K80" s="16" t="n"/>
      <c r="L80" s="17" t="n"/>
      <c r="M80" s="16" t="n"/>
      <c r="N80" s="17" t="n"/>
      <c r="O80" s="14" t="n"/>
      <c r="P80" s="14" t="n"/>
      <c r="Q80" s="18" t="n"/>
      <c r="R80" s="18" t="n"/>
      <c r="S80" s="13">
        <f>IF($P80&lt;&gt;"✓","",IF($R80&lt;&gt;"","Done",IF($Q80="","Open — no date",IF($Q80&lt;TODAY(),"Overdue",IF($Q80-TODAY()&lt;=DueSoon,"Due soon","Scheduled")))))</f>
        <v/>
      </c>
      <c r="T80" s="14">
        <f>IF($W80="","",IFERROR(IF(INDEX(FormData,$W80,f_Consent)&amp;""="","",IF(ISNUMBER(SEARCH("yes",INDEX(FormData,$W80,f_Consent))),"Yes","No")),""))</f>
        <v/>
      </c>
      <c r="U80" s="14" t="n"/>
      <c r="V80" s="13">
        <f>IF($U80="","",IF($W80="","not found","✓"))</f>
        <v/>
      </c>
      <c r="W80">
        <f>IF($U80="","",IFERROR(MATCH($U80,INDEX(FormData,0,f_Id),0),IFERROR(MATCH(--$U80,INDEX(FormData,0,f_Id),0),IFERROR(MATCH($U80&amp;"",INDEX(FormData,0,f_Id),0),""))))</f>
        <v/>
      </c>
      <c r="X80">
        <f>IF(AND($B80&lt;&gt;"",$B80='Event Report'!$C$3),ROW(),"")</f>
        <v/>
      </c>
      <c r="Y80">
        <f>IF(AND($P80="✓",$R80=""),IF($Q80="",90000,$Q80)+ROW()/100000,"")</f>
        <v/>
      </c>
      <c r="Z80">
        <f>IF(OR($U80&lt;&gt;"",$D80&lt;&gt;"",$E80&lt;&gt;"",$N80&lt;&gt;""),1,"")</f>
        <v/>
      </c>
    </row>
    <row r="81">
      <c r="A81" s="13" t="inlineStr">
        <is>
          <t>P-0077</t>
        </is>
      </c>
      <c r="B81" s="14">
        <f>IF(AND($U81="",$C81=""),"",IFERROR(INDEX(EvID,MATCH(INDEX(FormData,$W81,f_Event),EvID,0)),IFERROR(INDEX(EvID,MATCH(INDEX(FormData,$W81,f_Event),EvName,0)),IFERROR(INDEX(EvID,MATCH(INT($C81),EvDate,0)),""))))</f>
        <v/>
      </c>
      <c r="C81" s="15">
        <f>IF($W81="","",INDEX(FormData,$W81,f_Time))</f>
        <v/>
      </c>
      <c r="D81" s="14">
        <f>IF($W81="","",IFERROR(UPPER(LEFT(TRIM(INDEX(FormData,$W81,f_Name)),1)&amp;IFERROR(MID(TRIM(INDEX(FormData,$W81,f_Name)),FIND("^",SUBSTITUTE(TRIM(INDEX(FormData,$W81,f_Name))," ","^",LEN(TRIM(INDEX(FormData,$W81,f_Name)))-LEN(SUBSTITUTE(TRIM(INDEX(FormData,$W81,f_Name))," ",""))))+1,1),"")),""))</f>
        <v/>
      </c>
      <c r="E81" s="16">
        <f>IF($W81="","",IFERROR(IF(SUMPRODUCT(MAX((WhoKW&lt;&gt;"")*ISNUMBER(SEARCH(WhoKW,INDEX(FormData,$W81,f_Who)&amp;""))*(ROW(WhoKW)-MIN(ROW(WhoKW))+1)))=0,"",INDEX(WhoVal,SUMPRODUCT(MAX((WhoKW&lt;&gt;"")*ISNUMBER(SEARCH(WhoKW,INDEX(FormData,$W81,f_Who)&amp;""))*(ROW(WhoKW)-MIN(ROW(WhoKW))+1))))),""))</f>
        <v/>
      </c>
      <c r="F81" s="17">
        <f>IF($W81="","",TRIM(IFERROR(INDEX(FormData,$W81,f_Org1)&amp;"","")&amp;" "&amp;IFERROR(INDEX(FormData,$W81,f_Org2)&amp;"","")))</f>
        <v/>
      </c>
      <c r="G81" s="16">
        <f>IF($W81="","",IFERROR(INDEX(FormData,$W81,f_Region)&amp;"",""))</f>
        <v/>
      </c>
      <c r="H81" s="16">
        <f>IF($W81="","",IFERROR(IF(SUMPRODUCT(MAX((SitKW&lt;&gt;"")*ISNUMBER(SEARCH(SitKW,INDEX(FormData,$W81,f_Sit)&amp;""))*(ROW(SitKW)-MIN(ROW(SitKW))+1)))=0,"",INDEX(SitVal,SUMPRODUCT(MAX((SitKW&lt;&gt;"")*ISNUMBER(SEARCH(SitKW,INDEX(FormData,$W81,f_Sit)&amp;""))*(ROW(SitKW)-MIN(ROW(SitKW))+1))))),""))</f>
        <v/>
      </c>
      <c r="I81" s="14">
        <f>IF($W81="","",IFERROR(INDEX(FormData,$W81,f_Appr)&amp;"",""))</f>
        <v/>
      </c>
      <c r="J81" s="16">
        <f>IF($W81="","",IFERROR(INDEX(FormData,$W81,f_Trade)&amp;"",""))</f>
        <v/>
      </c>
      <c r="K81" s="16" t="n"/>
      <c r="L81" s="17" t="n"/>
      <c r="M81" s="16" t="n"/>
      <c r="N81" s="17" t="n"/>
      <c r="O81" s="14" t="n"/>
      <c r="P81" s="14" t="n"/>
      <c r="Q81" s="18" t="n"/>
      <c r="R81" s="18" t="n"/>
      <c r="S81" s="13">
        <f>IF($P81&lt;&gt;"✓","",IF($R81&lt;&gt;"","Done",IF($Q81="","Open — no date",IF($Q81&lt;TODAY(),"Overdue",IF($Q81-TODAY()&lt;=DueSoon,"Due soon","Scheduled")))))</f>
        <v/>
      </c>
      <c r="T81" s="14">
        <f>IF($W81="","",IFERROR(IF(INDEX(FormData,$W81,f_Consent)&amp;""="","",IF(ISNUMBER(SEARCH("yes",INDEX(FormData,$W81,f_Consent))),"Yes","No")),""))</f>
        <v/>
      </c>
      <c r="U81" s="14" t="n"/>
      <c r="V81" s="13">
        <f>IF($U81="","",IF($W81="","not found","✓"))</f>
        <v/>
      </c>
      <c r="W81">
        <f>IF($U81="","",IFERROR(MATCH($U81,INDEX(FormData,0,f_Id),0),IFERROR(MATCH(--$U81,INDEX(FormData,0,f_Id),0),IFERROR(MATCH($U81&amp;"",INDEX(FormData,0,f_Id),0),""))))</f>
        <v/>
      </c>
      <c r="X81">
        <f>IF(AND($B81&lt;&gt;"",$B81='Event Report'!$C$3),ROW(),"")</f>
        <v/>
      </c>
      <c r="Y81">
        <f>IF(AND($P81="✓",$R81=""),IF($Q81="",90000,$Q81)+ROW()/100000,"")</f>
        <v/>
      </c>
      <c r="Z81">
        <f>IF(OR($U81&lt;&gt;"",$D81&lt;&gt;"",$E81&lt;&gt;"",$N81&lt;&gt;""),1,"")</f>
        <v/>
      </c>
    </row>
    <row r="82">
      <c r="A82" s="13" t="inlineStr">
        <is>
          <t>P-0078</t>
        </is>
      </c>
      <c r="B82" s="14">
        <f>IF(AND($U82="",$C82=""),"",IFERROR(INDEX(EvID,MATCH(INDEX(FormData,$W82,f_Event),EvID,0)),IFERROR(INDEX(EvID,MATCH(INDEX(FormData,$W82,f_Event),EvName,0)),IFERROR(INDEX(EvID,MATCH(INT($C82),EvDate,0)),""))))</f>
        <v/>
      </c>
      <c r="C82" s="15">
        <f>IF($W82="","",INDEX(FormData,$W82,f_Time))</f>
        <v/>
      </c>
      <c r="D82" s="14">
        <f>IF($W82="","",IFERROR(UPPER(LEFT(TRIM(INDEX(FormData,$W82,f_Name)),1)&amp;IFERROR(MID(TRIM(INDEX(FormData,$W82,f_Name)),FIND("^",SUBSTITUTE(TRIM(INDEX(FormData,$W82,f_Name))," ","^",LEN(TRIM(INDEX(FormData,$W82,f_Name)))-LEN(SUBSTITUTE(TRIM(INDEX(FormData,$W82,f_Name))," ",""))))+1,1),"")),""))</f>
        <v/>
      </c>
      <c r="E82" s="16">
        <f>IF($W82="","",IFERROR(IF(SUMPRODUCT(MAX((WhoKW&lt;&gt;"")*ISNUMBER(SEARCH(WhoKW,INDEX(FormData,$W82,f_Who)&amp;""))*(ROW(WhoKW)-MIN(ROW(WhoKW))+1)))=0,"",INDEX(WhoVal,SUMPRODUCT(MAX((WhoKW&lt;&gt;"")*ISNUMBER(SEARCH(WhoKW,INDEX(FormData,$W82,f_Who)&amp;""))*(ROW(WhoKW)-MIN(ROW(WhoKW))+1))))),""))</f>
        <v/>
      </c>
      <c r="F82" s="17">
        <f>IF($W82="","",TRIM(IFERROR(INDEX(FormData,$W82,f_Org1)&amp;"","")&amp;" "&amp;IFERROR(INDEX(FormData,$W82,f_Org2)&amp;"","")))</f>
        <v/>
      </c>
      <c r="G82" s="16">
        <f>IF($W82="","",IFERROR(INDEX(FormData,$W82,f_Region)&amp;"",""))</f>
        <v/>
      </c>
      <c r="H82" s="16">
        <f>IF($W82="","",IFERROR(IF(SUMPRODUCT(MAX((SitKW&lt;&gt;"")*ISNUMBER(SEARCH(SitKW,INDEX(FormData,$W82,f_Sit)&amp;""))*(ROW(SitKW)-MIN(ROW(SitKW))+1)))=0,"",INDEX(SitVal,SUMPRODUCT(MAX((SitKW&lt;&gt;"")*ISNUMBER(SEARCH(SitKW,INDEX(FormData,$W82,f_Sit)&amp;""))*(ROW(SitKW)-MIN(ROW(SitKW))+1))))),""))</f>
        <v/>
      </c>
      <c r="I82" s="14">
        <f>IF($W82="","",IFERROR(INDEX(FormData,$W82,f_Appr)&amp;"",""))</f>
        <v/>
      </c>
      <c r="J82" s="16">
        <f>IF($W82="","",IFERROR(INDEX(FormData,$W82,f_Trade)&amp;"",""))</f>
        <v/>
      </c>
      <c r="K82" s="16" t="n"/>
      <c r="L82" s="17" t="n"/>
      <c r="M82" s="16" t="n"/>
      <c r="N82" s="17" t="n"/>
      <c r="O82" s="14" t="n"/>
      <c r="P82" s="14" t="n"/>
      <c r="Q82" s="18" t="n"/>
      <c r="R82" s="18" t="n"/>
      <c r="S82" s="13">
        <f>IF($P82&lt;&gt;"✓","",IF($R82&lt;&gt;"","Done",IF($Q82="","Open — no date",IF($Q82&lt;TODAY(),"Overdue",IF($Q82-TODAY()&lt;=DueSoon,"Due soon","Scheduled")))))</f>
        <v/>
      </c>
      <c r="T82" s="14">
        <f>IF($W82="","",IFERROR(IF(INDEX(FormData,$W82,f_Consent)&amp;""="","",IF(ISNUMBER(SEARCH("yes",INDEX(FormData,$W82,f_Consent))),"Yes","No")),""))</f>
        <v/>
      </c>
      <c r="U82" s="14" t="n"/>
      <c r="V82" s="13">
        <f>IF($U82="","",IF($W82="","not found","✓"))</f>
        <v/>
      </c>
      <c r="W82">
        <f>IF($U82="","",IFERROR(MATCH($U82,INDEX(FormData,0,f_Id),0),IFERROR(MATCH(--$U82,INDEX(FormData,0,f_Id),0),IFERROR(MATCH($U82&amp;"",INDEX(FormData,0,f_Id),0),""))))</f>
        <v/>
      </c>
      <c r="X82">
        <f>IF(AND($B82&lt;&gt;"",$B82='Event Report'!$C$3),ROW(),"")</f>
        <v/>
      </c>
      <c r="Y82">
        <f>IF(AND($P82="✓",$R82=""),IF($Q82="",90000,$Q82)+ROW()/100000,"")</f>
        <v/>
      </c>
      <c r="Z82">
        <f>IF(OR($U82&lt;&gt;"",$D82&lt;&gt;"",$E82&lt;&gt;"",$N82&lt;&gt;""),1,"")</f>
        <v/>
      </c>
    </row>
    <row r="83">
      <c r="A83" s="13" t="inlineStr">
        <is>
          <t>P-0079</t>
        </is>
      </c>
      <c r="B83" s="14">
        <f>IF(AND($U83="",$C83=""),"",IFERROR(INDEX(EvID,MATCH(INDEX(FormData,$W83,f_Event),EvID,0)),IFERROR(INDEX(EvID,MATCH(INDEX(FormData,$W83,f_Event),EvName,0)),IFERROR(INDEX(EvID,MATCH(INT($C83),EvDate,0)),""))))</f>
        <v/>
      </c>
      <c r="C83" s="15">
        <f>IF($W83="","",INDEX(FormData,$W83,f_Time))</f>
        <v/>
      </c>
      <c r="D83" s="14">
        <f>IF($W83="","",IFERROR(UPPER(LEFT(TRIM(INDEX(FormData,$W83,f_Name)),1)&amp;IFERROR(MID(TRIM(INDEX(FormData,$W83,f_Name)),FIND("^",SUBSTITUTE(TRIM(INDEX(FormData,$W83,f_Name))," ","^",LEN(TRIM(INDEX(FormData,$W83,f_Name)))-LEN(SUBSTITUTE(TRIM(INDEX(FormData,$W83,f_Name))," ",""))))+1,1),"")),""))</f>
        <v/>
      </c>
      <c r="E83" s="16">
        <f>IF($W83="","",IFERROR(IF(SUMPRODUCT(MAX((WhoKW&lt;&gt;"")*ISNUMBER(SEARCH(WhoKW,INDEX(FormData,$W83,f_Who)&amp;""))*(ROW(WhoKW)-MIN(ROW(WhoKW))+1)))=0,"",INDEX(WhoVal,SUMPRODUCT(MAX((WhoKW&lt;&gt;"")*ISNUMBER(SEARCH(WhoKW,INDEX(FormData,$W83,f_Who)&amp;""))*(ROW(WhoKW)-MIN(ROW(WhoKW))+1))))),""))</f>
        <v/>
      </c>
      <c r="F83" s="17">
        <f>IF($W83="","",TRIM(IFERROR(INDEX(FormData,$W83,f_Org1)&amp;"","")&amp;" "&amp;IFERROR(INDEX(FormData,$W83,f_Org2)&amp;"","")))</f>
        <v/>
      </c>
      <c r="G83" s="16">
        <f>IF($W83="","",IFERROR(INDEX(FormData,$W83,f_Region)&amp;"",""))</f>
        <v/>
      </c>
      <c r="H83" s="16">
        <f>IF($W83="","",IFERROR(IF(SUMPRODUCT(MAX((SitKW&lt;&gt;"")*ISNUMBER(SEARCH(SitKW,INDEX(FormData,$W83,f_Sit)&amp;""))*(ROW(SitKW)-MIN(ROW(SitKW))+1)))=0,"",INDEX(SitVal,SUMPRODUCT(MAX((SitKW&lt;&gt;"")*ISNUMBER(SEARCH(SitKW,INDEX(FormData,$W83,f_Sit)&amp;""))*(ROW(SitKW)-MIN(ROW(SitKW))+1))))),""))</f>
        <v/>
      </c>
      <c r="I83" s="14">
        <f>IF($W83="","",IFERROR(INDEX(FormData,$W83,f_Appr)&amp;"",""))</f>
        <v/>
      </c>
      <c r="J83" s="16">
        <f>IF($W83="","",IFERROR(INDEX(FormData,$W83,f_Trade)&amp;"",""))</f>
        <v/>
      </c>
      <c r="K83" s="16" t="n"/>
      <c r="L83" s="17" t="n"/>
      <c r="M83" s="16" t="n"/>
      <c r="N83" s="17" t="n"/>
      <c r="O83" s="14" t="n"/>
      <c r="P83" s="14" t="n"/>
      <c r="Q83" s="18" t="n"/>
      <c r="R83" s="18" t="n"/>
      <c r="S83" s="13">
        <f>IF($P83&lt;&gt;"✓","",IF($R83&lt;&gt;"","Done",IF($Q83="","Open — no date",IF($Q83&lt;TODAY(),"Overdue",IF($Q83-TODAY()&lt;=DueSoon,"Due soon","Scheduled")))))</f>
        <v/>
      </c>
      <c r="T83" s="14">
        <f>IF($W83="","",IFERROR(IF(INDEX(FormData,$W83,f_Consent)&amp;""="","",IF(ISNUMBER(SEARCH("yes",INDEX(FormData,$W83,f_Consent))),"Yes","No")),""))</f>
        <v/>
      </c>
      <c r="U83" s="14" t="n"/>
      <c r="V83" s="13">
        <f>IF($U83="","",IF($W83="","not found","✓"))</f>
        <v/>
      </c>
      <c r="W83">
        <f>IF($U83="","",IFERROR(MATCH($U83,INDEX(FormData,0,f_Id),0),IFERROR(MATCH(--$U83,INDEX(FormData,0,f_Id),0),IFERROR(MATCH($U83&amp;"",INDEX(FormData,0,f_Id),0),""))))</f>
        <v/>
      </c>
      <c r="X83">
        <f>IF(AND($B83&lt;&gt;"",$B83='Event Report'!$C$3),ROW(),"")</f>
        <v/>
      </c>
      <c r="Y83">
        <f>IF(AND($P83="✓",$R83=""),IF($Q83="",90000,$Q83)+ROW()/100000,"")</f>
        <v/>
      </c>
      <c r="Z83">
        <f>IF(OR($U83&lt;&gt;"",$D83&lt;&gt;"",$E83&lt;&gt;"",$N83&lt;&gt;""),1,"")</f>
        <v/>
      </c>
    </row>
    <row r="84">
      <c r="A84" s="13" t="inlineStr">
        <is>
          <t>P-0080</t>
        </is>
      </c>
      <c r="B84" s="14">
        <f>IF(AND($U84="",$C84=""),"",IFERROR(INDEX(EvID,MATCH(INDEX(FormData,$W84,f_Event),EvID,0)),IFERROR(INDEX(EvID,MATCH(INDEX(FormData,$W84,f_Event),EvName,0)),IFERROR(INDEX(EvID,MATCH(INT($C84),EvDate,0)),""))))</f>
        <v/>
      </c>
      <c r="C84" s="15">
        <f>IF($W84="","",INDEX(FormData,$W84,f_Time))</f>
        <v/>
      </c>
      <c r="D84" s="14">
        <f>IF($W84="","",IFERROR(UPPER(LEFT(TRIM(INDEX(FormData,$W84,f_Name)),1)&amp;IFERROR(MID(TRIM(INDEX(FormData,$W84,f_Name)),FIND("^",SUBSTITUTE(TRIM(INDEX(FormData,$W84,f_Name))," ","^",LEN(TRIM(INDEX(FormData,$W84,f_Name)))-LEN(SUBSTITUTE(TRIM(INDEX(FormData,$W84,f_Name))," ",""))))+1,1),"")),""))</f>
        <v/>
      </c>
      <c r="E84" s="16">
        <f>IF($W84="","",IFERROR(IF(SUMPRODUCT(MAX((WhoKW&lt;&gt;"")*ISNUMBER(SEARCH(WhoKW,INDEX(FormData,$W84,f_Who)&amp;""))*(ROW(WhoKW)-MIN(ROW(WhoKW))+1)))=0,"",INDEX(WhoVal,SUMPRODUCT(MAX((WhoKW&lt;&gt;"")*ISNUMBER(SEARCH(WhoKW,INDEX(FormData,$W84,f_Who)&amp;""))*(ROW(WhoKW)-MIN(ROW(WhoKW))+1))))),""))</f>
        <v/>
      </c>
      <c r="F84" s="17">
        <f>IF($W84="","",TRIM(IFERROR(INDEX(FormData,$W84,f_Org1)&amp;"","")&amp;" "&amp;IFERROR(INDEX(FormData,$W84,f_Org2)&amp;"","")))</f>
        <v/>
      </c>
      <c r="G84" s="16">
        <f>IF($W84="","",IFERROR(INDEX(FormData,$W84,f_Region)&amp;"",""))</f>
        <v/>
      </c>
      <c r="H84" s="16">
        <f>IF($W84="","",IFERROR(IF(SUMPRODUCT(MAX((SitKW&lt;&gt;"")*ISNUMBER(SEARCH(SitKW,INDEX(FormData,$W84,f_Sit)&amp;""))*(ROW(SitKW)-MIN(ROW(SitKW))+1)))=0,"",INDEX(SitVal,SUMPRODUCT(MAX((SitKW&lt;&gt;"")*ISNUMBER(SEARCH(SitKW,INDEX(FormData,$W84,f_Sit)&amp;""))*(ROW(SitKW)-MIN(ROW(SitKW))+1))))),""))</f>
        <v/>
      </c>
      <c r="I84" s="14">
        <f>IF($W84="","",IFERROR(INDEX(FormData,$W84,f_Appr)&amp;"",""))</f>
        <v/>
      </c>
      <c r="J84" s="16">
        <f>IF($W84="","",IFERROR(INDEX(FormData,$W84,f_Trade)&amp;"",""))</f>
        <v/>
      </c>
      <c r="K84" s="16" t="n"/>
      <c r="L84" s="17" t="n"/>
      <c r="M84" s="16" t="n"/>
      <c r="N84" s="17" t="n"/>
      <c r="O84" s="14" t="n"/>
      <c r="P84" s="14" t="n"/>
      <c r="Q84" s="18" t="n"/>
      <c r="R84" s="18" t="n"/>
      <c r="S84" s="13">
        <f>IF($P84&lt;&gt;"✓","",IF($R84&lt;&gt;"","Done",IF($Q84="","Open — no date",IF($Q84&lt;TODAY(),"Overdue",IF($Q84-TODAY()&lt;=DueSoon,"Due soon","Scheduled")))))</f>
        <v/>
      </c>
      <c r="T84" s="14">
        <f>IF($W84="","",IFERROR(IF(INDEX(FormData,$W84,f_Consent)&amp;""="","",IF(ISNUMBER(SEARCH("yes",INDEX(FormData,$W84,f_Consent))),"Yes","No")),""))</f>
        <v/>
      </c>
      <c r="U84" s="14" t="n"/>
      <c r="V84" s="13">
        <f>IF($U84="","",IF($W84="","not found","✓"))</f>
        <v/>
      </c>
      <c r="W84">
        <f>IF($U84="","",IFERROR(MATCH($U84,INDEX(FormData,0,f_Id),0),IFERROR(MATCH(--$U84,INDEX(FormData,0,f_Id),0),IFERROR(MATCH($U84&amp;"",INDEX(FormData,0,f_Id),0),""))))</f>
        <v/>
      </c>
      <c r="X84">
        <f>IF(AND($B84&lt;&gt;"",$B84='Event Report'!$C$3),ROW(),"")</f>
        <v/>
      </c>
      <c r="Y84">
        <f>IF(AND($P84="✓",$R84=""),IF($Q84="",90000,$Q84)+ROW()/100000,"")</f>
        <v/>
      </c>
      <c r="Z84">
        <f>IF(OR($U84&lt;&gt;"",$D84&lt;&gt;"",$E84&lt;&gt;"",$N84&lt;&gt;""),1,"")</f>
        <v/>
      </c>
    </row>
    <row r="85">
      <c r="A85" s="13" t="inlineStr">
        <is>
          <t>P-0081</t>
        </is>
      </c>
      <c r="B85" s="14">
        <f>IF(AND($U85="",$C85=""),"",IFERROR(INDEX(EvID,MATCH(INDEX(FormData,$W85,f_Event),EvID,0)),IFERROR(INDEX(EvID,MATCH(INDEX(FormData,$W85,f_Event),EvName,0)),IFERROR(INDEX(EvID,MATCH(INT($C85),EvDate,0)),""))))</f>
        <v/>
      </c>
      <c r="C85" s="15">
        <f>IF($W85="","",INDEX(FormData,$W85,f_Time))</f>
        <v/>
      </c>
      <c r="D85" s="14">
        <f>IF($W85="","",IFERROR(UPPER(LEFT(TRIM(INDEX(FormData,$W85,f_Name)),1)&amp;IFERROR(MID(TRIM(INDEX(FormData,$W85,f_Name)),FIND("^",SUBSTITUTE(TRIM(INDEX(FormData,$W85,f_Name))," ","^",LEN(TRIM(INDEX(FormData,$W85,f_Name)))-LEN(SUBSTITUTE(TRIM(INDEX(FormData,$W85,f_Name))," ",""))))+1,1),"")),""))</f>
        <v/>
      </c>
      <c r="E85" s="16">
        <f>IF($W85="","",IFERROR(IF(SUMPRODUCT(MAX((WhoKW&lt;&gt;"")*ISNUMBER(SEARCH(WhoKW,INDEX(FormData,$W85,f_Who)&amp;""))*(ROW(WhoKW)-MIN(ROW(WhoKW))+1)))=0,"",INDEX(WhoVal,SUMPRODUCT(MAX((WhoKW&lt;&gt;"")*ISNUMBER(SEARCH(WhoKW,INDEX(FormData,$W85,f_Who)&amp;""))*(ROW(WhoKW)-MIN(ROW(WhoKW))+1))))),""))</f>
        <v/>
      </c>
      <c r="F85" s="17">
        <f>IF($W85="","",TRIM(IFERROR(INDEX(FormData,$W85,f_Org1)&amp;"","")&amp;" "&amp;IFERROR(INDEX(FormData,$W85,f_Org2)&amp;"","")))</f>
        <v/>
      </c>
      <c r="G85" s="16">
        <f>IF($W85="","",IFERROR(INDEX(FormData,$W85,f_Region)&amp;"",""))</f>
        <v/>
      </c>
      <c r="H85" s="16">
        <f>IF($W85="","",IFERROR(IF(SUMPRODUCT(MAX((SitKW&lt;&gt;"")*ISNUMBER(SEARCH(SitKW,INDEX(FormData,$W85,f_Sit)&amp;""))*(ROW(SitKW)-MIN(ROW(SitKW))+1)))=0,"",INDEX(SitVal,SUMPRODUCT(MAX((SitKW&lt;&gt;"")*ISNUMBER(SEARCH(SitKW,INDEX(FormData,$W85,f_Sit)&amp;""))*(ROW(SitKW)-MIN(ROW(SitKW))+1))))),""))</f>
        <v/>
      </c>
      <c r="I85" s="14">
        <f>IF($W85="","",IFERROR(INDEX(FormData,$W85,f_Appr)&amp;"",""))</f>
        <v/>
      </c>
      <c r="J85" s="16">
        <f>IF($W85="","",IFERROR(INDEX(FormData,$W85,f_Trade)&amp;"",""))</f>
        <v/>
      </c>
      <c r="K85" s="16" t="n"/>
      <c r="L85" s="17" t="n"/>
      <c r="M85" s="16" t="n"/>
      <c r="N85" s="17" t="n"/>
      <c r="O85" s="14" t="n"/>
      <c r="P85" s="14" t="n"/>
      <c r="Q85" s="18" t="n"/>
      <c r="R85" s="18" t="n"/>
      <c r="S85" s="13">
        <f>IF($P85&lt;&gt;"✓","",IF($R85&lt;&gt;"","Done",IF($Q85="","Open — no date",IF($Q85&lt;TODAY(),"Overdue",IF($Q85-TODAY()&lt;=DueSoon,"Due soon","Scheduled")))))</f>
        <v/>
      </c>
      <c r="T85" s="14">
        <f>IF($W85="","",IFERROR(IF(INDEX(FormData,$W85,f_Consent)&amp;""="","",IF(ISNUMBER(SEARCH("yes",INDEX(FormData,$W85,f_Consent))),"Yes","No")),""))</f>
        <v/>
      </c>
      <c r="U85" s="14" t="n"/>
      <c r="V85" s="13">
        <f>IF($U85="","",IF($W85="","not found","✓"))</f>
        <v/>
      </c>
      <c r="W85">
        <f>IF($U85="","",IFERROR(MATCH($U85,INDEX(FormData,0,f_Id),0),IFERROR(MATCH(--$U85,INDEX(FormData,0,f_Id),0),IFERROR(MATCH($U85&amp;"",INDEX(FormData,0,f_Id),0),""))))</f>
        <v/>
      </c>
      <c r="X85">
        <f>IF(AND($B85&lt;&gt;"",$B85='Event Report'!$C$3),ROW(),"")</f>
        <v/>
      </c>
      <c r="Y85">
        <f>IF(AND($P85="✓",$R85=""),IF($Q85="",90000,$Q85)+ROW()/100000,"")</f>
        <v/>
      </c>
      <c r="Z85">
        <f>IF(OR($U85&lt;&gt;"",$D85&lt;&gt;"",$E85&lt;&gt;"",$N85&lt;&gt;""),1,"")</f>
        <v/>
      </c>
    </row>
    <row r="86">
      <c r="A86" s="13" t="inlineStr">
        <is>
          <t>P-0082</t>
        </is>
      </c>
      <c r="B86" s="14">
        <f>IF(AND($U86="",$C86=""),"",IFERROR(INDEX(EvID,MATCH(INDEX(FormData,$W86,f_Event),EvID,0)),IFERROR(INDEX(EvID,MATCH(INDEX(FormData,$W86,f_Event),EvName,0)),IFERROR(INDEX(EvID,MATCH(INT($C86),EvDate,0)),""))))</f>
        <v/>
      </c>
      <c r="C86" s="15">
        <f>IF($W86="","",INDEX(FormData,$W86,f_Time))</f>
        <v/>
      </c>
      <c r="D86" s="14">
        <f>IF($W86="","",IFERROR(UPPER(LEFT(TRIM(INDEX(FormData,$W86,f_Name)),1)&amp;IFERROR(MID(TRIM(INDEX(FormData,$W86,f_Name)),FIND("^",SUBSTITUTE(TRIM(INDEX(FormData,$W86,f_Name))," ","^",LEN(TRIM(INDEX(FormData,$W86,f_Name)))-LEN(SUBSTITUTE(TRIM(INDEX(FormData,$W86,f_Name))," ",""))))+1,1),"")),""))</f>
        <v/>
      </c>
      <c r="E86" s="16">
        <f>IF($W86="","",IFERROR(IF(SUMPRODUCT(MAX((WhoKW&lt;&gt;"")*ISNUMBER(SEARCH(WhoKW,INDEX(FormData,$W86,f_Who)&amp;""))*(ROW(WhoKW)-MIN(ROW(WhoKW))+1)))=0,"",INDEX(WhoVal,SUMPRODUCT(MAX((WhoKW&lt;&gt;"")*ISNUMBER(SEARCH(WhoKW,INDEX(FormData,$W86,f_Who)&amp;""))*(ROW(WhoKW)-MIN(ROW(WhoKW))+1))))),""))</f>
        <v/>
      </c>
      <c r="F86" s="17">
        <f>IF($W86="","",TRIM(IFERROR(INDEX(FormData,$W86,f_Org1)&amp;"","")&amp;" "&amp;IFERROR(INDEX(FormData,$W86,f_Org2)&amp;"","")))</f>
        <v/>
      </c>
      <c r="G86" s="16">
        <f>IF($W86="","",IFERROR(INDEX(FormData,$W86,f_Region)&amp;"",""))</f>
        <v/>
      </c>
      <c r="H86" s="16">
        <f>IF($W86="","",IFERROR(IF(SUMPRODUCT(MAX((SitKW&lt;&gt;"")*ISNUMBER(SEARCH(SitKW,INDEX(FormData,$W86,f_Sit)&amp;""))*(ROW(SitKW)-MIN(ROW(SitKW))+1)))=0,"",INDEX(SitVal,SUMPRODUCT(MAX((SitKW&lt;&gt;"")*ISNUMBER(SEARCH(SitKW,INDEX(FormData,$W86,f_Sit)&amp;""))*(ROW(SitKW)-MIN(ROW(SitKW))+1))))),""))</f>
        <v/>
      </c>
      <c r="I86" s="14">
        <f>IF($W86="","",IFERROR(INDEX(FormData,$W86,f_Appr)&amp;"",""))</f>
        <v/>
      </c>
      <c r="J86" s="16">
        <f>IF($W86="","",IFERROR(INDEX(FormData,$W86,f_Trade)&amp;"",""))</f>
        <v/>
      </c>
      <c r="K86" s="16" t="n"/>
      <c r="L86" s="17" t="n"/>
      <c r="M86" s="16" t="n"/>
      <c r="N86" s="17" t="n"/>
      <c r="O86" s="14" t="n"/>
      <c r="P86" s="14" t="n"/>
      <c r="Q86" s="18" t="n"/>
      <c r="R86" s="18" t="n"/>
      <c r="S86" s="13">
        <f>IF($P86&lt;&gt;"✓","",IF($R86&lt;&gt;"","Done",IF($Q86="","Open — no date",IF($Q86&lt;TODAY(),"Overdue",IF($Q86-TODAY()&lt;=DueSoon,"Due soon","Scheduled")))))</f>
        <v/>
      </c>
      <c r="T86" s="14">
        <f>IF($W86="","",IFERROR(IF(INDEX(FormData,$W86,f_Consent)&amp;""="","",IF(ISNUMBER(SEARCH("yes",INDEX(FormData,$W86,f_Consent))),"Yes","No")),""))</f>
        <v/>
      </c>
      <c r="U86" s="14" t="n"/>
      <c r="V86" s="13">
        <f>IF($U86="","",IF($W86="","not found","✓"))</f>
        <v/>
      </c>
      <c r="W86">
        <f>IF($U86="","",IFERROR(MATCH($U86,INDEX(FormData,0,f_Id),0),IFERROR(MATCH(--$U86,INDEX(FormData,0,f_Id),0),IFERROR(MATCH($U86&amp;"",INDEX(FormData,0,f_Id),0),""))))</f>
        <v/>
      </c>
      <c r="X86">
        <f>IF(AND($B86&lt;&gt;"",$B86='Event Report'!$C$3),ROW(),"")</f>
        <v/>
      </c>
      <c r="Y86">
        <f>IF(AND($P86="✓",$R86=""),IF($Q86="",90000,$Q86)+ROW()/100000,"")</f>
        <v/>
      </c>
      <c r="Z86">
        <f>IF(OR($U86&lt;&gt;"",$D86&lt;&gt;"",$E86&lt;&gt;"",$N86&lt;&gt;""),1,"")</f>
        <v/>
      </c>
    </row>
    <row r="87">
      <c r="A87" s="13" t="inlineStr">
        <is>
          <t>P-0083</t>
        </is>
      </c>
      <c r="B87" s="14">
        <f>IF(AND($U87="",$C87=""),"",IFERROR(INDEX(EvID,MATCH(INDEX(FormData,$W87,f_Event),EvID,0)),IFERROR(INDEX(EvID,MATCH(INDEX(FormData,$W87,f_Event),EvName,0)),IFERROR(INDEX(EvID,MATCH(INT($C87),EvDate,0)),""))))</f>
        <v/>
      </c>
      <c r="C87" s="15">
        <f>IF($W87="","",INDEX(FormData,$W87,f_Time))</f>
        <v/>
      </c>
      <c r="D87" s="14">
        <f>IF($W87="","",IFERROR(UPPER(LEFT(TRIM(INDEX(FormData,$W87,f_Name)),1)&amp;IFERROR(MID(TRIM(INDEX(FormData,$W87,f_Name)),FIND("^",SUBSTITUTE(TRIM(INDEX(FormData,$W87,f_Name))," ","^",LEN(TRIM(INDEX(FormData,$W87,f_Name)))-LEN(SUBSTITUTE(TRIM(INDEX(FormData,$W87,f_Name))," ",""))))+1,1),"")),""))</f>
        <v/>
      </c>
      <c r="E87" s="16">
        <f>IF($W87="","",IFERROR(IF(SUMPRODUCT(MAX((WhoKW&lt;&gt;"")*ISNUMBER(SEARCH(WhoKW,INDEX(FormData,$W87,f_Who)&amp;""))*(ROW(WhoKW)-MIN(ROW(WhoKW))+1)))=0,"",INDEX(WhoVal,SUMPRODUCT(MAX((WhoKW&lt;&gt;"")*ISNUMBER(SEARCH(WhoKW,INDEX(FormData,$W87,f_Who)&amp;""))*(ROW(WhoKW)-MIN(ROW(WhoKW))+1))))),""))</f>
        <v/>
      </c>
      <c r="F87" s="17">
        <f>IF($W87="","",TRIM(IFERROR(INDEX(FormData,$W87,f_Org1)&amp;"","")&amp;" "&amp;IFERROR(INDEX(FormData,$W87,f_Org2)&amp;"","")))</f>
        <v/>
      </c>
      <c r="G87" s="16">
        <f>IF($W87="","",IFERROR(INDEX(FormData,$W87,f_Region)&amp;"",""))</f>
        <v/>
      </c>
      <c r="H87" s="16">
        <f>IF($W87="","",IFERROR(IF(SUMPRODUCT(MAX((SitKW&lt;&gt;"")*ISNUMBER(SEARCH(SitKW,INDEX(FormData,$W87,f_Sit)&amp;""))*(ROW(SitKW)-MIN(ROW(SitKW))+1)))=0,"",INDEX(SitVal,SUMPRODUCT(MAX((SitKW&lt;&gt;"")*ISNUMBER(SEARCH(SitKW,INDEX(FormData,$W87,f_Sit)&amp;""))*(ROW(SitKW)-MIN(ROW(SitKW))+1))))),""))</f>
        <v/>
      </c>
      <c r="I87" s="14">
        <f>IF($W87="","",IFERROR(INDEX(FormData,$W87,f_Appr)&amp;"",""))</f>
        <v/>
      </c>
      <c r="J87" s="16">
        <f>IF($W87="","",IFERROR(INDEX(FormData,$W87,f_Trade)&amp;"",""))</f>
        <v/>
      </c>
      <c r="K87" s="16" t="n"/>
      <c r="L87" s="17" t="n"/>
      <c r="M87" s="16" t="n"/>
      <c r="N87" s="17" t="n"/>
      <c r="O87" s="14" t="n"/>
      <c r="P87" s="14" t="n"/>
      <c r="Q87" s="18" t="n"/>
      <c r="R87" s="18" t="n"/>
      <c r="S87" s="13">
        <f>IF($P87&lt;&gt;"✓","",IF($R87&lt;&gt;"","Done",IF($Q87="","Open — no date",IF($Q87&lt;TODAY(),"Overdue",IF($Q87-TODAY()&lt;=DueSoon,"Due soon","Scheduled")))))</f>
        <v/>
      </c>
      <c r="T87" s="14">
        <f>IF($W87="","",IFERROR(IF(INDEX(FormData,$W87,f_Consent)&amp;""="","",IF(ISNUMBER(SEARCH("yes",INDEX(FormData,$W87,f_Consent))),"Yes","No")),""))</f>
        <v/>
      </c>
      <c r="U87" s="14" t="n"/>
      <c r="V87" s="13">
        <f>IF($U87="","",IF($W87="","not found","✓"))</f>
        <v/>
      </c>
      <c r="W87">
        <f>IF($U87="","",IFERROR(MATCH($U87,INDEX(FormData,0,f_Id),0),IFERROR(MATCH(--$U87,INDEX(FormData,0,f_Id),0),IFERROR(MATCH($U87&amp;"",INDEX(FormData,0,f_Id),0),""))))</f>
        <v/>
      </c>
      <c r="X87">
        <f>IF(AND($B87&lt;&gt;"",$B87='Event Report'!$C$3),ROW(),"")</f>
        <v/>
      </c>
      <c r="Y87">
        <f>IF(AND($P87="✓",$R87=""),IF($Q87="",90000,$Q87)+ROW()/100000,"")</f>
        <v/>
      </c>
      <c r="Z87">
        <f>IF(OR($U87&lt;&gt;"",$D87&lt;&gt;"",$E87&lt;&gt;"",$N87&lt;&gt;""),1,"")</f>
        <v/>
      </c>
    </row>
    <row r="88">
      <c r="A88" s="13" t="inlineStr">
        <is>
          <t>P-0084</t>
        </is>
      </c>
      <c r="B88" s="14">
        <f>IF(AND($U88="",$C88=""),"",IFERROR(INDEX(EvID,MATCH(INDEX(FormData,$W88,f_Event),EvID,0)),IFERROR(INDEX(EvID,MATCH(INDEX(FormData,$W88,f_Event),EvName,0)),IFERROR(INDEX(EvID,MATCH(INT($C88),EvDate,0)),""))))</f>
        <v/>
      </c>
      <c r="C88" s="15">
        <f>IF($W88="","",INDEX(FormData,$W88,f_Time))</f>
        <v/>
      </c>
      <c r="D88" s="14">
        <f>IF($W88="","",IFERROR(UPPER(LEFT(TRIM(INDEX(FormData,$W88,f_Name)),1)&amp;IFERROR(MID(TRIM(INDEX(FormData,$W88,f_Name)),FIND("^",SUBSTITUTE(TRIM(INDEX(FormData,$W88,f_Name))," ","^",LEN(TRIM(INDEX(FormData,$W88,f_Name)))-LEN(SUBSTITUTE(TRIM(INDEX(FormData,$W88,f_Name))," ",""))))+1,1),"")),""))</f>
        <v/>
      </c>
      <c r="E88" s="16">
        <f>IF($W88="","",IFERROR(IF(SUMPRODUCT(MAX((WhoKW&lt;&gt;"")*ISNUMBER(SEARCH(WhoKW,INDEX(FormData,$W88,f_Who)&amp;""))*(ROW(WhoKW)-MIN(ROW(WhoKW))+1)))=0,"",INDEX(WhoVal,SUMPRODUCT(MAX((WhoKW&lt;&gt;"")*ISNUMBER(SEARCH(WhoKW,INDEX(FormData,$W88,f_Who)&amp;""))*(ROW(WhoKW)-MIN(ROW(WhoKW))+1))))),""))</f>
        <v/>
      </c>
      <c r="F88" s="17">
        <f>IF($W88="","",TRIM(IFERROR(INDEX(FormData,$W88,f_Org1)&amp;"","")&amp;" "&amp;IFERROR(INDEX(FormData,$W88,f_Org2)&amp;"","")))</f>
        <v/>
      </c>
      <c r="G88" s="16">
        <f>IF($W88="","",IFERROR(INDEX(FormData,$W88,f_Region)&amp;"",""))</f>
        <v/>
      </c>
      <c r="H88" s="16">
        <f>IF($W88="","",IFERROR(IF(SUMPRODUCT(MAX((SitKW&lt;&gt;"")*ISNUMBER(SEARCH(SitKW,INDEX(FormData,$W88,f_Sit)&amp;""))*(ROW(SitKW)-MIN(ROW(SitKW))+1)))=0,"",INDEX(SitVal,SUMPRODUCT(MAX((SitKW&lt;&gt;"")*ISNUMBER(SEARCH(SitKW,INDEX(FormData,$W88,f_Sit)&amp;""))*(ROW(SitKW)-MIN(ROW(SitKW))+1))))),""))</f>
        <v/>
      </c>
      <c r="I88" s="14">
        <f>IF($W88="","",IFERROR(INDEX(FormData,$W88,f_Appr)&amp;"",""))</f>
        <v/>
      </c>
      <c r="J88" s="16">
        <f>IF($W88="","",IFERROR(INDEX(FormData,$W88,f_Trade)&amp;"",""))</f>
        <v/>
      </c>
      <c r="K88" s="16" t="n"/>
      <c r="L88" s="17" t="n"/>
      <c r="M88" s="16" t="n"/>
      <c r="N88" s="17" t="n"/>
      <c r="O88" s="14" t="n"/>
      <c r="P88" s="14" t="n"/>
      <c r="Q88" s="18" t="n"/>
      <c r="R88" s="18" t="n"/>
      <c r="S88" s="13">
        <f>IF($P88&lt;&gt;"✓","",IF($R88&lt;&gt;"","Done",IF($Q88="","Open — no date",IF($Q88&lt;TODAY(),"Overdue",IF($Q88-TODAY()&lt;=DueSoon,"Due soon","Scheduled")))))</f>
        <v/>
      </c>
      <c r="T88" s="14">
        <f>IF($W88="","",IFERROR(IF(INDEX(FormData,$W88,f_Consent)&amp;""="","",IF(ISNUMBER(SEARCH("yes",INDEX(FormData,$W88,f_Consent))),"Yes","No")),""))</f>
        <v/>
      </c>
      <c r="U88" s="14" t="n"/>
      <c r="V88" s="13">
        <f>IF($U88="","",IF($W88="","not found","✓"))</f>
        <v/>
      </c>
      <c r="W88">
        <f>IF($U88="","",IFERROR(MATCH($U88,INDEX(FormData,0,f_Id),0),IFERROR(MATCH(--$U88,INDEX(FormData,0,f_Id),0),IFERROR(MATCH($U88&amp;"",INDEX(FormData,0,f_Id),0),""))))</f>
        <v/>
      </c>
      <c r="X88">
        <f>IF(AND($B88&lt;&gt;"",$B88='Event Report'!$C$3),ROW(),"")</f>
        <v/>
      </c>
      <c r="Y88">
        <f>IF(AND($P88="✓",$R88=""),IF($Q88="",90000,$Q88)+ROW()/100000,"")</f>
        <v/>
      </c>
      <c r="Z88">
        <f>IF(OR($U88&lt;&gt;"",$D88&lt;&gt;"",$E88&lt;&gt;"",$N88&lt;&gt;""),1,"")</f>
        <v/>
      </c>
    </row>
    <row r="89">
      <c r="A89" s="13" t="inlineStr">
        <is>
          <t>P-0085</t>
        </is>
      </c>
      <c r="B89" s="14">
        <f>IF(AND($U89="",$C89=""),"",IFERROR(INDEX(EvID,MATCH(INDEX(FormData,$W89,f_Event),EvID,0)),IFERROR(INDEX(EvID,MATCH(INDEX(FormData,$W89,f_Event),EvName,0)),IFERROR(INDEX(EvID,MATCH(INT($C89),EvDate,0)),""))))</f>
        <v/>
      </c>
      <c r="C89" s="15">
        <f>IF($W89="","",INDEX(FormData,$W89,f_Time))</f>
        <v/>
      </c>
      <c r="D89" s="14">
        <f>IF($W89="","",IFERROR(UPPER(LEFT(TRIM(INDEX(FormData,$W89,f_Name)),1)&amp;IFERROR(MID(TRIM(INDEX(FormData,$W89,f_Name)),FIND("^",SUBSTITUTE(TRIM(INDEX(FormData,$W89,f_Name))," ","^",LEN(TRIM(INDEX(FormData,$W89,f_Name)))-LEN(SUBSTITUTE(TRIM(INDEX(FormData,$W89,f_Name))," ",""))))+1,1),"")),""))</f>
        <v/>
      </c>
      <c r="E89" s="16">
        <f>IF($W89="","",IFERROR(IF(SUMPRODUCT(MAX((WhoKW&lt;&gt;"")*ISNUMBER(SEARCH(WhoKW,INDEX(FormData,$W89,f_Who)&amp;""))*(ROW(WhoKW)-MIN(ROW(WhoKW))+1)))=0,"",INDEX(WhoVal,SUMPRODUCT(MAX((WhoKW&lt;&gt;"")*ISNUMBER(SEARCH(WhoKW,INDEX(FormData,$W89,f_Who)&amp;""))*(ROW(WhoKW)-MIN(ROW(WhoKW))+1))))),""))</f>
        <v/>
      </c>
      <c r="F89" s="17">
        <f>IF($W89="","",TRIM(IFERROR(INDEX(FormData,$W89,f_Org1)&amp;"","")&amp;" "&amp;IFERROR(INDEX(FormData,$W89,f_Org2)&amp;"","")))</f>
        <v/>
      </c>
      <c r="G89" s="16">
        <f>IF($W89="","",IFERROR(INDEX(FormData,$W89,f_Region)&amp;"",""))</f>
        <v/>
      </c>
      <c r="H89" s="16">
        <f>IF($W89="","",IFERROR(IF(SUMPRODUCT(MAX((SitKW&lt;&gt;"")*ISNUMBER(SEARCH(SitKW,INDEX(FormData,$W89,f_Sit)&amp;""))*(ROW(SitKW)-MIN(ROW(SitKW))+1)))=0,"",INDEX(SitVal,SUMPRODUCT(MAX((SitKW&lt;&gt;"")*ISNUMBER(SEARCH(SitKW,INDEX(FormData,$W89,f_Sit)&amp;""))*(ROW(SitKW)-MIN(ROW(SitKW))+1))))),""))</f>
        <v/>
      </c>
      <c r="I89" s="14">
        <f>IF($W89="","",IFERROR(INDEX(FormData,$W89,f_Appr)&amp;"",""))</f>
        <v/>
      </c>
      <c r="J89" s="16">
        <f>IF($W89="","",IFERROR(INDEX(FormData,$W89,f_Trade)&amp;"",""))</f>
        <v/>
      </c>
      <c r="K89" s="16" t="n"/>
      <c r="L89" s="17" t="n"/>
      <c r="M89" s="16" t="n"/>
      <c r="N89" s="17" t="n"/>
      <c r="O89" s="14" t="n"/>
      <c r="P89" s="14" t="n"/>
      <c r="Q89" s="18" t="n"/>
      <c r="R89" s="18" t="n"/>
      <c r="S89" s="13">
        <f>IF($P89&lt;&gt;"✓","",IF($R89&lt;&gt;"","Done",IF($Q89="","Open — no date",IF($Q89&lt;TODAY(),"Overdue",IF($Q89-TODAY()&lt;=DueSoon,"Due soon","Scheduled")))))</f>
        <v/>
      </c>
      <c r="T89" s="14">
        <f>IF($W89="","",IFERROR(IF(INDEX(FormData,$W89,f_Consent)&amp;""="","",IF(ISNUMBER(SEARCH("yes",INDEX(FormData,$W89,f_Consent))),"Yes","No")),""))</f>
        <v/>
      </c>
      <c r="U89" s="14" t="n"/>
      <c r="V89" s="13">
        <f>IF($U89="","",IF($W89="","not found","✓"))</f>
        <v/>
      </c>
      <c r="W89">
        <f>IF($U89="","",IFERROR(MATCH($U89,INDEX(FormData,0,f_Id),0),IFERROR(MATCH(--$U89,INDEX(FormData,0,f_Id),0),IFERROR(MATCH($U89&amp;"",INDEX(FormData,0,f_Id),0),""))))</f>
        <v/>
      </c>
      <c r="X89">
        <f>IF(AND($B89&lt;&gt;"",$B89='Event Report'!$C$3),ROW(),"")</f>
        <v/>
      </c>
      <c r="Y89">
        <f>IF(AND($P89="✓",$R89=""),IF($Q89="",90000,$Q89)+ROW()/100000,"")</f>
        <v/>
      </c>
      <c r="Z89">
        <f>IF(OR($U89&lt;&gt;"",$D89&lt;&gt;"",$E89&lt;&gt;"",$N89&lt;&gt;""),1,"")</f>
        <v/>
      </c>
    </row>
    <row r="90">
      <c r="A90" s="13" t="inlineStr">
        <is>
          <t>P-0086</t>
        </is>
      </c>
      <c r="B90" s="14">
        <f>IF(AND($U90="",$C90=""),"",IFERROR(INDEX(EvID,MATCH(INDEX(FormData,$W90,f_Event),EvID,0)),IFERROR(INDEX(EvID,MATCH(INDEX(FormData,$W90,f_Event),EvName,0)),IFERROR(INDEX(EvID,MATCH(INT($C90),EvDate,0)),""))))</f>
        <v/>
      </c>
      <c r="C90" s="15">
        <f>IF($W90="","",INDEX(FormData,$W90,f_Time))</f>
        <v/>
      </c>
      <c r="D90" s="14">
        <f>IF($W90="","",IFERROR(UPPER(LEFT(TRIM(INDEX(FormData,$W90,f_Name)),1)&amp;IFERROR(MID(TRIM(INDEX(FormData,$W90,f_Name)),FIND("^",SUBSTITUTE(TRIM(INDEX(FormData,$W90,f_Name))," ","^",LEN(TRIM(INDEX(FormData,$W90,f_Name)))-LEN(SUBSTITUTE(TRIM(INDEX(FormData,$W90,f_Name))," ",""))))+1,1),"")),""))</f>
        <v/>
      </c>
      <c r="E90" s="16">
        <f>IF($W90="","",IFERROR(IF(SUMPRODUCT(MAX((WhoKW&lt;&gt;"")*ISNUMBER(SEARCH(WhoKW,INDEX(FormData,$W90,f_Who)&amp;""))*(ROW(WhoKW)-MIN(ROW(WhoKW))+1)))=0,"",INDEX(WhoVal,SUMPRODUCT(MAX((WhoKW&lt;&gt;"")*ISNUMBER(SEARCH(WhoKW,INDEX(FormData,$W90,f_Who)&amp;""))*(ROW(WhoKW)-MIN(ROW(WhoKW))+1))))),""))</f>
        <v/>
      </c>
      <c r="F90" s="17">
        <f>IF($W90="","",TRIM(IFERROR(INDEX(FormData,$W90,f_Org1)&amp;"","")&amp;" "&amp;IFERROR(INDEX(FormData,$W90,f_Org2)&amp;"","")))</f>
        <v/>
      </c>
      <c r="G90" s="16">
        <f>IF($W90="","",IFERROR(INDEX(FormData,$W90,f_Region)&amp;"",""))</f>
        <v/>
      </c>
      <c r="H90" s="16">
        <f>IF($W90="","",IFERROR(IF(SUMPRODUCT(MAX((SitKW&lt;&gt;"")*ISNUMBER(SEARCH(SitKW,INDEX(FormData,$W90,f_Sit)&amp;""))*(ROW(SitKW)-MIN(ROW(SitKW))+1)))=0,"",INDEX(SitVal,SUMPRODUCT(MAX((SitKW&lt;&gt;"")*ISNUMBER(SEARCH(SitKW,INDEX(FormData,$W90,f_Sit)&amp;""))*(ROW(SitKW)-MIN(ROW(SitKW))+1))))),""))</f>
        <v/>
      </c>
      <c r="I90" s="14">
        <f>IF($W90="","",IFERROR(INDEX(FormData,$W90,f_Appr)&amp;"",""))</f>
        <v/>
      </c>
      <c r="J90" s="16">
        <f>IF($W90="","",IFERROR(INDEX(FormData,$W90,f_Trade)&amp;"",""))</f>
        <v/>
      </c>
      <c r="K90" s="16" t="n"/>
      <c r="L90" s="17" t="n"/>
      <c r="M90" s="16" t="n"/>
      <c r="N90" s="17" t="n"/>
      <c r="O90" s="14" t="n"/>
      <c r="P90" s="14" t="n"/>
      <c r="Q90" s="18" t="n"/>
      <c r="R90" s="18" t="n"/>
      <c r="S90" s="13">
        <f>IF($P90&lt;&gt;"✓","",IF($R90&lt;&gt;"","Done",IF($Q90="","Open — no date",IF($Q90&lt;TODAY(),"Overdue",IF($Q90-TODAY()&lt;=DueSoon,"Due soon","Scheduled")))))</f>
        <v/>
      </c>
      <c r="T90" s="14">
        <f>IF($W90="","",IFERROR(IF(INDEX(FormData,$W90,f_Consent)&amp;""="","",IF(ISNUMBER(SEARCH("yes",INDEX(FormData,$W90,f_Consent))),"Yes","No")),""))</f>
        <v/>
      </c>
      <c r="U90" s="14" t="n"/>
      <c r="V90" s="13">
        <f>IF($U90="","",IF($W90="","not found","✓"))</f>
        <v/>
      </c>
      <c r="W90">
        <f>IF($U90="","",IFERROR(MATCH($U90,INDEX(FormData,0,f_Id),0),IFERROR(MATCH(--$U90,INDEX(FormData,0,f_Id),0),IFERROR(MATCH($U90&amp;"",INDEX(FormData,0,f_Id),0),""))))</f>
        <v/>
      </c>
      <c r="X90">
        <f>IF(AND($B90&lt;&gt;"",$B90='Event Report'!$C$3),ROW(),"")</f>
        <v/>
      </c>
      <c r="Y90">
        <f>IF(AND($P90="✓",$R90=""),IF($Q90="",90000,$Q90)+ROW()/100000,"")</f>
        <v/>
      </c>
      <c r="Z90">
        <f>IF(OR($U90&lt;&gt;"",$D90&lt;&gt;"",$E90&lt;&gt;"",$N90&lt;&gt;""),1,"")</f>
        <v/>
      </c>
    </row>
    <row r="91">
      <c r="A91" s="13" t="inlineStr">
        <is>
          <t>P-0087</t>
        </is>
      </c>
      <c r="B91" s="14">
        <f>IF(AND($U91="",$C91=""),"",IFERROR(INDEX(EvID,MATCH(INDEX(FormData,$W91,f_Event),EvID,0)),IFERROR(INDEX(EvID,MATCH(INDEX(FormData,$W91,f_Event),EvName,0)),IFERROR(INDEX(EvID,MATCH(INT($C91),EvDate,0)),""))))</f>
        <v/>
      </c>
      <c r="C91" s="15">
        <f>IF($W91="","",INDEX(FormData,$W91,f_Time))</f>
        <v/>
      </c>
      <c r="D91" s="14">
        <f>IF($W91="","",IFERROR(UPPER(LEFT(TRIM(INDEX(FormData,$W91,f_Name)),1)&amp;IFERROR(MID(TRIM(INDEX(FormData,$W91,f_Name)),FIND("^",SUBSTITUTE(TRIM(INDEX(FormData,$W91,f_Name))," ","^",LEN(TRIM(INDEX(FormData,$W91,f_Name)))-LEN(SUBSTITUTE(TRIM(INDEX(FormData,$W91,f_Name))," ",""))))+1,1),"")),""))</f>
        <v/>
      </c>
      <c r="E91" s="16">
        <f>IF($W91="","",IFERROR(IF(SUMPRODUCT(MAX((WhoKW&lt;&gt;"")*ISNUMBER(SEARCH(WhoKW,INDEX(FormData,$W91,f_Who)&amp;""))*(ROW(WhoKW)-MIN(ROW(WhoKW))+1)))=0,"",INDEX(WhoVal,SUMPRODUCT(MAX((WhoKW&lt;&gt;"")*ISNUMBER(SEARCH(WhoKW,INDEX(FormData,$W91,f_Who)&amp;""))*(ROW(WhoKW)-MIN(ROW(WhoKW))+1))))),""))</f>
        <v/>
      </c>
      <c r="F91" s="17">
        <f>IF($W91="","",TRIM(IFERROR(INDEX(FormData,$W91,f_Org1)&amp;"","")&amp;" "&amp;IFERROR(INDEX(FormData,$W91,f_Org2)&amp;"","")))</f>
        <v/>
      </c>
      <c r="G91" s="16">
        <f>IF($W91="","",IFERROR(INDEX(FormData,$W91,f_Region)&amp;"",""))</f>
        <v/>
      </c>
      <c r="H91" s="16">
        <f>IF($W91="","",IFERROR(IF(SUMPRODUCT(MAX((SitKW&lt;&gt;"")*ISNUMBER(SEARCH(SitKW,INDEX(FormData,$W91,f_Sit)&amp;""))*(ROW(SitKW)-MIN(ROW(SitKW))+1)))=0,"",INDEX(SitVal,SUMPRODUCT(MAX((SitKW&lt;&gt;"")*ISNUMBER(SEARCH(SitKW,INDEX(FormData,$W91,f_Sit)&amp;""))*(ROW(SitKW)-MIN(ROW(SitKW))+1))))),""))</f>
        <v/>
      </c>
      <c r="I91" s="14">
        <f>IF($W91="","",IFERROR(INDEX(FormData,$W91,f_Appr)&amp;"",""))</f>
        <v/>
      </c>
      <c r="J91" s="16">
        <f>IF($W91="","",IFERROR(INDEX(FormData,$W91,f_Trade)&amp;"",""))</f>
        <v/>
      </c>
      <c r="K91" s="16" t="n"/>
      <c r="L91" s="17" t="n"/>
      <c r="M91" s="16" t="n"/>
      <c r="N91" s="17" t="n"/>
      <c r="O91" s="14" t="n"/>
      <c r="P91" s="14" t="n"/>
      <c r="Q91" s="18" t="n"/>
      <c r="R91" s="18" t="n"/>
      <c r="S91" s="13">
        <f>IF($P91&lt;&gt;"✓","",IF($R91&lt;&gt;"","Done",IF($Q91="","Open — no date",IF($Q91&lt;TODAY(),"Overdue",IF($Q91-TODAY()&lt;=DueSoon,"Due soon","Scheduled")))))</f>
        <v/>
      </c>
      <c r="T91" s="14">
        <f>IF($W91="","",IFERROR(IF(INDEX(FormData,$W91,f_Consent)&amp;""="","",IF(ISNUMBER(SEARCH("yes",INDEX(FormData,$W91,f_Consent))),"Yes","No")),""))</f>
        <v/>
      </c>
      <c r="U91" s="14" t="n"/>
      <c r="V91" s="13">
        <f>IF($U91="","",IF($W91="","not found","✓"))</f>
        <v/>
      </c>
      <c r="W91">
        <f>IF($U91="","",IFERROR(MATCH($U91,INDEX(FormData,0,f_Id),0),IFERROR(MATCH(--$U91,INDEX(FormData,0,f_Id),0),IFERROR(MATCH($U91&amp;"",INDEX(FormData,0,f_Id),0),""))))</f>
        <v/>
      </c>
      <c r="X91">
        <f>IF(AND($B91&lt;&gt;"",$B91='Event Report'!$C$3),ROW(),"")</f>
        <v/>
      </c>
      <c r="Y91">
        <f>IF(AND($P91="✓",$R91=""),IF($Q91="",90000,$Q91)+ROW()/100000,"")</f>
        <v/>
      </c>
      <c r="Z91">
        <f>IF(OR($U91&lt;&gt;"",$D91&lt;&gt;"",$E91&lt;&gt;"",$N91&lt;&gt;""),1,"")</f>
        <v/>
      </c>
    </row>
    <row r="92">
      <c r="A92" s="13" t="inlineStr">
        <is>
          <t>P-0088</t>
        </is>
      </c>
      <c r="B92" s="14">
        <f>IF(AND($U92="",$C92=""),"",IFERROR(INDEX(EvID,MATCH(INDEX(FormData,$W92,f_Event),EvID,0)),IFERROR(INDEX(EvID,MATCH(INDEX(FormData,$W92,f_Event),EvName,0)),IFERROR(INDEX(EvID,MATCH(INT($C92),EvDate,0)),""))))</f>
        <v/>
      </c>
      <c r="C92" s="15">
        <f>IF($W92="","",INDEX(FormData,$W92,f_Time))</f>
        <v/>
      </c>
      <c r="D92" s="14">
        <f>IF($W92="","",IFERROR(UPPER(LEFT(TRIM(INDEX(FormData,$W92,f_Name)),1)&amp;IFERROR(MID(TRIM(INDEX(FormData,$W92,f_Name)),FIND("^",SUBSTITUTE(TRIM(INDEX(FormData,$W92,f_Name))," ","^",LEN(TRIM(INDEX(FormData,$W92,f_Name)))-LEN(SUBSTITUTE(TRIM(INDEX(FormData,$W92,f_Name))," ",""))))+1,1),"")),""))</f>
        <v/>
      </c>
      <c r="E92" s="16">
        <f>IF($W92="","",IFERROR(IF(SUMPRODUCT(MAX((WhoKW&lt;&gt;"")*ISNUMBER(SEARCH(WhoKW,INDEX(FormData,$W92,f_Who)&amp;""))*(ROW(WhoKW)-MIN(ROW(WhoKW))+1)))=0,"",INDEX(WhoVal,SUMPRODUCT(MAX((WhoKW&lt;&gt;"")*ISNUMBER(SEARCH(WhoKW,INDEX(FormData,$W92,f_Who)&amp;""))*(ROW(WhoKW)-MIN(ROW(WhoKW))+1))))),""))</f>
        <v/>
      </c>
      <c r="F92" s="17">
        <f>IF($W92="","",TRIM(IFERROR(INDEX(FormData,$W92,f_Org1)&amp;"","")&amp;" "&amp;IFERROR(INDEX(FormData,$W92,f_Org2)&amp;"","")))</f>
        <v/>
      </c>
      <c r="G92" s="16">
        <f>IF($W92="","",IFERROR(INDEX(FormData,$W92,f_Region)&amp;"",""))</f>
        <v/>
      </c>
      <c r="H92" s="16">
        <f>IF($W92="","",IFERROR(IF(SUMPRODUCT(MAX((SitKW&lt;&gt;"")*ISNUMBER(SEARCH(SitKW,INDEX(FormData,$W92,f_Sit)&amp;""))*(ROW(SitKW)-MIN(ROW(SitKW))+1)))=0,"",INDEX(SitVal,SUMPRODUCT(MAX((SitKW&lt;&gt;"")*ISNUMBER(SEARCH(SitKW,INDEX(FormData,$W92,f_Sit)&amp;""))*(ROW(SitKW)-MIN(ROW(SitKW))+1))))),""))</f>
        <v/>
      </c>
      <c r="I92" s="14">
        <f>IF($W92="","",IFERROR(INDEX(FormData,$W92,f_Appr)&amp;"",""))</f>
        <v/>
      </c>
      <c r="J92" s="16">
        <f>IF($W92="","",IFERROR(INDEX(FormData,$W92,f_Trade)&amp;"",""))</f>
        <v/>
      </c>
      <c r="K92" s="16" t="n"/>
      <c r="L92" s="17" t="n"/>
      <c r="M92" s="16" t="n"/>
      <c r="N92" s="17" t="n"/>
      <c r="O92" s="14" t="n"/>
      <c r="P92" s="14" t="n"/>
      <c r="Q92" s="18" t="n"/>
      <c r="R92" s="18" t="n"/>
      <c r="S92" s="13">
        <f>IF($P92&lt;&gt;"✓","",IF($R92&lt;&gt;"","Done",IF($Q92="","Open — no date",IF($Q92&lt;TODAY(),"Overdue",IF($Q92-TODAY()&lt;=DueSoon,"Due soon","Scheduled")))))</f>
        <v/>
      </c>
      <c r="T92" s="14">
        <f>IF($W92="","",IFERROR(IF(INDEX(FormData,$W92,f_Consent)&amp;""="","",IF(ISNUMBER(SEARCH("yes",INDEX(FormData,$W92,f_Consent))),"Yes","No")),""))</f>
        <v/>
      </c>
      <c r="U92" s="14" t="n"/>
      <c r="V92" s="13">
        <f>IF($U92="","",IF($W92="","not found","✓"))</f>
        <v/>
      </c>
      <c r="W92">
        <f>IF($U92="","",IFERROR(MATCH($U92,INDEX(FormData,0,f_Id),0),IFERROR(MATCH(--$U92,INDEX(FormData,0,f_Id),0),IFERROR(MATCH($U92&amp;"",INDEX(FormData,0,f_Id),0),""))))</f>
        <v/>
      </c>
      <c r="X92">
        <f>IF(AND($B92&lt;&gt;"",$B92='Event Report'!$C$3),ROW(),"")</f>
        <v/>
      </c>
      <c r="Y92">
        <f>IF(AND($P92="✓",$R92=""),IF($Q92="",90000,$Q92)+ROW()/100000,"")</f>
        <v/>
      </c>
      <c r="Z92">
        <f>IF(OR($U92&lt;&gt;"",$D92&lt;&gt;"",$E92&lt;&gt;"",$N92&lt;&gt;""),1,"")</f>
        <v/>
      </c>
    </row>
    <row r="93">
      <c r="A93" s="13" t="inlineStr">
        <is>
          <t>P-0089</t>
        </is>
      </c>
      <c r="B93" s="14">
        <f>IF(AND($U93="",$C93=""),"",IFERROR(INDEX(EvID,MATCH(INDEX(FormData,$W93,f_Event),EvID,0)),IFERROR(INDEX(EvID,MATCH(INDEX(FormData,$W93,f_Event),EvName,0)),IFERROR(INDEX(EvID,MATCH(INT($C93),EvDate,0)),""))))</f>
        <v/>
      </c>
      <c r="C93" s="15">
        <f>IF($W93="","",INDEX(FormData,$W93,f_Time))</f>
        <v/>
      </c>
      <c r="D93" s="14">
        <f>IF($W93="","",IFERROR(UPPER(LEFT(TRIM(INDEX(FormData,$W93,f_Name)),1)&amp;IFERROR(MID(TRIM(INDEX(FormData,$W93,f_Name)),FIND("^",SUBSTITUTE(TRIM(INDEX(FormData,$W93,f_Name))," ","^",LEN(TRIM(INDEX(FormData,$W93,f_Name)))-LEN(SUBSTITUTE(TRIM(INDEX(FormData,$W93,f_Name))," ",""))))+1,1),"")),""))</f>
        <v/>
      </c>
      <c r="E93" s="16">
        <f>IF($W93="","",IFERROR(IF(SUMPRODUCT(MAX((WhoKW&lt;&gt;"")*ISNUMBER(SEARCH(WhoKW,INDEX(FormData,$W93,f_Who)&amp;""))*(ROW(WhoKW)-MIN(ROW(WhoKW))+1)))=0,"",INDEX(WhoVal,SUMPRODUCT(MAX((WhoKW&lt;&gt;"")*ISNUMBER(SEARCH(WhoKW,INDEX(FormData,$W93,f_Who)&amp;""))*(ROW(WhoKW)-MIN(ROW(WhoKW))+1))))),""))</f>
        <v/>
      </c>
      <c r="F93" s="17">
        <f>IF($W93="","",TRIM(IFERROR(INDEX(FormData,$W93,f_Org1)&amp;"","")&amp;" "&amp;IFERROR(INDEX(FormData,$W93,f_Org2)&amp;"","")))</f>
        <v/>
      </c>
      <c r="G93" s="16">
        <f>IF($W93="","",IFERROR(INDEX(FormData,$W93,f_Region)&amp;"",""))</f>
        <v/>
      </c>
      <c r="H93" s="16">
        <f>IF($W93="","",IFERROR(IF(SUMPRODUCT(MAX((SitKW&lt;&gt;"")*ISNUMBER(SEARCH(SitKW,INDEX(FormData,$W93,f_Sit)&amp;""))*(ROW(SitKW)-MIN(ROW(SitKW))+1)))=0,"",INDEX(SitVal,SUMPRODUCT(MAX((SitKW&lt;&gt;"")*ISNUMBER(SEARCH(SitKW,INDEX(FormData,$W93,f_Sit)&amp;""))*(ROW(SitKW)-MIN(ROW(SitKW))+1))))),""))</f>
        <v/>
      </c>
      <c r="I93" s="14">
        <f>IF($W93="","",IFERROR(INDEX(FormData,$W93,f_Appr)&amp;"",""))</f>
        <v/>
      </c>
      <c r="J93" s="16">
        <f>IF($W93="","",IFERROR(INDEX(FormData,$W93,f_Trade)&amp;"",""))</f>
        <v/>
      </c>
      <c r="K93" s="16" t="n"/>
      <c r="L93" s="17" t="n"/>
      <c r="M93" s="16" t="n"/>
      <c r="N93" s="17" t="n"/>
      <c r="O93" s="14" t="n"/>
      <c r="P93" s="14" t="n"/>
      <c r="Q93" s="18" t="n"/>
      <c r="R93" s="18" t="n"/>
      <c r="S93" s="13">
        <f>IF($P93&lt;&gt;"✓","",IF($R93&lt;&gt;"","Done",IF($Q93="","Open — no date",IF($Q93&lt;TODAY(),"Overdue",IF($Q93-TODAY()&lt;=DueSoon,"Due soon","Scheduled")))))</f>
        <v/>
      </c>
      <c r="T93" s="14">
        <f>IF($W93="","",IFERROR(IF(INDEX(FormData,$W93,f_Consent)&amp;""="","",IF(ISNUMBER(SEARCH("yes",INDEX(FormData,$W93,f_Consent))),"Yes","No")),""))</f>
        <v/>
      </c>
      <c r="U93" s="14" t="n"/>
      <c r="V93" s="13">
        <f>IF($U93="","",IF($W93="","not found","✓"))</f>
        <v/>
      </c>
      <c r="W93">
        <f>IF($U93="","",IFERROR(MATCH($U93,INDEX(FormData,0,f_Id),0),IFERROR(MATCH(--$U93,INDEX(FormData,0,f_Id),0),IFERROR(MATCH($U93&amp;"",INDEX(FormData,0,f_Id),0),""))))</f>
        <v/>
      </c>
      <c r="X93">
        <f>IF(AND($B93&lt;&gt;"",$B93='Event Report'!$C$3),ROW(),"")</f>
        <v/>
      </c>
      <c r="Y93">
        <f>IF(AND($P93="✓",$R93=""),IF($Q93="",90000,$Q93)+ROW()/100000,"")</f>
        <v/>
      </c>
      <c r="Z93">
        <f>IF(OR($U93&lt;&gt;"",$D93&lt;&gt;"",$E93&lt;&gt;"",$N93&lt;&gt;""),1,"")</f>
        <v/>
      </c>
    </row>
    <row r="94">
      <c r="A94" s="13" t="inlineStr">
        <is>
          <t>P-0090</t>
        </is>
      </c>
      <c r="B94" s="14">
        <f>IF(AND($U94="",$C94=""),"",IFERROR(INDEX(EvID,MATCH(INDEX(FormData,$W94,f_Event),EvID,0)),IFERROR(INDEX(EvID,MATCH(INDEX(FormData,$W94,f_Event),EvName,0)),IFERROR(INDEX(EvID,MATCH(INT($C94),EvDate,0)),""))))</f>
        <v/>
      </c>
      <c r="C94" s="15">
        <f>IF($W94="","",INDEX(FormData,$W94,f_Time))</f>
        <v/>
      </c>
      <c r="D94" s="14">
        <f>IF($W94="","",IFERROR(UPPER(LEFT(TRIM(INDEX(FormData,$W94,f_Name)),1)&amp;IFERROR(MID(TRIM(INDEX(FormData,$W94,f_Name)),FIND("^",SUBSTITUTE(TRIM(INDEX(FormData,$W94,f_Name))," ","^",LEN(TRIM(INDEX(FormData,$W94,f_Name)))-LEN(SUBSTITUTE(TRIM(INDEX(FormData,$W94,f_Name))," ",""))))+1,1),"")),""))</f>
        <v/>
      </c>
      <c r="E94" s="16">
        <f>IF($W94="","",IFERROR(IF(SUMPRODUCT(MAX((WhoKW&lt;&gt;"")*ISNUMBER(SEARCH(WhoKW,INDEX(FormData,$W94,f_Who)&amp;""))*(ROW(WhoKW)-MIN(ROW(WhoKW))+1)))=0,"",INDEX(WhoVal,SUMPRODUCT(MAX((WhoKW&lt;&gt;"")*ISNUMBER(SEARCH(WhoKW,INDEX(FormData,$W94,f_Who)&amp;""))*(ROW(WhoKW)-MIN(ROW(WhoKW))+1))))),""))</f>
        <v/>
      </c>
      <c r="F94" s="17">
        <f>IF($W94="","",TRIM(IFERROR(INDEX(FormData,$W94,f_Org1)&amp;"","")&amp;" "&amp;IFERROR(INDEX(FormData,$W94,f_Org2)&amp;"","")))</f>
        <v/>
      </c>
      <c r="G94" s="16">
        <f>IF($W94="","",IFERROR(INDEX(FormData,$W94,f_Region)&amp;"",""))</f>
        <v/>
      </c>
      <c r="H94" s="16">
        <f>IF($W94="","",IFERROR(IF(SUMPRODUCT(MAX((SitKW&lt;&gt;"")*ISNUMBER(SEARCH(SitKW,INDEX(FormData,$W94,f_Sit)&amp;""))*(ROW(SitKW)-MIN(ROW(SitKW))+1)))=0,"",INDEX(SitVal,SUMPRODUCT(MAX((SitKW&lt;&gt;"")*ISNUMBER(SEARCH(SitKW,INDEX(FormData,$W94,f_Sit)&amp;""))*(ROW(SitKW)-MIN(ROW(SitKW))+1))))),""))</f>
        <v/>
      </c>
      <c r="I94" s="14">
        <f>IF($W94="","",IFERROR(INDEX(FormData,$W94,f_Appr)&amp;"",""))</f>
        <v/>
      </c>
      <c r="J94" s="16">
        <f>IF($W94="","",IFERROR(INDEX(FormData,$W94,f_Trade)&amp;"",""))</f>
        <v/>
      </c>
      <c r="K94" s="16" t="n"/>
      <c r="L94" s="17" t="n"/>
      <c r="M94" s="16" t="n"/>
      <c r="N94" s="17" t="n"/>
      <c r="O94" s="14" t="n"/>
      <c r="P94" s="14" t="n"/>
      <c r="Q94" s="18" t="n"/>
      <c r="R94" s="18" t="n"/>
      <c r="S94" s="13">
        <f>IF($P94&lt;&gt;"✓","",IF($R94&lt;&gt;"","Done",IF($Q94="","Open — no date",IF($Q94&lt;TODAY(),"Overdue",IF($Q94-TODAY()&lt;=DueSoon,"Due soon","Scheduled")))))</f>
        <v/>
      </c>
      <c r="T94" s="14">
        <f>IF($W94="","",IFERROR(IF(INDEX(FormData,$W94,f_Consent)&amp;""="","",IF(ISNUMBER(SEARCH("yes",INDEX(FormData,$W94,f_Consent))),"Yes","No")),""))</f>
        <v/>
      </c>
      <c r="U94" s="14" t="n"/>
      <c r="V94" s="13">
        <f>IF($U94="","",IF($W94="","not found","✓"))</f>
        <v/>
      </c>
      <c r="W94">
        <f>IF($U94="","",IFERROR(MATCH($U94,INDEX(FormData,0,f_Id),0),IFERROR(MATCH(--$U94,INDEX(FormData,0,f_Id),0),IFERROR(MATCH($U94&amp;"",INDEX(FormData,0,f_Id),0),""))))</f>
        <v/>
      </c>
      <c r="X94">
        <f>IF(AND($B94&lt;&gt;"",$B94='Event Report'!$C$3),ROW(),"")</f>
        <v/>
      </c>
      <c r="Y94">
        <f>IF(AND($P94="✓",$R94=""),IF($Q94="",90000,$Q94)+ROW()/100000,"")</f>
        <v/>
      </c>
      <c r="Z94">
        <f>IF(OR($U94&lt;&gt;"",$D94&lt;&gt;"",$E94&lt;&gt;"",$N94&lt;&gt;""),1,"")</f>
        <v/>
      </c>
    </row>
    <row r="95">
      <c r="A95" s="13" t="inlineStr">
        <is>
          <t>P-0091</t>
        </is>
      </c>
      <c r="B95" s="14">
        <f>IF(AND($U95="",$C95=""),"",IFERROR(INDEX(EvID,MATCH(INDEX(FormData,$W95,f_Event),EvID,0)),IFERROR(INDEX(EvID,MATCH(INDEX(FormData,$W95,f_Event),EvName,0)),IFERROR(INDEX(EvID,MATCH(INT($C95),EvDate,0)),""))))</f>
        <v/>
      </c>
      <c r="C95" s="15">
        <f>IF($W95="","",INDEX(FormData,$W95,f_Time))</f>
        <v/>
      </c>
      <c r="D95" s="14">
        <f>IF($W95="","",IFERROR(UPPER(LEFT(TRIM(INDEX(FormData,$W95,f_Name)),1)&amp;IFERROR(MID(TRIM(INDEX(FormData,$W95,f_Name)),FIND("^",SUBSTITUTE(TRIM(INDEX(FormData,$W95,f_Name))," ","^",LEN(TRIM(INDEX(FormData,$W95,f_Name)))-LEN(SUBSTITUTE(TRIM(INDEX(FormData,$W95,f_Name))," ",""))))+1,1),"")),""))</f>
        <v/>
      </c>
      <c r="E95" s="16">
        <f>IF($W95="","",IFERROR(IF(SUMPRODUCT(MAX((WhoKW&lt;&gt;"")*ISNUMBER(SEARCH(WhoKW,INDEX(FormData,$W95,f_Who)&amp;""))*(ROW(WhoKW)-MIN(ROW(WhoKW))+1)))=0,"",INDEX(WhoVal,SUMPRODUCT(MAX((WhoKW&lt;&gt;"")*ISNUMBER(SEARCH(WhoKW,INDEX(FormData,$W95,f_Who)&amp;""))*(ROW(WhoKW)-MIN(ROW(WhoKW))+1))))),""))</f>
        <v/>
      </c>
      <c r="F95" s="17">
        <f>IF($W95="","",TRIM(IFERROR(INDEX(FormData,$W95,f_Org1)&amp;"","")&amp;" "&amp;IFERROR(INDEX(FormData,$W95,f_Org2)&amp;"","")))</f>
        <v/>
      </c>
      <c r="G95" s="16">
        <f>IF($W95="","",IFERROR(INDEX(FormData,$W95,f_Region)&amp;"",""))</f>
        <v/>
      </c>
      <c r="H95" s="16">
        <f>IF($W95="","",IFERROR(IF(SUMPRODUCT(MAX((SitKW&lt;&gt;"")*ISNUMBER(SEARCH(SitKW,INDEX(FormData,$W95,f_Sit)&amp;""))*(ROW(SitKW)-MIN(ROW(SitKW))+1)))=0,"",INDEX(SitVal,SUMPRODUCT(MAX((SitKW&lt;&gt;"")*ISNUMBER(SEARCH(SitKW,INDEX(FormData,$W95,f_Sit)&amp;""))*(ROW(SitKW)-MIN(ROW(SitKW))+1))))),""))</f>
        <v/>
      </c>
      <c r="I95" s="14">
        <f>IF($W95="","",IFERROR(INDEX(FormData,$W95,f_Appr)&amp;"",""))</f>
        <v/>
      </c>
      <c r="J95" s="16">
        <f>IF($W95="","",IFERROR(INDEX(FormData,$W95,f_Trade)&amp;"",""))</f>
        <v/>
      </c>
      <c r="K95" s="16" t="n"/>
      <c r="L95" s="17" t="n"/>
      <c r="M95" s="16" t="n"/>
      <c r="N95" s="17" t="n"/>
      <c r="O95" s="14" t="n"/>
      <c r="P95" s="14" t="n"/>
      <c r="Q95" s="18" t="n"/>
      <c r="R95" s="18" t="n"/>
      <c r="S95" s="13">
        <f>IF($P95&lt;&gt;"✓","",IF($R95&lt;&gt;"","Done",IF($Q95="","Open — no date",IF($Q95&lt;TODAY(),"Overdue",IF($Q95-TODAY()&lt;=DueSoon,"Due soon","Scheduled")))))</f>
        <v/>
      </c>
      <c r="T95" s="14">
        <f>IF($W95="","",IFERROR(IF(INDEX(FormData,$W95,f_Consent)&amp;""="","",IF(ISNUMBER(SEARCH("yes",INDEX(FormData,$W95,f_Consent))),"Yes","No")),""))</f>
        <v/>
      </c>
      <c r="U95" s="14" t="n"/>
      <c r="V95" s="13">
        <f>IF($U95="","",IF($W95="","not found","✓"))</f>
        <v/>
      </c>
      <c r="W95">
        <f>IF($U95="","",IFERROR(MATCH($U95,INDEX(FormData,0,f_Id),0),IFERROR(MATCH(--$U95,INDEX(FormData,0,f_Id),0),IFERROR(MATCH($U95&amp;"",INDEX(FormData,0,f_Id),0),""))))</f>
        <v/>
      </c>
      <c r="X95">
        <f>IF(AND($B95&lt;&gt;"",$B95='Event Report'!$C$3),ROW(),"")</f>
        <v/>
      </c>
      <c r="Y95">
        <f>IF(AND($P95="✓",$R95=""),IF($Q95="",90000,$Q95)+ROW()/100000,"")</f>
        <v/>
      </c>
      <c r="Z95">
        <f>IF(OR($U95&lt;&gt;"",$D95&lt;&gt;"",$E95&lt;&gt;"",$N95&lt;&gt;""),1,"")</f>
        <v/>
      </c>
    </row>
    <row r="96">
      <c r="A96" s="13" t="inlineStr">
        <is>
          <t>P-0092</t>
        </is>
      </c>
      <c r="B96" s="14">
        <f>IF(AND($U96="",$C96=""),"",IFERROR(INDEX(EvID,MATCH(INDEX(FormData,$W96,f_Event),EvID,0)),IFERROR(INDEX(EvID,MATCH(INDEX(FormData,$W96,f_Event),EvName,0)),IFERROR(INDEX(EvID,MATCH(INT($C96),EvDate,0)),""))))</f>
        <v/>
      </c>
      <c r="C96" s="15">
        <f>IF($W96="","",INDEX(FormData,$W96,f_Time))</f>
        <v/>
      </c>
      <c r="D96" s="14">
        <f>IF($W96="","",IFERROR(UPPER(LEFT(TRIM(INDEX(FormData,$W96,f_Name)),1)&amp;IFERROR(MID(TRIM(INDEX(FormData,$W96,f_Name)),FIND("^",SUBSTITUTE(TRIM(INDEX(FormData,$W96,f_Name))," ","^",LEN(TRIM(INDEX(FormData,$W96,f_Name)))-LEN(SUBSTITUTE(TRIM(INDEX(FormData,$W96,f_Name))," ",""))))+1,1),"")),""))</f>
        <v/>
      </c>
      <c r="E96" s="16">
        <f>IF($W96="","",IFERROR(IF(SUMPRODUCT(MAX((WhoKW&lt;&gt;"")*ISNUMBER(SEARCH(WhoKW,INDEX(FormData,$W96,f_Who)&amp;""))*(ROW(WhoKW)-MIN(ROW(WhoKW))+1)))=0,"",INDEX(WhoVal,SUMPRODUCT(MAX((WhoKW&lt;&gt;"")*ISNUMBER(SEARCH(WhoKW,INDEX(FormData,$W96,f_Who)&amp;""))*(ROW(WhoKW)-MIN(ROW(WhoKW))+1))))),""))</f>
        <v/>
      </c>
      <c r="F96" s="17">
        <f>IF($W96="","",TRIM(IFERROR(INDEX(FormData,$W96,f_Org1)&amp;"","")&amp;" "&amp;IFERROR(INDEX(FormData,$W96,f_Org2)&amp;"","")))</f>
        <v/>
      </c>
      <c r="G96" s="16">
        <f>IF($W96="","",IFERROR(INDEX(FormData,$W96,f_Region)&amp;"",""))</f>
        <v/>
      </c>
      <c r="H96" s="16">
        <f>IF($W96="","",IFERROR(IF(SUMPRODUCT(MAX((SitKW&lt;&gt;"")*ISNUMBER(SEARCH(SitKW,INDEX(FormData,$W96,f_Sit)&amp;""))*(ROW(SitKW)-MIN(ROW(SitKW))+1)))=0,"",INDEX(SitVal,SUMPRODUCT(MAX((SitKW&lt;&gt;"")*ISNUMBER(SEARCH(SitKW,INDEX(FormData,$W96,f_Sit)&amp;""))*(ROW(SitKW)-MIN(ROW(SitKW))+1))))),""))</f>
        <v/>
      </c>
      <c r="I96" s="14">
        <f>IF($W96="","",IFERROR(INDEX(FormData,$W96,f_Appr)&amp;"",""))</f>
        <v/>
      </c>
      <c r="J96" s="16">
        <f>IF($W96="","",IFERROR(INDEX(FormData,$W96,f_Trade)&amp;"",""))</f>
        <v/>
      </c>
      <c r="K96" s="16" t="n"/>
      <c r="L96" s="17" t="n"/>
      <c r="M96" s="16" t="n"/>
      <c r="N96" s="17" t="n"/>
      <c r="O96" s="14" t="n"/>
      <c r="P96" s="14" t="n"/>
      <c r="Q96" s="18" t="n"/>
      <c r="R96" s="18" t="n"/>
      <c r="S96" s="13">
        <f>IF($P96&lt;&gt;"✓","",IF($R96&lt;&gt;"","Done",IF($Q96="","Open — no date",IF($Q96&lt;TODAY(),"Overdue",IF($Q96-TODAY()&lt;=DueSoon,"Due soon","Scheduled")))))</f>
        <v/>
      </c>
      <c r="T96" s="14">
        <f>IF($W96="","",IFERROR(IF(INDEX(FormData,$W96,f_Consent)&amp;""="","",IF(ISNUMBER(SEARCH("yes",INDEX(FormData,$W96,f_Consent))),"Yes","No")),""))</f>
        <v/>
      </c>
      <c r="U96" s="14" t="n"/>
      <c r="V96" s="13">
        <f>IF($U96="","",IF($W96="","not found","✓"))</f>
        <v/>
      </c>
      <c r="W96">
        <f>IF($U96="","",IFERROR(MATCH($U96,INDEX(FormData,0,f_Id),0),IFERROR(MATCH(--$U96,INDEX(FormData,0,f_Id),0),IFERROR(MATCH($U96&amp;"",INDEX(FormData,0,f_Id),0),""))))</f>
        <v/>
      </c>
      <c r="X96">
        <f>IF(AND($B96&lt;&gt;"",$B96='Event Report'!$C$3),ROW(),"")</f>
        <v/>
      </c>
      <c r="Y96">
        <f>IF(AND($P96="✓",$R96=""),IF($Q96="",90000,$Q96)+ROW()/100000,"")</f>
        <v/>
      </c>
      <c r="Z96">
        <f>IF(OR($U96&lt;&gt;"",$D96&lt;&gt;"",$E96&lt;&gt;"",$N96&lt;&gt;""),1,"")</f>
        <v/>
      </c>
    </row>
    <row r="97">
      <c r="A97" s="13" t="inlineStr">
        <is>
          <t>P-0093</t>
        </is>
      </c>
      <c r="B97" s="14">
        <f>IF(AND($U97="",$C97=""),"",IFERROR(INDEX(EvID,MATCH(INDEX(FormData,$W97,f_Event),EvID,0)),IFERROR(INDEX(EvID,MATCH(INDEX(FormData,$W97,f_Event),EvName,0)),IFERROR(INDEX(EvID,MATCH(INT($C97),EvDate,0)),""))))</f>
        <v/>
      </c>
      <c r="C97" s="15">
        <f>IF($W97="","",INDEX(FormData,$W97,f_Time))</f>
        <v/>
      </c>
      <c r="D97" s="14">
        <f>IF($W97="","",IFERROR(UPPER(LEFT(TRIM(INDEX(FormData,$W97,f_Name)),1)&amp;IFERROR(MID(TRIM(INDEX(FormData,$W97,f_Name)),FIND("^",SUBSTITUTE(TRIM(INDEX(FormData,$W97,f_Name))," ","^",LEN(TRIM(INDEX(FormData,$W97,f_Name)))-LEN(SUBSTITUTE(TRIM(INDEX(FormData,$W97,f_Name))," ",""))))+1,1),"")),""))</f>
        <v/>
      </c>
      <c r="E97" s="16">
        <f>IF($W97="","",IFERROR(IF(SUMPRODUCT(MAX((WhoKW&lt;&gt;"")*ISNUMBER(SEARCH(WhoKW,INDEX(FormData,$W97,f_Who)&amp;""))*(ROW(WhoKW)-MIN(ROW(WhoKW))+1)))=0,"",INDEX(WhoVal,SUMPRODUCT(MAX((WhoKW&lt;&gt;"")*ISNUMBER(SEARCH(WhoKW,INDEX(FormData,$W97,f_Who)&amp;""))*(ROW(WhoKW)-MIN(ROW(WhoKW))+1))))),""))</f>
        <v/>
      </c>
      <c r="F97" s="17">
        <f>IF($W97="","",TRIM(IFERROR(INDEX(FormData,$W97,f_Org1)&amp;"","")&amp;" "&amp;IFERROR(INDEX(FormData,$W97,f_Org2)&amp;"","")))</f>
        <v/>
      </c>
      <c r="G97" s="16">
        <f>IF($W97="","",IFERROR(INDEX(FormData,$W97,f_Region)&amp;"",""))</f>
        <v/>
      </c>
      <c r="H97" s="16">
        <f>IF($W97="","",IFERROR(IF(SUMPRODUCT(MAX((SitKW&lt;&gt;"")*ISNUMBER(SEARCH(SitKW,INDEX(FormData,$W97,f_Sit)&amp;""))*(ROW(SitKW)-MIN(ROW(SitKW))+1)))=0,"",INDEX(SitVal,SUMPRODUCT(MAX((SitKW&lt;&gt;"")*ISNUMBER(SEARCH(SitKW,INDEX(FormData,$W97,f_Sit)&amp;""))*(ROW(SitKW)-MIN(ROW(SitKW))+1))))),""))</f>
        <v/>
      </c>
      <c r="I97" s="14">
        <f>IF($W97="","",IFERROR(INDEX(FormData,$W97,f_Appr)&amp;"",""))</f>
        <v/>
      </c>
      <c r="J97" s="16">
        <f>IF($W97="","",IFERROR(INDEX(FormData,$W97,f_Trade)&amp;"",""))</f>
        <v/>
      </c>
      <c r="K97" s="16" t="n"/>
      <c r="L97" s="17" t="n"/>
      <c r="M97" s="16" t="n"/>
      <c r="N97" s="17" t="n"/>
      <c r="O97" s="14" t="n"/>
      <c r="P97" s="14" t="n"/>
      <c r="Q97" s="18" t="n"/>
      <c r="R97" s="18" t="n"/>
      <c r="S97" s="13">
        <f>IF($P97&lt;&gt;"✓","",IF($R97&lt;&gt;"","Done",IF($Q97="","Open — no date",IF($Q97&lt;TODAY(),"Overdue",IF($Q97-TODAY()&lt;=DueSoon,"Due soon","Scheduled")))))</f>
        <v/>
      </c>
      <c r="T97" s="14">
        <f>IF($W97="","",IFERROR(IF(INDEX(FormData,$W97,f_Consent)&amp;""="","",IF(ISNUMBER(SEARCH("yes",INDEX(FormData,$W97,f_Consent))),"Yes","No")),""))</f>
        <v/>
      </c>
      <c r="U97" s="14" t="n"/>
      <c r="V97" s="13">
        <f>IF($U97="","",IF($W97="","not found","✓"))</f>
        <v/>
      </c>
      <c r="W97">
        <f>IF($U97="","",IFERROR(MATCH($U97,INDEX(FormData,0,f_Id),0),IFERROR(MATCH(--$U97,INDEX(FormData,0,f_Id),0),IFERROR(MATCH($U97&amp;"",INDEX(FormData,0,f_Id),0),""))))</f>
        <v/>
      </c>
      <c r="X97">
        <f>IF(AND($B97&lt;&gt;"",$B97='Event Report'!$C$3),ROW(),"")</f>
        <v/>
      </c>
      <c r="Y97">
        <f>IF(AND($P97="✓",$R97=""),IF($Q97="",90000,$Q97)+ROW()/100000,"")</f>
        <v/>
      </c>
      <c r="Z97">
        <f>IF(OR($U97&lt;&gt;"",$D97&lt;&gt;"",$E97&lt;&gt;"",$N97&lt;&gt;""),1,"")</f>
        <v/>
      </c>
    </row>
    <row r="98">
      <c r="A98" s="13" t="inlineStr">
        <is>
          <t>P-0094</t>
        </is>
      </c>
      <c r="B98" s="14">
        <f>IF(AND($U98="",$C98=""),"",IFERROR(INDEX(EvID,MATCH(INDEX(FormData,$W98,f_Event),EvID,0)),IFERROR(INDEX(EvID,MATCH(INDEX(FormData,$W98,f_Event),EvName,0)),IFERROR(INDEX(EvID,MATCH(INT($C98),EvDate,0)),""))))</f>
        <v/>
      </c>
      <c r="C98" s="15">
        <f>IF($W98="","",INDEX(FormData,$W98,f_Time))</f>
        <v/>
      </c>
      <c r="D98" s="14">
        <f>IF($W98="","",IFERROR(UPPER(LEFT(TRIM(INDEX(FormData,$W98,f_Name)),1)&amp;IFERROR(MID(TRIM(INDEX(FormData,$W98,f_Name)),FIND("^",SUBSTITUTE(TRIM(INDEX(FormData,$W98,f_Name))," ","^",LEN(TRIM(INDEX(FormData,$W98,f_Name)))-LEN(SUBSTITUTE(TRIM(INDEX(FormData,$W98,f_Name))," ",""))))+1,1),"")),""))</f>
        <v/>
      </c>
      <c r="E98" s="16">
        <f>IF($W98="","",IFERROR(IF(SUMPRODUCT(MAX((WhoKW&lt;&gt;"")*ISNUMBER(SEARCH(WhoKW,INDEX(FormData,$W98,f_Who)&amp;""))*(ROW(WhoKW)-MIN(ROW(WhoKW))+1)))=0,"",INDEX(WhoVal,SUMPRODUCT(MAX((WhoKW&lt;&gt;"")*ISNUMBER(SEARCH(WhoKW,INDEX(FormData,$W98,f_Who)&amp;""))*(ROW(WhoKW)-MIN(ROW(WhoKW))+1))))),""))</f>
        <v/>
      </c>
      <c r="F98" s="17">
        <f>IF($W98="","",TRIM(IFERROR(INDEX(FormData,$W98,f_Org1)&amp;"","")&amp;" "&amp;IFERROR(INDEX(FormData,$W98,f_Org2)&amp;"","")))</f>
        <v/>
      </c>
      <c r="G98" s="16">
        <f>IF($W98="","",IFERROR(INDEX(FormData,$W98,f_Region)&amp;"",""))</f>
        <v/>
      </c>
      <c r="H98" s="16">
        <f>IF($W98="","",IFERROR(IF(SUMPRODUCT(MAX((SitKW&lt;&gt;"")*ISNUMBER(SEARCH(SitKW,INDEX(FormData,$W98,f_Sit)&amp;""))*(ROW(SitKW)-MIN(ROW(SitKW))+1)))=0,"",INDEX(SitVal,SUMPRODUCT(MAX((SitKW&lt;&gt;"")*ISNUMBER(SEARCH(SitKW,INDEX(FormData,$W98,f_Sit)&amp;""))*(ROW(SitKW)-MIN(ROW(SitKW))+1))))),""))</f>
        <v/>
      </c>
      <c r="I98" s="14">
        <f>IF($W98="","",IFERROR(INDEX(FormData,$W98,f_Appr)&amp;"",""))</f>
        <v/>
      </c>
      <c r="J98" s="16">
        <f>IF($W98="","",IFERROR(INDEX(FormData,$W98,f_Trade)&amp;"",""))</f>
        <v/>
      </c>
      <c r="K98" s="16" t="n"/>
      <c r="L98" s="17" t="n"/>
      <c r="M98" s="16" t="n"/>
      <c r="N98" s="17" t="n"/>
      <c r="O98" s="14" t="n"/>
      <c r="P98" s="14" t="n"/>
      <c r="Q98" s="18" t="n"/>
      <c r="R98" s="18" t="n"/>
      <c r="S98" s="13">
        <f>IF($P98&lt;&gt;"✓","",IF($R98&lt;&gt;"","Done",IF($Q98="","Open — no date",IF($Q98&lt;TODAY(),"Overdue",IF($Q98-TODAY()&lt;=DueSoon,"Due soon","Scheduled")))))</f>
        <v/>
      </c>
      <c r="T98" s="14">
        <f>IF($W98="","",IFERROR(IF(INDEX(FormData,$W98,f_Consent)&amp;""="","",IF(ISNUMBER(SEARCH("yes",INDEX(FormData,$W98,f_Consent))),"Yes","No")),""))</f>
        <v/>
      </c>
      <c r="U98" s="14" t="n"/>
      <c r="V98" s="13">
        <f>IF($U98="","",IF($W98="","not found","✓"))</f>
        <v/>
      </c>
      <c r="W98">
        <f>IF($U98="","",IFERROR(MATCH($U98,INDEX(FormData,0,f_Id),0),IFERROR(MATCH(--$U98,INDEX(FormData,0,f_Id),0),IFERROR(MATCH($U98&amp;"",INDEX(FormData,0,f_Id),0),""))))</f>
        <v/>
      </c>
      <c r="X98">
        <f>IF(AND($B98&lt;&gt;"",$B98='Event Report'!$C$3),ROW(),"")</f>
        <v/>
      </c>
      <c r="Y98">
        <f>IF(AND($P98="✓",$R98=""),IF($Q98="",90000,$Q98)+ROW()/100000,"")</f>
        <v/>
      </c>
      <c r="Z98">
        <f>IF(OR($U98&lt;&gt;"",$D98&lt;&gt;"",$E98&lt;&gt;"",$N98&lt;&gt;""),1,"")</f>
        <v/>
      </c>
    </row>
    <row r="99">
      <c r="A99" s="13" t="inlineStr">
        <is>
          <t>P-0095</t>
        </is>
      </c>
      <c r="B99" s="14">
        <f>IF(AND($U99="",$C99=""),"",IFERROR(INDEX(EvID,MATCH(INDEX(FormData,$W99,f_Event),EvID,0)),IFERROR(INDEX(EvID,MATCH(INDEX(FormData,$W99,f_Event),EvName,0)),IFERROR(INDEX(EvID,MATCH(INT($C99),EvDate,0)),""))))</f>
        <v/>
      </c>
      <c r="C99" s="15">
        <f>IF($W99="","",INDEX(FormData,$W99,f_Time))</f>
        <v/>
      </c>
      <c r="D99" s="14">
        <f>IF($W99="","",IFERROR(UPPER(LEFT(TRIM(INDEX(FormData,$W99,f_Name)),1)&amp;IFERROR(MID(TRIM(INDEX(FormData,$W99,f_Name)),FIND("^",SUBSTITUTE(TRIM(INDEX(FormData,$W99,f_Name))," ","^",LEN(TRIM(INDEX(FormData,$W99,f_Name)))-LEN(SUBSTITUTE(TRIM(INDEX(FormData,$W99,f_Name))," ",""))))+1,1),"")),""))</f>
        <v/>
      </c>
      <c r="E99" s="16">
        <f>IF($W99="","",IFERROR(IF(SUMPRODUCT(MAX((WhoKW&lt;&gt;"")*ISNUMBER(SEARCH(WhoKW,INDEX(FormData,$W99,f_Who)&amp;""))*(ROW(WhoKW)-MIN(ROW(WhoKW))+1)))=0,"",INDEX(WhoVal,SUMPRODUCT(MAX((WhoKW&lt;&gt;"")*ISNUMBER(SEARCH(WhoKW,INDEX(FormData,$W99,f_Who)&amp;""))*(ROW(WhoKW)-MIN(ROW(WhoKW))+1))))),""))</f>
        <v/>
      </c>
      <c r="F99" s="17">
        <f>IF($W99="","",TRIM(IFERROR(INDEX(FormData,$W99,f_Org1)&amp;"","")&amp;" "&amp;IFERROR(INDEX(FormData,$W99,f_Org2)&amp;"","")))</f>
        <v/>
      </c>
      <c r="G99" s="16">
        <f>IF($W99="","",IFERROR(INDEX(FormData,$W99,f_Region)&amp;"",""))</f>
        <v/>
      </c>
      <c r="H99" s="16">
        <f>IF($W99="","",IFERROR(IF(SUMPRODUCT(MAX((SitKW&lt;&gt;"")*ISNUMBER(SEARCH(SitKW,INDEX(FormData,$W99,f_Sit)&amp;""))*(ROW(SitKW)-MIN(ROW(SitKW))+1)))=0,"",INDEX(SitVal,SUMPRODUCT(MAX((SitKW&lt;&gt;"")*ISNUMBER(SEARCH(SitKW,INDEX(FormData,$W99,f_Sit)&amp;""))*(ROW(SitKW)-MIN(ROW(SitKW))+1))))),""))</f>
        <v/>
      </c>
      <c r="I99" s="14">
        <f>IF($W99="","",IFERROR(INDEX(FormData,$W99,f_Appr)&amp;"",""))</f>
        <v/>
      </c>
      <c r="J99" s="16">
        <f>IF($W99="","",IFERROR(INDEX(FormData,$W99,f_Trade)&amp;"",""))</f>
        <v/>
      </c>
      <c r="K99" s="16" t="n"/>
      <c r="L99" s="17" t="n"/>
      <c r="M99" s="16" t="n"/>
      <c r="N99" s="17" t="n"/>
      <c r="O99" s="14" t="n"/>
      <c r="P99" s="14" t="n"/>
      <c r="Q99" s="18" t="n"/>
      <c r="R99" s="18" t="n"/>
      <c r="S99" s="13">
        <f>IF($P99&lt;&gt;"✓","",IF($R99&lt;&gt;"","Done",IF($Q99="","Open — no date",IF($Q99&lt;TODAY(),"Overdue",IF($Q99-TODAY()&lt;=DueSoon,"Due soon","Scheduled")))))</f>
        <v/>
      </c>
      <c r="T99" s="14">
        <f>IF($W99="","",IFERROR(IF(INDEX(FormData,$W99,f_Consent)&amp;""="","",IF(ISNUMBER(SEARCH("yes",INDEX(FormData,$W99,f_Consent))),"Yes","No")),""))</f>
        <v/>
      </c>
      <c r="U99" s="14" t="n"/>
      <c r="V99" s="13">
        <f>IF($U99="","",IF($W99="","not found","✓"))</f>
        <v/>
      </c>
      <c r="W99">
        <f>IF($U99="","",IFERROR(MATCH($U99,INDEX(FormData,0,f_Id),0),IFERROR(MATCH(--$U99,INDEX(FormData,0,f_Id),0),IFERROR(MATCH($U99&amp;"",INDEX(FormData,0,f_Id),0),""))))</f>
        <v/>
      </c>
      <c r="X99">
        <f>IF(AND($B99&lt;&gt;"",$B99='Event Report'!$C$3),ROW(),"")</f>
        <v/>
      </c>
      <c r="Y99">
        <f>IF(AND($P99="✓",$R99=""),IF($Q99="",90000,$Q99)+ROW()/100000,"")</f>
        <v/>
      </c>
      <c r="Z99">
        <f>IF(OR($U99&lt;&gt;"",$D99&lt;&gt;"",$E99&lt;&gt;"",$N99&lt;&gt;""),1,"")</f>
        <v/>
      </c>
    </row>
    <row r="100">
      <c r="A100" s="13" t="inlineStr">
        <is>
          <t>P-0096</t>
        </is>
      </c>
      <c r="B100" s="14">
        <f>IF(AND($U100="",$C100=""),"",IFERROR(INDEX(EvID,MATCH(INDEX(FormData,$W100,f_Event),EvID,0)),IFERROR(INDEX(EvID,MATCH(INDEX(FormData,$W100,f_Event),EvName,0)),IFERROR(INDEX(EvID,MATCH(INT($C100),EvDate,0)),""))))</f>
        <v/>
      </c>
      <c r="C100" s="15">
        <f>IF($W100="","",INDEX(FormData,$W100,f_Time))</f>
        <v/>
      </c>
      <c r="D100" s="14">
        <f>IF($W100="","",IFERROR(UPPER(LEFT(TRIM(INDEX(FormData,$W100,f_Name)),1)&amp;IFERROR(MID(TRIM(INDEX(FormData,$W100,f_Name)),FIND("^",SUBSTITUTE(TRIM(INDEX(FormData,$W100,f_Name))," ","^",LEN(TRIM(INDEX(FormData,$W100,f_Name)))-LEN(SUBSTITUTE(TRIM(INDEX(FormData,$W100,f_Name))," ",""))))+1,1),"")),""))</f>
        <v/>
      </c>
      <c r="E100" s="16">
        <f>IF($W100="","",IFERROR(IF(SUMPRODUCT(MAX((WhoKW&lt;&gt;"")*ISNUMBER(SEARCH(WhoKW,INDEX(FormData,$W100,f_Who)&amp;""))*(ROW(WhoKW)-MIN(ROW(WhoKW))+1)))=0,"",INDEX(WhoVal,SUMPRODUCT(MAX((WhoKW&lt;&gt;"")*ISNUMBER(SEARCH(WhoKW,INDEX(FormData,$W100,f_Who)&amp;""))*(ROW(WhoKW)-MIN(ROW(WhoKW))+1))))),""))</f>
        <v/>
      </c>
      <c r="F100" s="17">
        <f>IF($W100="","",TRIM(IFERROR(INDEX(FormData,$W100,f_Org1)&amp;"","")&amp;" "&amp;IFERROR(INDEX(FormData,$W100,f_Org2)&amp;"","")))</f>
        <v/>
      </c>
      <c r="G100" s="16">
        <f>IF($W100="","",IFERROR(INDEX(FormData,$W100,f_Region)&amp;"",""))</f>
        <v/>
      </c>
      <c r="H100" s="16">
        <f>IF($W100="","",IFERROR(IF(SUMPRODUCT(MAX((SitKW&lt;&gt;"")*ISNUMBER(SEARCH(SitKW,INDEX(FormData,$W100,f_Sit)&amp;""))*(ROW(SitKW)-MIN(ROW(SitKW))+1)))=0,"",INDEX(SitVal,SUMPRODUCT(MAX((SitKW&lt;&gt;"")*ISNUMBER(SEARCH(SitKW,INDEX(FormData,$W100,f_Sit)&amp;""))*(ROW(SitKW)-MIN(ROW(SitKW))+1))))),""))</f>
        <v/>
      </c>
      <c r="I100" s="14">
        <f>IF($W100="","",IFERROR(INDEX(FormData,$W100,f_Appr)&amp;"",""))</f>
        <v/>
      </c>
      <c r="J100" s="16">
        <f>IF($W100="","",IFERROR(INDEX(FormData,$W100,f_Trade)&amp;"",""))</f>
        <v/>
      </c>
      <c r="K100" s="16" t="n"/>
      <c r="L100" s="17" t="n"/>
      <c r="M100" s="16" t="n"/>
      <c r="N100" s="17" t="n"/>
      <c r="O100" s="14" t="n"/>
      <c r="P100" s="14" t="n"/>
      <c r="Q100" s="18" t="n"/>
      <c r="R100" s="18" t="n"/>
      <c r="S100" s="13">
        <f>IF($P100&lt;&gt;"✓","",IF($R100&lt;&gt;"","Done",IF($Q100="","Open — no date",IF($Q100&lt;TODAY(),"Overdue",IF($Q100-TODAY()&lt;=DueSoon,"Due soon","Scheduled")))))</f>
        <v/>
      </c>
      <c r="T100" s="14">
        <f>IF($W100="","",IFERROR(IF(INDEX(FormData,$W100,f_Consent)&amp;""="","",IF(ISNUMBER(SEARCH("yes",INDEX(FormData,$W100,f_Consent))),"Yes","No")),""))</f>
        <v/>
      </c>
      <c r="U100" s="14" t="n"/>
      <c r="V100" s="13">
        <f>IF($U100="","",IF($W100="","not found","✓"))</f>
        <v/>
      </c>
      <c r="W100">
        <f>IF($U100="","",IFERROR(MATCH($U100,INDEX(FormData,0,f_Id),0),IFERROR(MATCH(--$U100,INDEX(FormData,0,f_Id),0),IFERROR(MATCH($U100&amp;"",INDEX(FormData,0,f_Id),0),""))))</f>
        <v/>
      </c>
      <c r="X100">
        <f>IF(AND($B100&lt;&gt;"",$B100='Event Report'!$C$3),ROW(),"")</f>
        <v/>
      </c>
      <c r="Y100">
        <f>IF(AND($P100="✓",$R100=""),IF($Q100="",90000,$Q100)+ROW()/100000,"")</f>
        <v/>
      </c>
      <c r="Z100">
        <f>IF(OR($U100&lt;&gt;"",$D100&lt;&gt;"",$E100&lt;&gt;"",$N100&lt;&gt;""),1,"")</f>
        <v/>
      </c>
    </row>
    <row r="101">
      <c r="A101" s="13" t="inlineStr">
        <is>
          <t>P-0097</t>
        </is>
      </c>
      <c r="B101" s="14">
        <f>IF(AND($U101="",$C101=""),"",IFERROR(INDEX(EvID,MATCH(INDEX(FormData,$W101,f_Event),EvID,0)),IFERROR(INDEX(EvID,MATCH(INDEX(FormData,$W101,f_Event),EvName,0)),IFERROR(INDEX(EvID,MATCH(INT($C101),EvDate,0)),""))))</f>
        <v/>
      </c>
      <c r="C101" s="15">
        <f>IF($W101="","",INDEX(FormData,$W101,f_Time))</f>
        <v/>
      </c>
      <c r="D101" s="14">
        <f>IF($W101="","",IFERROR(UPPER(LEFT(TRIM(INDEX(FormData,$W101,f_Name)),1)&amp;IFERROR(MID(TRIM(INDEX(FormData,$W101,f_Name)),FIND("^",SUBSTITUTE(TRIM(INDEX(FormData,$W101,f_Name))," ","^",LEN(TRIM(INDEX(FormData,$W101,f_Name)))-LEN(SUBSTITUTE(TRIM(INDEX(FormData,$W101,f_Name))," ",""))))+1,1),"")),""))</f>
        <v/>
      </c>
      <c r="E101" s="16">
        <f>IF($W101="","",IFERROR(IF(SUMPRODUCT(MAX((WhoKW&lt;&gt;"")*ISNUMBER(SEARCH(WhoKW,INDEX(FormData,$W101,f_Who)&amp;""))*(ROW(WhoKW)-MIN(ROW(WhoKW))+1)))=0,"",INDEX(WhoVal,SUMPRODUCT(MAX((WhoKW&lt;&gt;"")*ISNUMBER(SEARCH(WhoKW,INDEX(FormData,$W101,f_Who)&amp;""))*(ROW(WhoKW)-MIN(ROW(WhoKW))+1))))),""))</f>
        <v/>
      </c>
      <c r="F101" s="17">
        <f>IF($W101="","",TRIM(IFERROR(INDEX(FormData,$W101,f_Org1)&amp;"","")&amp;" "&amp;IFERROR(INDEX(FormData,$W101,f_Org2)&amp;"","")))</f>
        <v/>
      </c>
      <c r="G101" s="16">
        <f>IF($W101="","",IFERROR(INDEX(FormData,$W101,f_Region)&amp;"",""))</f>
        <v/>
      </c>
      <c r="H101" s="16">
        <f>IF($W101="","",IFERROR(IF(SUMPRODUCT(MAX((SitKW&lt;&gt;"")*ISNUMBER(SEARCH(SitKW,INDEX(FormData,$W101,f_Sit)&amp;""))*(ROW(SitKW)-MIN(ROW(SitKW))+1)))=0,"",INDEX(SitVal,SUMPRODUCT(MAX((SitKW&lt;&gt;"")*ISNUMBER(SEARCH(SitKW,INDEX(FormData,$W101,f_Sit)&amp;""))*(ROW(SitKW)-MIN(ROW(SitKW))+1))))),""))</f>
        <v/>
      </c>
      <c r="I101" s="14">
        <f>IF($W101="","",IFERROR(INDEX(FormData,$W101,f_Appr)&amp;"",""))</f>
        <v/>
      </c>
      <c r="J101" s="16">
        <f>IF($W101="","",IFERROR(INDEX(FormData,$W101,f_Trade)&amp;"",""))</f>
        <v/>
      </c>
      <c r="K101" s="16" t="n"/>
      <c r="L101" s="17" t="n"/>
      <c r="M101" s="16" t="n"/>
      <c r="N101" s="17" t="n"/>
      <c r="O101" s="14" t="n"/>
      <c r="P101" s="14" t="n"/>
      <c r="Q101" s="18" t="n"/>
      <c r="R101" s="18" t="n"/>
      <c r="S101" s="13">
        <f>IF($P101&lt;&gt;"✓","",IF($R101&lt;&gt;"","Done",IF($Q101="","Open — no date",IF($Q101&lt;TODAY(),"Overdue",IF($Q101-TODAY()&lt;=DueSoon,"Due soon","Scheduled")))))</f>
        <v/>
      </c>
      <c r="T101" s="14">
        <f>IF($W101="","",IFERROR(IF(INDEX(FormData,$W101,f_Consent)&amp;""="","",IF(ISNUMBER(SEARCH("yes",INDEX(FormData,$W101,f_Consent))),"Yes","No")),""))</f>
        <v/>
      </c>
      <c r="U101" s="14" t="n"/>
      <c r="V101" s="13">
        <f>IF($U101="","",IF($W101="","not found","✓"))</f>
        <v/>
      </c>
      <c r="W101">
        <f>IF($U101="","",IFERROR(MATCH($U101,INDEX(FormData,0,f_Id),0),IFERROR(MATCH(--$U101,INDEX(FormData,0,f_Id),0),IFERROR(MATCH($U101&amp;"",INDEX(FormData,0,f_Id),0),""))))</f>
        <v/>
      </c>
      <c r="X101">
        <f>IF(AND($B101&lt;&gt;"",$B101='Event Report'!$C$3),ROW(),"")</f>
        <v/>
      </c>
      <c r="Y101">
        <f>IF(AND($P101="✓",$R101=""),IF($Q101="",90000,$Q101)+ROW()/100000,"")</f>
        <v/>
      </c>
      <c r="Z101">
        <f>IF(OR($U101&lt;&gt;"",$D101&lt;&gt;"",$E101&lt;&gt;"",$N101&lt;&gt;""),1,"")</f>
        <v/>
      </c>
    </row>
    <row r="102">
      <c r="A102" s="13" t="inlineStr">
        <is>
          <t>P-0098</t>
        </is>
      </c>
      <c r="B102" s="14">
        <f>IF(AND($U102="",$C102=""),"",IFERROR(INDEX(EvID,MATCH(INDEX(FormData,$W102,f_Event),EvID,0)),IFERROR(INDEX(EvID,MATCH(INDEX(FormData,$W102,f_Event),EvName,0)),IFERROR(INDEX(EvID,MATCH(INT($C102),EvDate,0)),""))))</f>
        <v/>
      </c>
      <c r="C102" s="15">
        <f>IF($W102="","",INDEX(FormData,$W102,f_Time))</f>
        <v/>
      </c>
      <c r="D102" s="14">
        <f>IF($W102="","",IFERROR(UPPER(LEFT(TRIM(INDEX(FormData,$W102,f_Name)),1)&amp;IFERROR(MID(TRIM(INDEX(FormData,$W102,f_Name)),FIND("^",SUBSTITUTE(TRIM(INDEX(FormData,$W102,f_Name))," ","^",LEN(TRIM(INDEX(FormData,$W102,f_Name)))-LEN(SUBSTITUTE(TRIM(INDEX(FormData,$W102,f_Name))," ",""))))+1,1),"")),""))</f>
        <v/>
      </c>
      <c r="E102" s="16">
        <f>IF($W102="","",IFERROR(IF(SUMPRODUCT(MAX((WhoKW&lt;&gt;"")*ISNUMBER(SEARCH(WhoKW,INDEX(FormData,$W102,f_Who)&amp;""))*(ROW(WhoKW)-MIN(ROW(WhoKW))+1)))=0,"",INDEX(WhoVal,SUMPRODUCT(MAX((WhoKW&lt;&gt;"")*ISNUMBER(SEARCH(WhoKW,INDEX(FormData,$W102,f_Who)&amp;""))*(ROW(WhoKW)-MIN(ROW(WhoKW))+1))))),""))</f>
        <v/>
      </c>
      <c r="F102" s="17">
        <f>IF($W102="","",TRIM(IFERROR(INDEX(FormData,$W102,f_Org1)&amp;"","")&amp;" "&amp;IFERROR(INDEX(FormData,$W102,f_Org2)&amp;"","")))</f>
        <v/>
      </c>
      <c r="G102" s="16">
        <f>IF($W102="","",IFERROR(INDEX(FormData,$W102,f_Region)&amp;"",""))</f>
        <v/>
      </c>
      <c r="H102" s="16">
        <f>IF($W102="","",IFERROR(IF(SUMPRODUCT(MAX((SitKW&lt;&gt;"")*ISNUMBER(SEARCH(SitKW,INDEX(FormData,$W102,f_Sit)&amp;""))*(ROW(SitKW)-MIN(ROW(SitKW))+1)))=0,"",INDEX(SitVal,SUMPRODUCT(MAX((SitKW&lt;&gt;"")*ISNUMBER(SEARCH(SitKW,INDEX(FormData,$W102,f_Sit)&amp;""))*(ROW(SitKW)-MIN(ROW(SitKW))+1))))),""))</f>
        <v/>
      </c>
      <c r="I102" s="14">
        <f>IF($W102="","",IFERROR(INDEX(FormData,$W102,f_Appr)&amp;"",""))</f>
        <v/>
      </c>
      <c r="J102" s="16">
        <f>IF($W102="","",IFERROR(INDEX(FormData,$W102,f_Trade)&amp;"",""))</f>
        <v/>
      </c>
      <c r="K102" s="16" t="n"/>
      <c r="L102" s="17" t="n"/>
      <c r="M102" s="16" t="n"/>
      <c r="N102" s="17" t="n"/>
      <c r="O102" s="14" t="n"/>
      <c r="P102" s="14" t="n"/>
      <c r="Q102" s="18" t="n"/>
      <c r="R102" s="18" t="n"/>
      <c r="S102" s="13">
        <f>IF($P102&lt;&gt;"✓","",IF($R102&lt;&gt;"","Done",IF($Q102="","Open — no date",IF($Q102&lt;TODAY(),"Overdue",IF($Q102-TODAY()&lt;=DueSoon,"Due soon","Scheduled")))))</f>
        <v/>
      </c>
      <c r="T102" s="14">
        <f>IF($W102="","",IFERROR(IF(INDEX(FormData,$W102,f_Consent)&amp;""="","",IF(ISNUMBER(SEARCH("yes",INDEX(FormData,$W102,f_Consent))),"Yes","No")),""))</f>
        <v/>
      </c>
      <c r="U102" s="14" t="n"/>
      <c r="V102" s="13">
        <f>IF($U102="","",IF($W102="","not found","✓"))</f>
        <v/>
      </c>
      <c r="W102">
        <f>IF($U102="","",IFERROR(MATCH($U102,INDEX(FormData,0,f_Id),0),IFERROR(MATCH(--$U102,INDEX(FormData,0,f_Id),0),IFERROR(MATCH($U102&amp;"",INDEX(FormData,0,f_Id),0),""))))</f>
        <v/>
      </c>
      <c r="X102">
        <f>IF(AND($B102&lt;&gt;"",$B102='Event Report'!$C$3),ROW(),"")</f>
        <v/>
      </c>
      <c r="Y102">
        <f>IF(AND($P102="✓",$R102=""),IF($Q102="",90000,$Q102)+ROW()/100000,"")</f>
        <v/>
      </c>
      <c r="Z102">
        <f>IF(OR($U102&lt;&gt;"",$D102&lt;&gt;"",$E102&lt;&gt;"",$N102&lt;&gt;""),1,"")</f>
        <v/>
      </c>
    </row>
    <row r="103">
      <c r="A103" s="13" t="inlineStr">
        <is>
          <t>P-0099</t>
        </is>
      </c>
      <c r="B103" s="14">
        <f>IF(AND($U103="",$C103=""),"",IFERROR(INDEX(EvID,MATCH(INDEX(FormData,$W103,f_Event),EvID,0)),IFERROR(INDEX(EvID,MATCH(INDEX(FormData,$W103,f_Event),EvName,0)),IFERROR(INDEX(EvID,MATCH(INT($C103),EvDate,0)),""))))</f>
        <v/>
      </c>
      <c r="C103" s="15">
        <f>IF($W103="","",INDEX(FormData,$W103,f_Time))</f>
        <v/>
      </c>
      <c r="D103" s="14">
        <f>IF($W103="","",IFERROR(UPPER(LEFT(TRIM(INDEX(FormData,$W103,f_Name)),1)&amp;IFERROR(MID(TRIM(INDEX(FormData,$W103,f_Name)),FIND("^",SUBSTITUTE(TRIM(INDEX(FormData,$W103,f_Name))," ","^",LEN(TRIM(INDEX(FormData,$W103,f_Name)))-LEN(SUBSTITUTE(TRIM(INDEX(FormData,$W103,f_Name))," ",""))))+1,1),"")),""))</f>
        <v/>
      </c>
      <c r="E103" s="16">
        <f>IF($W103="","",IFERROR(IF(SUMPRODUCT(MAX((WhoKW&lt;&gt;"")*ISNUMBER(SEARCH(WhoKW,INDEX(FormData,$W103,f_Who)&amp;""))*(ROW(WhoKW)-MIN(ROW(WhoKW))+1)))=0,"",INDEX(WhoVal,SUMPRODUCT(MAX((WhoKW&lt;&gt;"")*ISNUMBER(SEARCH(WhoKW,INDEX(FormData,$W103,f_Who)&amp;""))*(ROW(WhoKW)-MIN(ROW(WhoKW))+1))))),""))</f>
        <v/>
      </c>
      <c r="F103" s="17">
        <f>IF($W103="","",TRIM(IFERROR(INDEX(FormData,$W103,f_Org1)&amp;"","")&amp;" "&amp;IFERROR(INDEX(FormData,$W103,f_Org2)&amp;"","")))</f>
        <v/>
      </c>
      <c r="G103" s="16">
        <f>IF($W103="","",IFERROR(INDEX(FormData,$W103,f_Region)&amp;"",""))</f>
        <v/>
      </c>
      <c r="H103" s="16">
        <f>IF($W103="","",IFERROR(IF(SUMPRODUCT(MAX((SitKW&lt;&gt;"")*ISNUMBER(SEARCH(SitKW,INDEX(FormData,$W103,f_Sit)&amp;""))*(ROW(SitKW)-MIN(ROW(SitKW))+1)))=0,"",INDEX(SitVal,SUMPRODUCT(MAX((SitKW&lt;&gt;"")*ISNUMBER(SEARCH(SitKW,INDEX(FormData,$W103,f_Sit)&amp;""))*(ROW(SitKW)-MIN(ROW(SitKW))+1))))),""))</f>
        <v/>
      </c>
      <c r="I103" s="14">
        <f>IF($W103="","",IFERROR(INDEX(FormData,$W103,f_Appr)&amp;"",""))</f>
        <v/>
      </c>
      <c r="J103" s="16">
        <f>IF($W103="","",IFERROR(INDEX(FormData,$W103,f_Trade)&amp;"",""))</f>
        <v/>
      </c>
      <c r="K103" s="16" t="n"/>
      <c r="L103" s="17" t="n"/>
      <c r="M103" s="16" t="n"/>
      <c r="N103" s="17" t="n"/>
      <c r="O103" s="14" t="n"/>
      <c r="P103" s="14" t="n"/>
      <c r="Q103" s="18" t="n"/>
      <c r="R103" s="18" t="n"/>
      <c r="S103" s="13">
        <f>IF($P103&lt;&gt;"✓","",IF($R103&lt;&gt;"","Done",IF($Q103="","Open — no date",IF($Q103&lt;TODAY(),"Overdue",IF($Q103-TODAY()&lt;=DueSoon,"Due soon","Scheduled")))))</f>
        <v/>
      </c>
      <c r="T103" s="14">
        <f>IF($W103="","",IFERROR(IF(INDEX(FormData,$W103,f_Consent)&amp;""="","",IF(ISNUMBER(SEARCH("yes",INDEX(FormData,$W103,f_Consent))),"Yes","No")),""))</f>
        <v/>
      </c>
      <c r="U103" s="14" t="n"/>
      <c r="V103" s="13">
        <f>IF($U103="","",IF($W103="","not found","✓"))</f>
        <v/>
      </c>
      <c r="W103">
        <f>IF($U103="","",IFERROR(MATCH($U103,INDEX(FormData,0,f_Id),0),IFERROR(MATCH(--$U103,INDEX(FormData,0,f_Id),0),IFERROR(MATCH($U103&amp;"",INDEX(FormData,0,f_Id),0),""))))</f>
        <v/>
      </c>
      <c r="X103">
        <f>IF(AND($B103&lt;&gt;"",$B103='Event Report'!$C$3),ROW(),"")</f>
        <v/>
      </c>
      <c r="Y103">
        <f>IF(AND($P103="✓",$R103=""),IF($Q103="",90000,$Q103)+ROW()/100000,"")</f>
        <v/>
      </c>
      <c r="Z103">
        <f>IF(OR($U103&lt;&gt;"",$D103&lt;&gt;"",$E103&lt;&gt;"",$N103&lt;&gt;""),1,"")</f>
        <v/>
      </c>
    </row>
    <row r="104">
      <c r="A104" s="13" t="inlineStr">
        <is>
          <t>P-0100</t>
        </is>
      </c>
      <c r="B104" s="14">
        <f>IF(AND($U104="",$C104=""),"",IFERROR(INDEX(EvID,MATCH(INDEX(FormData,$W104,f_Event),EvID,0)),IFERROR(INDEX(EvID,MATCH(INDEX(FormData,$W104,f_Event),EvName,0)),IFERROR(INDEX(EvID,MATCH(INT($C104),EvDate,0)),""))))</f>
        <v/>
      </c>
      <c r="C104" s="15">
        <f>IF($W104="","",INDEX(FormData,$W104,f_Time))</f>
        <v/>
      </c>
      <c r="D104" s="14">
        <f>IF($W104="","",IFERROR(UPPER(LEFT(TRIM(INDEX(FormData,$W104,f_Name)),1)&amp;IFERROR(MID(TRIM(INDEX(FormData,$W104,f_Name)),FIND("^",SUBSTITUTE(TRIM(INDEX(FormData,$W104,f_Name))," ","^",LEN(TRIM(INDEX(FormData,$W104,f_Name)))-LEN(SUBSTITUTE(TRIM(INDEX(FormData,$W104,f_Name))," ",""))))+1,1),"")),""))</f>
        <v/>
      </c>
      <c r="E104" s="16">
        <f>IF($W104="","",IFERROR(IF(SUMPRODUCT(MAX((WhoKW&lt;&gt;"")*ISNUMBER(SEARCH(WhoKW,INDEX(FormData,$W104,f_Who)&amp;""))*(ROW(WhoKW)-MIN(ROW(WhoKW))+1)))=0,"",INDEX(WhoVal,SUMPRODUCT(MAX((WhoKW&lt;&gt;"")*ISNUMBER(SEARCH(WhoKW,INDEX(FormData,$W104,f_Who)&amp;""))*(ROW(WhoKW)-MIN(ROW(WhoKW))+1))))),""))</f>
        <v/>
      </c>
      <c r="F104" s="17">
        <f>IF($W104="","",TRIM(IFERROR(INDEX(FormData,$W104,f_Org1)&amp;"","")&amp;" "&amp;IFERROR(INDEX(FormData,$W104,f_Org2)&amp;"","")))</f>
        <v/>
      </c>
      <c r="G104" s="16">
        <f>IF($W104="","",IFERROR(INDEX(FormData,$W104,f_Region)&amp;"",""))</f>
        <v/>
      </c>
      <c r="H104" s="16">
        <f>IF($W104="","",IFERROR(IF(SUMPRODUCT(MAX((SitKW&lt;&gt;"")*ISNUMBER(SEARCH(SitKW,INDEX(FormData,$W104,f_Sit)&amp;""))*(ROW(SitKW)-MIN(ROW(SitKW))+1)))=0,"",INDEX(SitVal,SUMPRODUCT(MAX((SitKW&lt;&gt;"")*ISNUMBER(SEARCH(SitKW,INDEX(FormData,$W104,f_Sit)&amp;""))*(ROW(SitKW)-MIN(ROW(SitKW))+1))))),""))</f>
        <v/>
      </c>
      <c r="I104" s="14">
        <f>IF($W104="","",IFERROR(INDEX(FormData,$W104,f_Appr)&amp;"",""))</f>
        <v/>
      </c>
      <c r="J104" s="16">
        <f>IF($W104="","",IFERROR(INDEX(FormData,$W104,f_Trade)&amp;"",""))</f>
        <v/>
      </c>
      <c r="K104" s="16" t="n"/>
      <c r="L104" s="17" t="n"/>
      <c r="M104" s="16" t="n"/>
      <c r="N104" s="17" t="n"/>
      <c r="O104" s="14" t="n"/>
      <c r="P104" s="14" t="n"/>
      <c r="Q104" s="18" t="n"/>
      <c r="R104" s="18" t="n"/>
      <c r="S104" s="13">
        <f>IF($P104&lt;&gt;"✓","",IF($R104&lt;&gt;"","Done",IF($Q104="","Open — no date",IF($Q104&lt;TODAY(),"Overdue",IF($Q104-TODAY()&lt;=DueSoon,"Due soon","Scheduled")))))</f>
        <v/>
      </c>
      <c r="T104" s="14">
        <f>IF($W104="","",IFERROR(IF(INDEX(FormData,$W104,f_Consent)&amp;""="","",IF(ISNUMBER(SEARCH("yes",INDEX(FormData,$W104,f_Consent))),"Yes","No")),""))</f>
        <v/>
      </c>
      <c r="U104" s="14" t="n"/>
      <c r="V104" s="13">
        <f>IF($U104="","",IF($W104="","not found","✓"))</f>
        <v/>
      </c>
      <c r="W104">
        <f>IF($U104="","",IFERROR(MATCH($U104,INDEX(FormData,0,f_Id),0),IFERROR(MATCH(--$U104,INDEX(FormData,0,f_Id),0),IFERROR(MATCH($U104&amp;"",INDEX(FormData,0,f_Id),0),""))))</f>
        <v/>
      </c>
      <c r="X104">
        <f>IF(AND($B104&lt;&gt;"",$B104='Event Report'!$C$3),ROW(),"")</f>
        <v/>
      </c>
      <c r="Y104">
        <f>IF(AND($P104="✓",$R104=""),IF($Q104="",90000,$Q104)+ROW()/100000,"")</f>
        <v/>
      </c>
      <c r="Z104">
        <f>IF(OR($U104&lt;&gt;"",$D104&lt;&gt;"",$E104&lt;&gt;"",$N104&lt;&gt;""),1,"")</f>
        <v/>
      </c>
    </row>
    <row r="105">
      <c r="A105" s="13" t="inlineStr">
        <is>
          <t>P-0101</t>
        </is>
      </c>
      <c r="B105" s="14">
        <f>IF(AND($U105="",$C105=""),"",IFERROR(INDEX(EvID,MATCH(INDEX(FormData,$W105,f_Event),EvID,0)),IFERROR(INDEX(EvID,MATCH(INDEX(FormData,$W105,f_Event),EvName,0)),IFERROR(INDEX(EvID,MATCH(INT($C105),EvDate,0)),""))))</f>
        <v/>
      </c>
      <c r="C105" s="15">
        <f>IF($W105="","",INDEX(FormData,$W105,f_Time))</f>
        <v/>
      </c>
      <c r="D105" s="14">
        <f>IF($W105="","",IFERROR(UPPER(LEFT(TRIM(INDEX(FormData,$W105,f_Name)),1)&amp;IFERROR(MID(TRIM(INDEX(FormData,$W105,f_Name)),FIND("^",SUBSTITUTE(TRIM(INDEX(FormData,$W105,f_Name))," ","^",LEN(TRIM(INDEX(FormData,$W105,f_Name)))-LEN(SUBSTITUTE(TRIM(INDEX(FormData,$W105,f_Name))," ",""))))+1,1),"")),""))</f>
        <v/>
      </c>
      <c r="E105" s="16">
        <f>IF($W105="","",IFERROR(IF(SUMPRODUCT(MAX((WhoKW&lt;&gt;"")*ISNUMBER(SEARCH(WhoKW,INDEX(FormData,$W105,f_Who)&amp;""))*(ROW(WhoKW)-MIN(ROW(WhoKW))+1)))=0,"",INDEX(WhoVal,SUMPRODUCT(MAX((WhoKW&lt;&gt;"")*ISNUMBER(SEARCH(WhoKW,INDEX(FormData,$W105,f_Who)&amp;""))*(ROW(WhoKW)-MIN(ROW(WhoKW))+1))))),""))</f>
        <v/>
      </c>
      <c r="F105" s="17">
        <f>IF($W105="","",TRIM(IFERROR(INDEX(FormData,$W105,f_Org1)&amp;"","")&amp;" "&amp;IFERROR(INDEX(FormData,$W105,f_Org2)&amp;"","")))</f>
        <v/>
      </c>
      <c r="G105" s="16">
        <f>IF($W105="","",IFERROR(INDEX(FormData,$W105,f_Region)&amp;"",""))</f>
        <v/>
      </c>
      <c r="H105" s="16">
        <f>IF($W105="","",IFERROR(IF(SUMPRODUCT(MAX((SitKW&lt;&gt;"")*ISNUMBER(SEARCH(SitKW,INDEX(FormData,$W105,f_Sit)&amp;""))*(ROW(SitKW)-MIN(ROW(SitKW))+1)))=0,"",INDEX(SitVal,SUMPRODUCT(MAX((SitKW&lt;&gt;"")*ISNUMBER(SEARCH(SitKW,INDEX(FormData,$W105,f_Sit)&amp;""))*(ROW(SitKW)-MIN(ROW(SitKW))+1))))),""))</f>
        <v/>
      </c>
      <c r="I105" s="14">
        <f>IF($W105="","",IFERROR(INDEX(FormData,$W105,f_Appr)&amp;"",""))</f>
        <v/>
      </c>
      <c r="J105" s="16">
        <f>IF($W105="","",IFERROR(INDEX(FormData,$W105,f_Trade)&amp;"",""))</f>
        <v/>
      </c>
      <c r="K105" s="16" t="n"/>
      <c r="L105" s="17" t="n"/>
      <c r="M105" s="16" t="n"/>
      <c r="N105" s="17" t="n"/>
      <c r="O105" s="14" t="n"/>
      <c r="P105" s="14" t="n"/>
      <c r="Q105" s="18" t="n"/>
      <c r="R105" s="18" t="n"/>
      <c r="S105" s="13">
        <f>IF($P105&lt;&gt;"✓","",IF($R105&lt;&gt;"","Done",IF($Q105="","Open — no date",IF($Q105&lt;TODAY(),"Overdue",IF($Q105-TODAY()&lt;=DueSoon,"Due soon","Scheduled")))))</f>
        <v/>
      </c>
      <c r="T105" s="14">
        <f>IF($W105="","",IFERROR(IF(INDEX(FormData,$W105,f_Consent)&amp;""="","",IF(ISNUMBER(SEARCH("yes",INDEX(FormData,$W105,f_Consent))),"Yes","No")),""))</f>
        <v/>
      </c>
      <c r="U105" s="14" t="n"/>
      <c r="V105" s="13">
        <f>IF($U105="","",IF($W105="","not found","✓"))</f>
        <v/>
      </c>
      <c r="W105">
        <f>IF($U105="","",IFERROR(MATCH($U105,INDEX(FormData,0,f_Id),0),IFERROR(MATCH(--$U105,INDEX(FormData,0,f_Id),0),IFERROR(MATCH($U105&amp;"",INDEX(FormData,0,f_Id),0),""))))</f>
        <v/>
      </c>
      <c r="X105">
        <f>IF(AND($B105&lt;&gt;"",$B105='Event Report'!$C$3),ROW(),"")</f>
        <v/>
      </c>
      <c r="Y105">
        <f>IF(AND($P105="✓",$R105=""),IF($Q105="",90000,$Q105)+ROW()/100000,"")</f>
        <v/>
      </c>
      <c r="Z105">
        <f>IF(OR($U105&lt;&gt;"",$D105&lt;&gt;"",$E105&lt;&gt;"",$N105&lt;&gt;""),1,"")</f>
        <v/>
      </c>
    </row>
    <row r="106">
      <c r="A106" s="13" t="inlineStr">
        <is>
          <t>P-0102</t>
        </is>
      </c>
      <c r="B106" s="14">
        <f>IF(AND($U106="",$C106=""),"",IFERROR(INDEX(EvID,MATCH(INDEX(FormData,$W106,f_Event),EvID,0)),IFERROR(INDEX(EvID,MATCH(INDEX(FormData,$W106,f_Event),EvName,0)),IFERROR(INDEX(EvID,MATCH(INT($C106),EvDate,0)),""))))</f>
        <v/>
      </c>
      <c r="C106" s="15">
        <f>IF($W106="","",INDEX(FormData,$W106,f_Time))</f>
        <v/>
      </c>
      <c r="D106" s="14">
        <f>IF($W106="","",IFERROR(UPPER(LEFT(TRIM(INDEX(FormData,$W106,f_Name)),1)&amp;IFERROR(MID(TRIM(INDEX(FormData,$W106,f_Name)),FIND("^",SUBSTITUTE(TRIM(INDEX(FormData,$W106,f_Name))," ","^",LEN(TRIM(INDEX(FormData,$W106,f_Name)))-LEN(SUBSTITUTE(TRIM(INDEX(FormData,$W106,f_Name))," ",""))))+1,1),"")),""))</f>
        <v/>
      </c>
      <c r="E106" s="16">
        <f>IF($W106="","",IFERROR(IF(SUMPRODUCT(MAX((WhoKW&lt;&gt;"")*ISNUMBER(SEARCH(WhoKW,INDEX(FormData,$W106,f_Who)&amp;""))*(ROW(WhoKW)-MIN(ROW(WhoKW))+1)))=0,"",INDEX(WhoVal,SUMPRODUCT(MAX((WhoKW&lt;&gt;"")*ISNUMBER(SEARCH(WhoKW,INDEX(FormData,$W106,f_Who)&amp;""))*(ROW(WhoKW)-MIN(ROW(WhoKW))+1))))),""))</f>
        <v/>
      </c>
      <c r="F106" s="17">
        <f>IF($W106="","",TRIM(IFERROR(INDEX(FormData,$W106,f_Org1)&amp;"","")&amp;" "&amp;IFERROR(INDEX(FormData,$W106,f_Org2)&amp;"","")))</f>
        <v/>
      </c>
      <c r="G106" s="16">
        <f>IF($W106="","",IFERROR(INDEX(FormData,$W106,f_Region)&amp;"",""))</f>
        <v/>
      </c>
      <c r="H106" s="16">
        <f>IF($W106="","",IFERROR(IF(SUMPRODUCT(MAX((SitKW&lt;&gt;"")*ISNUMBER(SEARCH(SitKW,INDEX(FormData,$W106,f_Sit)&amp;""))*(ROW(SitKW)-MIN(ROW(SitKW))+1)))=0,"",INDEX(SitVal,SUMPRODUCT(MAX((SitKW&lt;&gt;"")*ISNUMBER(SEARCH(SitKW,INDEX(FormData,$W106,f_Sit)&amp;""))*(ROW(SitKW)-MIN(ROW(SitKW))+1))))),""))</f>
        <v/>
      </c>
      <c r="I106" s="14">
        <f>IF($W106="","",IFERROR(INDEX(FormData,$W106,f_Appr)&amp;"",""))</f>
        <v/>
      </c>
      <c r="J106" s="16">
        <f>IF($W106="","",IFERROR(INDEX(FormData,$W106,f_Trade)&amp;"",""))</f>
        <v/>
      </c>
      <c r="K106" s="16" t="n"/>
      <c r="L106" s="17" t="n"/>
      <c r="M106" s="16" t="n"/>
      <c r="N106" s="17" t="n"/>
      <c r="O106" s="14" t="n"/>
      <c r="P106" s="14" t="n"/>
      <c r="Q106" s="18" t="n"/>
      <c r="R106" s="18" t="n"/>
      <c r="S106" s="13">
        <f>IF($P106&lt;&gt;"✓","",IF($R106&lt;&gt;"","Done",IF($Q106="","Open — no date",IF($Q106&lt;TODAY(),"Overdue",IF($Q106-TODAY()&lt;=DueSoon,"Due soon","Scheduled")))))</f>
        <v/>
      </c>
      <c r="T106" s="14">
        <f>IF($W106="","",IFERROR(IF(INDEX(FormData,$W106,f_Consent)&amp;""="","",IF(ISNUMBER(SEARCH("yes",INDEX(FormData,$W106,f_Consent))),"Yes","No")),""))</f>
        <v/>
      </c>
      <c r="U106" s="14" t="n"/>
      <c r="V106" s="13">
        <f>IF($U106="","",IF($W106="","not found","✓"))</f>
        <v/>
      </c>
      <c r="W106">
        <f>IF($U106="","",IFERROR(MATCH($U106,INDEX(FormData,0,f_Id),0),IFERROR(MATCH(--$U106,INDEX(FormData,0,f_Id),0),IFERROR(MATCH($U106&amp;"",INDEX(FormData,0,f_Id),0),""))))</f>
        <v/>
      </c>
      <c r="X106">
        <f>IF(AND($B106&lt;&gt;"",$B106='Event Report'!$C$3),ROW(),"")</f>
        <v/>
      </c>
      <c r="Y106">
        <f>IF(AND($P106="✓",$R106=""),IF($Q106="",90000,$Q106)+ROW()/100000,"")</f>
        <v/>
      </c>
      <c r="Z106">
        <f>IF(OR($U106&lt;&gt;"",$D106&lt;&gt;"",$E106&lt;&gt;"",$N106&lt;&gt;""),1,"")</f>
        <v/>
      </c>
    </row>
    <row r="107">
      <c r="A107" s="13" t="inlineStr">
        <is>
          <t>P-0103</t>
        </is>
      </c>
      <c r="B107" s="14">
        <f>IF(AND($U107="",$C107=""),"",IFERROR(INDEX(EvID,MATCH(INDEX(FormData,$W107,f_Event),EvID,0)),IFERROR(INDEX(EvID,MATCH(INDEX(FormData,$W107,f_Event),EvName,0)),IFERROR(INDEX(EvID,MATCH(INT($C107),EvDate,0)),""))))</f>
        <v/>
      </c>
      <c r="C107" s="15">
        <f>IF($W107="","",INDEX(FormData,$W107,f_Time))</f>
        <v/>
      </c>
      <c r="D107" s="14">
        <f>IF($W107="","",IFERROR(UPPER(LEFT(TRIM(INDEX(FormData,$W107,f_Name)),1)&amp;IFERROR(MID(TRIM(INDEX(FormData,$W107,f_Name)),FIND("^",SUBSTITUTE(TRIM(INDEX(FormData,$W107,f_Name))," ","^",LEN(TRIM(INDEX(FormData,$W107,f_Name)))-LEN(SUBSTITUTE(TRIM(INDEX(FormData,$W107,f_Name))," ",""))))+1,1),"")),""))</f>
        <v/>
      </c>
      <c r="E107" s="16">
        <f>IF($W107="","",IFERROR(IF(SUMPRODUCT(MAX((WhoKW&lt;&gt;"")*ISNUMBER(SEARCH(WhoKW,INDEX(FormData,$W107,f_Who)&amp;""))*(ROW(WhoKW)-MIN(ROW(WhoKW))+1)))=0,"",INDEX(WhoVal,SUMPRODUCT(MAX((WhoKW&lt;&gt;"")*ISNUMBER(SEARCH(WhoKW,INDEX(FormData,$W107,f_Who)&amp;""))*(ROW(WhoKW)-MIN(ROW(WhoKW))+1))))),""))</f>
        <v/>
      </c>
      <c r="F107" s="17">
        <f>IF($W107="","",TRIM(IFERROR(INDEX(FormData,$W107,f_Org1)&amp;"","")&amp;" "&amp;IFERROR(INDEX(FormData,$W107,f_Org2)&amp;"","")))</f>
        <v/>
      </c>
      <c r="G107" s="16">
        <f>IF($W107="","",IFERROR(INDEX(FormData,$W107,f_Region)&amp;"",""))</f>
        <v/>
      </c>
      <c r="H107" s="16">
        <f>IF($W107="","",IFERROR(IF(SUMPRODUCT(MAX((SitKW&lt;&gt;"")*ISNUMBER(SEARCH(SitKW,INDEX(FormData,$W107,f_Sit)&amp;""))*(ROW(SitKW)-MIN(ROW(SitKW))+1)))=0,"",INDEX(SitVal,SUMPRODUCT(MAX((SitKW&lt;&gt;"")*ISNUMBER(SEARCH(SitKW,INDEX(FormData,$W107,f_Sit)&amp;""))*(ROW(SitKW)-MIN(ROW(SitKW))+1))))),""))</f>
        <v/>
      </c>
      <c r="I107" s="14">
        <f>IF($W107="","",IFERROR(INDEX(FormData,$W107,f_Appr)&amp;"",""))</f>
        <v/>
      </c>
      <c r="J107" s="16">
        <f>IF($W107="","",IFERROR(INDEX(FormData,$W107,f_Trade)&amp;"",""))</f>
        <v/>
      </c>
      <c r="K107" s="16" t="n"/>
      <c r="L107" s="17" t="n"/>
      <c r="M107" s="16" t="n"/>
      <c r="N107" s="17" t="n"/>
      <c r="O107" s="14" t="n"/>
      <c r="P107" s="14" t="n"/>
      <c r="Q107" s="18" t="n"/>
      <c r="R107" s="18" t="n"/>
      <c r="S107" s="13">
        <f>IF($P107&lt;&gt;"✓","",IF($R107&lt;&gt;"","Done",IF($Q107="","Open — no date",IF($Q107&lt;TODAY(),"Overdue",IF($Q107-TODAY()&lt;=DueSoon,"Due soon","Scheduled")))))</f>
        <v/>
      </c>
      <c r="T107" s="14">
        <f>IF($W107="","",IFERROR(IF(INDEX(FormData,$W107,f_Consent)&amp;""="","",IF(ISNUMBER(SEARCH("yes",INDEX(FormData,$W107,f_Consent))),"Yes","No")),""))</f>
        <v/>
      </c>
      <c r="U107" s="14" t="n"/>
      <c r="V107" s="13">
        <f>IF($U107="","",IF($W107="","not found","✓"))</f>
        <v/>
      </c>
      <c r="W107">
        <f>IF($U107="","",IFERROR(MATCH($U107,INDEX(FormData,0,f_Id),0),IFERROR(MATCH(--$U107,INDEX(FormData,0,f_Id),0),IFERROR(MATCH($U107&amp;"",INDEX(FormData,0,f_Id),0),""))))</f>
        <v/>
      </c>
      <c r="X107">
        <f>IF(AND($B107&lt;&gt;"",$B107='Event Report'!$C$3),ROW(),"")</f>
        <v/>
      </c>
      <c r="Y107">
        <f>IF(AND($P107="✓",$R107=""),IF($Q107="",90000,$Q107)+ROW()/100000,"")</f>
        <v/>
      </c>
      <c r="Z107">
        <f>IF(OR($U107&lt;&gt;"",$D107&lt;&gt;"",$E107&lt;&gt;"",$N107&lt;&gt;""),1,"")</f>
        <v/>
      </c>
    </row>
    <row r="108">
      <c r="A108" s="13" t="inlineStr">
        <is>
          <t>P-0104</t>
        </is>
      </c>
      <c r="B108" s="14">
        <f>IF(AND($U108="",$C108=""),"",IFERROR(INDEX(EvID,MATCH(INDEX(FormData,$W108,f_Event),EvID,0)),IFERROR(INDEX(EvID,MATCH(INDEX(FormData,$W108,f_Event),EvName,0)),IFERROR(INDEX(EvID,MATCH(INT($C108),EvDate,0)),""))))</f>
        <v/>
      </c>
      <c r="C108" s="15">
        <f>IF($W108="","",INDEX(FormData,$W108,f_Time))</f>
        <v/>
      </c>
      <c r="D108" s="14">
        <f>IF($W108="","",IFERROR(UPPER(LEFT(TRIM(INDEX(FormData,$W108,f_Name)),1)&amp;IFERROR(MID(TRIM(INDEX(FormData,$W108,f_Name)),FIND("^",SUBSTITUTE(TRIM(INDEX(FormData,$W108,f_Name))," ","^",LEN(TRIM(INDEX(FormData,$W108,f_Name)))-LEN(SUBSTITUTE(TRIM(INDEX(FormData,$W108,f_Name))," ",""))))+1,1),"")),""))</f>
        <v/>
      </c>
      <c r="E108" s="16">
        <f>IF($W108="","",IFERROR(IF(SUMPRODUCT(MAX((WhoKW&lt;&gt;"")*ISNUMBER(SEARCH(WhoKW,INDEX(FormData,$W108,f_Who)&amp;""))*(ROW(WhoKW)-MIN(ROW(WhoKW))+1)))=0,"",INDEX(WhoVal,SUMPRODUCT(MAX((WhoKW&lt;&gt;"")*ISNUMBER(SEARCH(WhoKW,INDEX(FormData,$W108,f_Who)&amp;""))*(ROW(WhoKW)-MIN(ROW(WhoKW))+1))))),""))</f>
        <v/>
      </c>
      <c r="F108" s="17">
        <f>IF($W108="","",TRIM(IFERROR(INDEX(FormData,$W108,f_Org1)&amp;"","")&amp;" "&amp;IFERROR(INDEX(FormData,$W108,f_Org2)&amp;"","")))</f>
        <v/>
      </c>
      <c r="G108" s="16">
        <f>IF($W108="","",IFERROR(INDEX(FormData,$W108,f_Region)&amp;"",""))</f>
        <v/>
      </c>
      <c r="H108" s="16">
        <f>IF($W108="","",IFERROR(IF(SUMPRODUCT(MAX((SitKW&lt;&gt;"")*ISNUMBER(SEARCH(SitKW,INDEX(FormData,$W108,f_Sit)&amp;""))*(ROW(SitKW)-MIN(ROW(SitKW))+1)))=0,"",INDEX(SitVal,SUMPRODUCT(MAX((SitKW&lt;&gt;"")*ISNUMBER(SEARCH(SitKW,INDEX(FormData,$W108,f_Sit)&amp;""))*(ROW(SitKW)-MIN(ROW(SitKW))+1))))),""))</f>
        <v/>
      </c>
      <c r="I108" s="14">
        <f>IF($W108="","",IFERROR(INDEX(FormData,$W108,f_Appr)&amp;"",""))</f>
        <v/>
      </c>
      <c r="J108" s="16">
        <f>IF($W108="","",IFERROR(INDEX(FormData,$W108,f_Trade)&amp;"",""))</f>
        <v/>
      </c>
      <c r="K108" s="16" t="n"/>
      <c r="L108" s="17" t="n"/>
      <c r="M108" s="16" t="n"/>
      <c r="N108" s="17" t="n"/>
      <c r="O108" s="14" t="n"/>
      <c r="P108" s="14" t="n"/>
      <c r="Q108" s="18" t="n"/>
      <c r="R108" s="18" t="n"/>
      <c r="S108" s="13">
        <f>IF($P108&lt;&gt;"✓","",IF($R108&lt;&gt;"","Done",IF($Q108="","Open — no date",IF($Q108&lt;TODAY(),"Overdue",IF($Q108-TODAY()&lt;=DueSoon,"Due soon","Scheduled")))))</f>
        <v/>
      </c>
      <c r="T108" s="14">
        <f>IF($W108="","",IFERROR(IF(INDEX(FormData,$W108,f_Consent)&amp;""="","",IF(ISNUMBER(SEARCH("yes",INDEX(FormData,$W108,f_Consent))),"Yes","No")),""))</f>
        <v/>
      </c>
      <c r="U108" s="14" t="n"/>
      <c r="V108" s="13">
        <f>IF($U108="","",IF($W108="","not found","✓"))</f>
        <v/>
      </c>
      <c r="W108">
        <f>IF($U108="","",IFERROR(MATCH($U108,INDEX(FormData,0,f_Id),0),IFERROR(MATCH(--$U108,INDEX(FormData,0,f_Id),0),IFERROR(MATCH($U108&amp;"",INDEX(FormData,0,f_Id),0),""))))</f>
        <v/>
      </c>
      <c r="X108">
        <f>IF(AND($B108&lt;&gt;"",$B108='Event Report'!$C$3),ROW(),"")</f>
        <v/>
      </c>
      <c r="Y108">
        <f>IF(AND($P108="✓",$R108=""),IF($Q108="",90000,$Q108)+ROW()/100000,"")</f>
        <v/>
      </c>
      <c r="Z108">
        <f>IF(OR($U108&lt;&gt;"",$D108&lt;&gt;"",$E108&lt;&gt;"",$N108&lt;&gt;""),1,"")</f>
        <v/>
      </c>
    </row>
    <row r="109">
      <c r="A109" s="13" t="inlineStr">
        <is>
          <t>P-0105</t>
        </is>
      </c>
      <c r="B109" s="14">
        <f>IF(AND($U109="",$C109=""),"",IFERROR(INDEX(EvID,MATCH(INDEX(FormData,$W109,f_Event),EvID,0)),IFERROR(INDEX(EvID,MATCH(INDEX(FormData,$W109,f_Event),EvName,0)),IFERROR(INDEX(EvID,MATCH(INT($C109),EvDate,0)),""))))</f>
        <v/>
      </c>
      <c r="C109" s="15">
        <f>IF($W109="","",INDEX(FormData,$W109,f_Time))</f>
        <v/>
      </c>
      <c r="D109" s="14">
        <f>IF($W109="","",IFERROR(UPPER(LEFT(TRIM(INDEX(FormData,$W109,f_Name)),1)&amp;IFERROR(MID(TRIM(INDEX(FormData,$W109,f_Name)),FIND("^",SUBSTITUTE(TRIM(INDEX(FormData,$W109,f_Name))," ","^",LEN(TRIM(INDEX(FormData,$W109,f_Name)))-LEN(SUBSTITUTE(TRIM(INDEX(FormData,$W109,f_Name))," ",""))))+1,1),"")),""))</f>
        <v/>
      </c>
      <c r="E109" s="16">
        <f>IF($W109="","",IFERROR(IF(SUMPRODUCT(MAX((WhoKW&lt;&gt;"")*ISNUMBER(SEARCH(WhoKW,INDEX(FormData,$W109,f_Who)&amp;""))*(ROW(WhoKW)-MIN(ROW(WhoKW))+1)))=0,"",INDEX(WhoVal,SUMPRODUCT(MAX((WhoKW&lt;&gt;"")*ISNUMBER(SEARCH(WhoKW,INDEX(FormData,$W109,f_Who)&amp;""))*(ROW(WhoKW)-MIN(ROW(WhoKW))+1))))),""))</f>
        <v/>
      </c>
      <c r="F109" s="17">
        <f>IF($W109="","",TRIM(IFERROR(INDEX(FormData,$W109,f_Org1)&amp;"","")&amp;" "&amp;IFERROR(INDEX(FormData,$W109,f_Org2)&amp;"","")))</f>
        <v/>
      </c>
      <c r="G109" s="16">
        <f>IF($W109="","",IFERROR(INDEX(FormData,$W109,f_Region)&amp;"",""))</f>
        <v/>
      </c>
      <c r="H109" s="16">
        <f>IF($W109="","",IFERROR(IF(SUMPRODUCT(MAX((SitKW&lt;&gt;"")*ISNUMBER(SEARCH(SitKW,INDEX(FormData,$W109,f_Sit)&amp;""))*(ROW(SitKW)-MIN(ROW(SitKW))+1)))=0,"",INDEX(SitVal,SUMPRODUCT(MAX((SitKW&lt;&gt;"")*ISNUMBER(SEARCH(SitKW,INDEX(FormData,$W109,f_Sit)&amp;""))*(ROW(SitKW)-MIN(ROW(SitKW))+1))))),""))</f>
        <v/>
      </c>
      <c r="I109" s="14">
        <f>IF($W109="","",IFERROR(INDEX(FormData,$W109,f_Appr)&amp;"",""))</f>
        <v/>
      </c>
      <c r="J109" s="16">
        <f>IF($W109="","",IFERROR(INDEX(FormData,$W109,f_Trade)&amp;"",""))</f>
        <v/>
      </c>
      <c r="K109" s="16" t="n"/>
      <c r="L109" s="17" t="n"/>
      <c r="M109" s="16" t="n"/>
      <c r="N109" s="17" t="n"/>
      <c r="O109" s="14" t="n"/>
      <c r="P109" s="14" t="n"/>
      <c r="Q109" s="18" t="n"/>
      <c r="R109" s="18" t="n"/>
      <c r="S109" s="13">
        <f>IF($P109&lt;&gt;"✓","",IF($R109&lt;&gt;"","Done",IF($Q109="","Open — no date",IF($Q109&lt;TODAY(),"Overdue",IF($Q109-TODAY()&lt;=DueSoon,"Due soon","Scheduled")))))</f>
        <v/>
      </c>
      <c r="T109" s="14">
        <f>IF($W109="","",IFERROR(IF(INDEX(FormData,$W109,f_Consent)&amp;""="","",IF(ISNUMBER(SEARCH("yes",INDEX(FormData,$W109,f_Consent))),"Yes","No")),""))</f>
        <v/>
      </c>
      <c r="U109" s="14" t="n"/>
      <c r="V109" s="13">
        <f>IF($U109="","",IF($W109="","not found","✓"))</f>
        <v/>
      </c>
      <c r="W109">
        <f>IF($U109="","",IFERROR(MATCH($U109,INDEX(FormData,0,f_Id),0),IFERROR(MATCH(--$U109,INDEX(FormData,0,f_Id),0),IFERROR(MATCH($U109&amp;"",INDEX(FormData,0,f_Id),0),""))))</f>
        <v/>
      </c>
      <c r="X109">
        <f>IF(AND($B109&lt;&gt;"",$B109='Event Report'!$C$3),ROW(),"")</f>
        <v/>
      </c>
      <c r="Y109">
        <f>IF(AND($P109="✓",$R109=""),IF($Q109="",90000,$Q109)+ROW()/100000,"")</f>
        <v/>
      </c>
      <c r="Z109">
        <f>IF(OR($U109&lt;&gt;"",$D109&lt;&gt;"",$E109&lt;&gt;"",$N109&lt;&gt;""),1,"")</f>
        <v/>
      </c>
    </row>
    <row r="110">
      <c r="A110" s="13" t="inlineStr">
        <is>
          <t>P-0106</t>
        </is>
      </c>
      <c r="B110" s="14">
        <f>IF(AND($U110="",$C110=""),"",IFERROR(INDEX(EvID,MATCH(INDEX(FormData,$W110,f_Event),EvID,0)),IFERROR(INDEX(EvID,MATCH(INDEX(FormData,$W110,f_Event),EvName,0)),IFERROR(INDEX(EvID,MATCH(INT($C110),EvDate,0)),""))))</f>
        <v/>
      </c>
      <c r="C110" s="15">
        <f>IF($W110="","",INDEX(FormData,$W110,f_Time))</f>
        <v/>
      </c>
      <c r="D110" s="14">
        <f>IF($W110="","",IFERROR(UPPER(LEFT(TRIM(INDEX(FormData,$W110,f_Name)),1)&amp;IFERROR(MID(TRIM(INDEX(FormData,$W110,f_Name)),FIND("^",SUBSTITUTE(TRIM(INDEX(FormData,$W110,f_Name))," ","^",LEN(TRIM(INDEX(FormData,$W110,f_Name)))-LEN(SUBSTITUTE(TRIM(INDEX(FormData,$W110,f_Name))," ",""))))+1,1),"")),""))</f>
        <v/>
      </c>
      <c r="E110" s="16">
        <f>IF($W110="","",IFERROR(IF(SUMPRODUCT(MAX((WhoKW&lt;&gt;"")*ISNUMBER(SEARCH(WhoKW,INDEX(FormData,$W110,f_Who)&amp;""))*(ROW(WhoKW)-MIN(ROW(WhoKW))+1)))=0,"",INDEX(WhoVal,SUMPRODUCT(MAX((WhoKW&lt;&gt;"")*ISNUMBER(SEARCH(WhoKW,INDEX(FormData,$W110,f_Who)&amp;""))*(ROW(WhoKW)-MIN(ROW(WhoKW))+1))))),""))</f>
        <v/>
      </c>
      <c r="F110" s="17">
        <f>IF($W110="","",TRIM(IFERROR(INDEX(FormData,$W110,f_Org1)&amp;"","")&amp;" "&amp;IFERROR(INDEX(FormData,$W110,f_Org2)&amp;"","")))</f>
        <v/>
      </c>
      <c r="G110" s="16">
        <f>IF($W110="","",IFERROR(INDEX(FormData,$W110,f_Region)&amp;"",""))</f>
        <v/>
      </c>
      <c r="H110" s="16">
        <f>IF($W110="","",IFERROR(IF(SUMPRODUCT(MAX((SitKW&lt;&gt;"")*ISNUMBER(SEARCH(SitKW,INDEX(FormData,$W110,f_Sit)&amp;""))*(ROW(SitKW)-MIN(ROW(SitKW))+1)))=0,"",INDEX(SitVal,SUMPRODUCT(MAX((SitKW&lt;&gt;"")*ISNUMBER(SEARCH(SitKW,INDEX(FormData,$W110,f_Sit)&amp;""))*(ROW(SitKW)-MIN(ROW(SitKW))+1))))),""))</f>
        <v/>
      </c>
      <c r="I110" s="14">
        <f>IF($W110="","",IFERROR(INDEX(FormData,$W110,f_Appr)&amp;"",""))</f>
        <v/>
      </c>
      <c r="J110" s="16">
        <f>IF($W110="","",IFERROR(INDEX(FormData,$W110,f_Trade)&amp;"",""))</f>
        <v/>
      </c>
      <c r="K110" s="16" t="n"/>
      <c r="L110" s="17" t="n"/>
      <c r="M110" s="16" t="n"/>
      <c r="N110" s="17" t="n"/>
      <c r="O110" s="14" t="n"/>
      <c r="P110" s="14" t="n"/>
      <c r="Q110" s="18" t="n"/>
      <c r="R110" s="18" t="n"/>
      <c r="S110" s="13">
        <f>IF($P110&lt;&gt;"✓","",IF($R110&lt;&gt;"","Done",IF($Q110="","Open — no date",IF($Q110&lt;TODAY(),"Overdue",IF($Q110-TODAY()&lt;=DueSoon,"Due soon","Scheduled")))))</f>
        <v/>
      </c>
      <c r="T110" s="14">
        <f>IF($W110="","",IFERROR(IF(INDEX(FormData,$W110,f_Consent)&amp;""="","",IF(ISNUMBER(SEARCH("yes",INDEX(FormData,$W110,f_Consent))),"Yes","No")),""))</f>
        <v/>
      </c>
      <c r="U110" s="14" t="n"/>
      <c r="V110" s="13">
        <f>IF($U110="","",IF($W110="","not found","✓"))</f>
        <v/>
      </c>
      <c r="W110">
        <f>IF($U110="","",IFERROR(MATCH($U110,INDEX(FormData,0,f_Id),0),IFERROR(MATCH(--$U110,INDEX(FormData,0,f_Id),0),IFERROR(MATCH($U110&amp;"",INDEX(FormData,0,f_Id),0),""))))</f>
        <v/>
      </c>
      <c r="X110">
        <f>IF(AND($B110&lt;&gt;"",$B110='Event Report'!$C$3),ROW(),"")</f>
        <v/>
      </c>
      <c r="Y110">
        <f>IF(AND($P110="✓",$R110=""),IF($Q110="",90000,$Q110)+ROW()/100000,"")</f>
        <v/>
      </c>
      <c r="Z110">
        <f>IF(OR($U110&lt;&gt;"",$D110&lt;&gt;"",$E110&lt;&gt;"",$N110&lt;&gt;""),1,"")</f>
        <v/>
      </c>
    </row>
    <row r="111">
      <c r="A111" s="13" t="inlineStr">
        <is>
          <t>P-0107</t>
        </is>
      </c>
      <c r="B111" s="14">
        <f>IF(AND($U111="",$C111=""),"",IFERROR(INDEX(EvID,MATCH(INDEX(FormData,$W111,f_Event),EvID,0)),IFERROR(INDEX(EvID,MATCH(INDEX(FormData,$W111,f_Event),EvName,0)),IFERROR(INDEX(EvID,MATCH(INT($C111),EvDate,0)),""))))</f>
        <v/>
      </c>
      <c r="C111" s="15">
        <f>IF($W111="","",INDEX(FormData,$W111,f_Time))</f>
        <v/>
      </c>
      <c r="D111" s="14">
        <f>IF($W111="","",IFERROR(UPPER(LEFT(TRIM(INDEX(FormData,$W111,f_Name)),1)&amp;IFERROR(MID(TRIM(INDEX(FormData,$W111,f_Name)),FIND("^",SUBSTITUTE(TRIM(INDEX(FormData,$W111,f_Name))," ","^",LEN(TRIM(INDEX(FormData,$W111,f_Name)))-LEN(SUBSTITUTE(TRIM(INDEX(FormData,$W111,f_Name))," ",""))))+1,1),"")),""))</f>
        <v/>
      </c>
      <c r="E111" s="16">
        <f>IF($W111="","",IFERROR(IF(SUMPRODUCT(MAX((WhoKW&lt;&gt;"")*ISNUMBER(SEARCH(WhoKW,INDEX(FormData,$W111,f_Who)&amp;""))*(ROW(WhoKW)-MIN(ROW(WhoKW))+1)))=0,"",INDEX(WhoVal,SUMPRODUCT(MAX((WhoKW&lt;&gt;"")*ISNUMBER(SEARCH(WhoKW,INDEX(FormData,$W111,f_Who)&amp;""))*(ROW(WhoKW)-MIN(ROW(WhoKW))+1))))),""))</f>
        <v/>
      </c>
      <c r="F111" s="17">
        <f>IF($W111="","",TRIM(IFERROR(INDEX(FormData,$W111,f_Org1)&amp;"","")&amp;" "&amp;IFERROR(INDEX(FormData,$W111,f_Org2)&amp;"","")))</f>
        <v/>
      </c>
      <c r="G111" s="16">
        <f>IF($W111="","",IFERROR(INDEX(FormData,$W111,f_Region)&amp;"",""))</f>
        <v/>
      </c>
      <c r="H111" s="16">
        <f>IF($W111="","",IFERROR(IF(SUMPRODUCT(MAX((SitKW&lt;&gt;"")*ISNUMBER(SEARCH(SitKW,INDEX(FormData,$W111,f_Sit)&amp;""))*(ROW(SitKW)-MIN(ROW(SitKW))+1)))=0,"",INDEX(SitVal,SUMPRODUCT(MAX((SitKW&lt;&gt;"")*ISNUMBER(SEARCH(SitKW,INDEX(FormData,$W111,f_Sit)&amp;""))*(ROW(SitKW)-MIN(ROW(SitKW))+1))))),""))</f>
        <v/>
      </c>
      <c r="I111" s="14">
        <f>IF($W111="","",IFERROR(INDEX(FormData,$W111,f_Appr)&amp;"",""))</f>
        <v/>
      </c>
      <c r="J111" s="16">
        <f>IF($W111="","",IFERROR(INDEX(FormData,$W111,f_Trade)&amp;"",""))</f>
        <v/>
      </c>
      <c r="K111" s="16" t="n"/>
      <c r="L111" s="17" t="n"/>
      <c r="M111" s="16" t="n"/>
      <c r="N111" s="17" t="n"/>
      <c r="O111" s="14" t="n"/>
      <c r="P111" s="14" t="n"/>
      <c r="Q111" s="18" t="n"/>
      <c r="R111" s="18" t="n"/>
      <c r="S111" s="13">
        <f>IF($P111&lt;&gt;"✓","",IF($R111&lt;&gt;"","Done",IF($Q111="","Open — no date",IF($Q111&lt;TODAY(),"Overdue",IF($Q111-TODAY()&lt;=DueSoon,"Due soon","Scheduled")))))</f>
        <v/>
      </c>
      <c r="T111" s="14">
        <f>IF($W111="","",IFERROR(IF(INDEX(FormData,$W111,f_Consent)&amp;""="","",IF(ISNUMBER(SEARCH("yes",INDEX(FormData,$W111,f_Consent))),"Yes","No")),""))</f>
        <v/>
      </c>
      <c r="U111" s="14" t="n"/>
      <c r="V111" s="13">
        <f>IF($U111="","",IF($W111="","not found","✓"))</f>
        <v/>
      </c>
      <c r="W111">
        <f>IF($U111="","",IFERROR(MATCH($U111,INDEX(FormData,0,f_Id),0),IFERROR(MATCH(--$U111,INDEX(FormData,0,f_Id),0),IFERROR(MATCH($U111&amp;"",INDEX(FormData,0,f_Id),0),""))))</f>
        <v/>
      </c>
      <c r="X111">
        <f>IF(AND($B111&lt;&gt;"",$B111='Event Report'!$C$3),ROW(),"")</f>
        <v/>
      </c>
      <c r="Y111">
        <f>IF(AND($P111="✓",$R111=""),IF($Q111="",90000,$Q111)+ROW()/100000,"")</f>
        <v/>
      </c>
      <c r="Z111">
        <f>IF(OR($U111&lt;&gt;"",$D111&lt;&gt;"",$E111&lt;&gt;"",$N111&lt;&gt;""),1,"")</f>
        <v/>
      </c>
    </row>
    <row r="112">
      <c r="A112" s="13" t="inlineStr">
        <is>
          <t>P-0108</t>
        </is>
      </c>
      <c r="B112" s="14">
        <f>IF(AND($U112="",$C112=""),"",IFERROR(INDEX(EvID,MATCH(INDEX(FormData,$W112,f_Event),EvID,0)),IFERROR(INDEX(EvID,MATCH(INDEX(FormData,$W112,f_Event),EvName,0)),IFERROR(INDEX(EvID,MATCH(INT($C112),EvDate,0)),""))))</f>
        <v/>
      </c>
      <c r="C112" s="15">
        <f>IF($W112="","",INDEX(FormData,$W112,f_Time))</f>
        <v/>
      </c>
      <c r="D112" s="14">
        <f>IF($W112="","",IFERROR(UPPER(LEFT(TRIM(INDEX(FormData,$W112,f_Name)),1)&amp;IFERROR(MID(TRIM(INDEX(FormData,$W112,f_Name)),FIND("^",SUBSTITUTE(TRIM(INDEX(FormData,$W112,f_Name))," ","^",LEN(TRIM(INDEX(FormData,$W112,f_Name)))-LEN(SUBSTITUTE(TRIM(INDEX(FormData,$W112,f_Name))," ",""))))+1,1),"")),""))</f>
        <v/>
      </c>
      <c r="E112" s="16">
        <f>IF($W112="","",IFERROR(IF(SUMPRODUCT(MAX((WhoKW&lt;&gt;"")*ISNUMBER(SEARCH(WhoKW,INDEX(FormData,$W112,f_Who)&amp;""))*(ROW(WhoKW)-MIN(ROW(WhoKW))+1)))=0,"",INDEX(WhoVal,SUMPRODUCT(MAX((WhoKW&lt;&gt;"")*ISNUMBER(SEARCH(WhoKW,INDEX(FormData,$W112,f_Who)&amp;""))*(ROW(WhoKW)-MIN(ROW(WhoKW))+1))))),""))</f>
        <v/>
      </c>
      <c r="F112" s="17">
        <f>IF($W112="","",TRIM(IFERROR(INDEX(FormData,$W112,f_Org1)&amp;"","")&amp;" "&amp;IFERROR(INDEX(FormData,$W112,f_Org2)&amp;"","")))</f>
        <v/>
      </c>
      <c r="G112" s="16">
        <f>IF($W112="","",IFERROR(INDEX(FormData,$W112,f_Region)&amp;"",""))</f>
        <v/>
      </c>
      <c r="H112" s="16">
        <f>IF($W112="","",IFERROR(IF(SUMPRODUCT(MAX((SitKW&lt;&gt;"")*ISNUMBER(SEARCH(SitKW,INDEX(FormData,$W112,f_Sit)&amp;""))*(ROW(SitKW)-MIN(ROW(SitKW))+1)))=0,"",INDEX(SitVal,SUMPRODUCT(MAX((SitKW&lt;&gt;"")*ISNUMBER(SEARCH(SitKW,INDEX(FormData,$W112,f_Sit)&amp;""))*(ROW(SitKW)-MIN(ROW(SitKW))+1))))),""))</f>
        <v/>
      </c>
      <c r="I112" s="14">
        <f>IF($W112="","",IFERROR(INDEX(FormData,$W112,f_Appr)&amp;"",""))</f>
        <v/>
      </c>
      <c r="J112" s="16">
        <f>IF($W112="","",IFERROR(INDEX(FormData,$W112,f_Trade)&amp;"",""))</f>
        <v/>
      </c>
      <c r="K112" s="16" t="n"/>
      <c r="L112" s="17" t="n"/>
      <c r="M112" s="16" t="n"/>
      <c r="N112" s="17" t="n"/>
      <c r="O112" s="14" t="n"/>
      <c r="P112" s="14" t="n"/>
      <c r="Q112" s="18" t="n"/>
      <c r="R112" s="18" t="n"/>
      <c r="S112" s="13">
        <f>IF($P112&lt;&gt;"✓","",IF($R112&lt;&gt;"","Done",IF($Q112="","Open — no date",IF($Q112&lt;TODAY(),"Overdue",IF($Q112-TODAY()&lt;=DueSoon,"Due soon","Scheduled")))))</f>
        <v/>
      </c>
      <c r="T112" s="14">
        <f>IF($W112="","",IFERROR(IF(INDEX(FormData,$W112,f_Consent)&amp;""="","",IF(ISNUMBER(SEARCH("yes",INDEX(FormData,$W112,f_Consent))),"Yes","No")),""))</f>
        <v/>
      </c>
      <c r="U112" s="14" t="n"/>
      <c r="V112" s="13">
        <f>IF($U112="","",IF($W112="","not found","✓"))</f>
        <v/>
      </c>
      <c r="W112">
        <f>IF($U112="","",IFERROR(MATCH($U112,INDEX(FormData,0,f_Id),0),IFERROR(MATCH(--$U112,INDEX(FormData,0,f_Id),0),IFERROR(MATCH($U112&amp;"",INDEX(FormData,0,f_Id),0),""))))</f>
        <v/>
      </c>
      <c r="X112">
        <f>IF(AND($B112&lt;&gt;"",$B112='Event Report'!$C$3),ROW(),"")</f>
        <v/>
      </c>
      <c r="Y112">
        <f>IF(AND($P112="✓",$R112=""),IF($Q112="",90000,$Q112)+ROW()/100000,"")</f>
        <v/>
      </c>
      <c r="Z112">
        <f>IF(OR($U112&lt;&gt;"",$D112&lt;&gt;"",$E112&lt;&gt;"",$N112&lt;&gt;""),1,"")</f>
        <v/>
      </c>
    </row>
    <row r="113">
      <c r="A113" s="13" t="inlineStr">
        <is>
          <t>P-0109</t>
        </is>
      </c>
      <c r="B113" s="14">
        <f>IF(AND($U113="",$C113=""),"",IFERROR(INDEX(EvID,MATCH(INDEX(FormData,$W113,f_Event),EvID,0)),IFERROR(INDEX(EvID,MATCH(INDEX(FormData,$W113,f_Event),EvName,0)),IFERROR(INDEX(EvID,MATCH(INT($C113),EvDate,0)),""))))</f>
        <v/>
      </c>
      <c r="C113" s="15">
        <f>IF($W113="","",INDEX(FormData,$W113,f_Time))</f>
        <v/>
      </c>
      <c r="D113" s="14">
        <f>IF($W113="","",IFERROR(UPPER(LEFT(TRIM(INDEX(FormData,$W113,f_Name)),1)&amp;IFERROR(MID(TRIM(INDEX(FormData,$W113,f_Name)),FIND("^",SUBSTITUTE(TRIM(INDEX(FormData,$W113,f_Name))," ","^",LEN(TRIM(INDEX(FormData,$W113,f_Name)))-LEN(SUBSTITUTE(TRIM(INDEX(FormData,$W113,f_Name))," ",""))))+1,1),"")),""))</f>
        <v/>
      </c>
      <c r="E113" s="16">
        <f>IF($W113="","",IFERROR(IF(SUMPRODUCT(MAX((WhoKW&lt;&gt;"")*ISNUMBER(SEARCH(WhoKW,INDEX(FormData,$W113,f_Who)&amp;""))*(ROW(WhoKW)-MIN(ROW(WhoKW))+1)))=0,"",INDEX(WhoVal,SUMPRODUCT(MAX((WhoKW&lt;&gt;"")*ISNUMBER(SEARCH(WhoKW,INDEX(FormData,$W113,f_Who)&amp;""))*(ROW(WhoKW)-MIN(ROW(WhoKW))+1))))),""))</f>
        <v/>
      </c>
      <c r="F113" s="17">
        <f>IF($W113="","",TRIM(IFERROR(INDEX(FormData,$W113,f_Org1)&amp;"","")&amp;" "&amp;IFERROR(INDEX(FormData,$W113,f_Org2)&amp;"","")))</f>
        <v/>
      </c>
      <c r="G113" s="16">
        <f>IF($W113="","",IFERROR(INDEX(FormData,$W113,f_Region)&amp;"",""))</f>
        <v/>
      </c>
      <c r="H113" s="16">
        <f>IF($W113="","",IFERROR(IF(SUMPRODUCT(MAX((SitKW&lt;&gt;"")*ISNUMBER(SEARCH(SitKW,INDEX(FormData,$W113,f_Sit)&amp;""))*(ROW(SitKW)-MIN(ROW(SitKW))+1)))=0,"",INDEX(SitVal,SUMPRODUCT(MAX((SitKW&lt;&gt;"")*ISNUMBER(SEARCH(SitKW,INDEX(FormData,$W113,f_Sit)&amp;""))*(ROW(SitKW)-MIN(ROW(SitKW))+1))))),""))</f>
        <v/>
      </c>
      <c r="I113" s="14">
        <f>IF($W113="","",IFERROR(INDEX(FormData,$W113,f_Appr)&amp;"",""))</f>
        <v/>
      </c>
      <c r="J113" s="16">
        <f>IF($W113="","",IFERROR(INDEX(FormData,$W113,f_Trade)&amp;"",""))</f>
        <v/>
      </c>
      <c r="K113" s="16" t="n"/>
      <c r="L113" s="17" t="n"/>
      <c r="M113" s="16" t="n"/>
      <c r="N113" s="17" t="n"/>
      <c r="O113" s="14" t="n"/>
      <c r="P113" s="14" t="n"/>
      <c r="Q113" s="18" t="n"/>
      <c r="R113" s="18" t="n"/>
      <c r="S113" s="13">
        <f>IF($P113&lt;&gt;"✓","",IF($R113&lt;&gt;"","Done",IF($Q113="","Open — no date",IF($Q113&lt;TODAY(),"Overdue",IF($Q113-TODAY()&lt;=DueSoon,"Due soon","Scheduled")))))</f>
        <v/>
      </c>
      <c r="T113" s="14">
        <f>IF($W113="","",IFERROR(IF(INDEX(FormData,$W113,f_Consent)&amp;""="","",IF(ISNUMBER(SEARCH("yes",INDEX(FormData,$W113,f_Consent))),"Yes","No")),""))</f>
        <v/>
      </c>
      <c r="U113" s="14" t="n"/>
      <c r="V113" s="13">
        <f>IF($U113="","",IF($W113="","not found","✓"))</f>
        <v/>
      </c>
      <c r="W113">
        <f>IF($U113="","",IFERROR(MATCH($U113,INDEX(FormData,0,f_Id),0),IFERROR(MATCH(--$U113,INDEX(FormData,0,f_Id),0),IFERROR(MATCH($U113&amp;"",INDEX(FormData,0,f_Id),0),""))))</f>
        <v/>
      </c>
      <c r="X113">
        <f>IF(AND($B113&lt;&gt;"",$B113='Event Report'!$C$3),ROW(),"")</f>
        <v/>
      </c>
      <c r="Y113">
        <f>IF(AND($P113="✓",$R113=""),IF($Q113="",90000,$Q113)+ROW()/100000,"")</f>
        <v/>
      </c>
      <c r="Z113">
        <f>IF(OR($U113&lt;&gt;"",$D113&lt;&gt;"",$E113&lt;&gt;"",$N113&lt;&gt;""),1,"")</f>
        <v/>
      </c>
    </row>
    <row r="114">
      <c r="A114" s="13" t="inlineStr">
        <is>
          <t>P-0110</t>
        </is>
      </c>
      <c r="B114" s="14">
        <f>IF(AND($U114="",$C114=""),"",IFERROR(INDEX(EvID,MATCH(INDEX(FormData,$W114,f_Event),EvID,0)),IFERROR(INDEX(EvID,MATCH(INDEX(FormData,$W114,f_Event),EvName,0)),IFERROR(INDEX(EvID,MATCH(INT($C114),EvDate,0)),""))))</f>
        <v/>
      </c>
      <c r="C114" s="15">
        <f>IF($W114="","",INDEX(FormData,$W114,f_Time))</f>
        <v/>
      </c>
      <c r="D114" s="14">
        <f>IF($W114="","",IFERROR(UPPER(LEFT(TRIM(INDEX(FormData,$W114,f_Name)),1)&amp;IFERROR(MID(TRIM(INDEX(FormData,$W114,f_Name)),FIND("^",SUBSTITUTE(TRIM(INDEX(FormData,$W114,f_Name))," ","^",LEN(TRIM(INDEX(FormData,$W114,f_Name)))-LEN(SUBSTITUTE(TRIM(INDEX(FormData,$W114,f_Name))," ",""))))+1,1),"")),""))</f>
        <v/>
      </c>
      <c r="E114" s="16">
        <f>IF($W114="","",IFERROR(IF(SUMPRODUCT(MAX((WhoKW&lt;&gt;"")*ISNUMBER(SEARCH(WhoKW,INDEX(FormData,$W114,f_Who)&amp;""))*(ROW(WhoKW)-MIN(ROW(WhoKW))+1)))=0,"",INDEX(WhoVal,SUMPRODUCT(MAX((WhoKW&lt;&gt;"")*ISNUMBER(SEARCH(WhoKW,INDEX(FormData,$W114,f_Who)&amp;""))*(ROW(WhoKW)-MIN(ROW(WhoKW))+1))))),""))</f>
        <v/>
      </c>
      <c r="F114" s="17">
        <f>IF($W114="","",TRIM(IFERROR(INDEX(FormData,$W114,f_Org1)&amp;"","")&amp;" "&amp;IFERROR(INDEX(FormData,$W114,f_Org2)&amp;"","")))</f>
        <v/>
      </c>
      <c r="G114" s="16">
        <f>IF($W114="","",IFERROR(INDEX(FormData,$W114,f_Region)&amp;"",""))</f>
        <v/>
      </c>
      <c r="H114" s="16">
        <f>IF($W114="","",IFERROR(IF(SUMPRODUCT(MAX((SitKW&lt;&gt;"")*ISNUMBER(SEARCH(SitKW,INDEX(FormData,$W114,f_Sit)&amp;""))*(ROW(SitKW)-MIN(ROW(SitKW))+1)))=0,"",INDEX(SitVal,SUMPRODUCT(MAX((SitKW&lt;&gt;"")*ISNUMBER(SEARCH(SitKW,INDEX(FormData,$W114,f_Sit)&amp;""))*(ROW(SitKW)-MIN(ROW(SitKW))+1))))),""))</f>
        <v/>
      </c>
      <c r="I114" s="14">
        <f>IF($W114="","",IFERROR(INDEX(FormData,$W114,f_Appr)&amp;"",""))</f>
        <v/>
      </c>
      <c r="J114" s="16">
        <f>IF($W114="","",IFERROR(INDEX(FormData,$W114,f_Trade)&amp;"",""))</f>
        <v/>
      </c>
      <c r="K114" s="16" t="n"/>
      <c r="L114" s="17" t="n"/>
      <c r="M114" s="16" t="n"/>
      <c r="N114" s="17" t="n"/>
      <c r="O114" s="14" t="n"/>
      <c r="P114" s="14" t="n"/>
      <c r="Q114" s="18" t="n"/>
      <c r="R114" s="18" t="n"/>
      <c r="S114" s="13">
        <f>IF($P114&lt;&gt;"✓","",IF($R114&lt;&gt;"","Done",IF($Q114="","Open — no date",IF($Q114&lt;TODAY(),"Overdue",IF($Q114-TODAY()&lt;=DueSoon,"Due soon","Scheduled")))))</f>
        <v/>
      </c>
      <c r="T114" s="14">
        <f>IF($W114="","",IFERROR(IF(INDEX(FormData,$W114,f_Consent)&amp;""="","",IF(ISNUMBER(SEARCH("yes",INDEX(FormData,$W114,f_Consent))),"Yes","No")),""))</f>
        <v/>
      </c>
      <c r="U114" s="14" t="n"/>
      <c r="V114" s="13">
        <f>IF($U114="","",IF($W114="","not found","✓"))</f>
        <v/>
      </c>
      <c r="W114">
        <f>IF($U114="","",IFERROR(MATCH($U114,INDEX(FormData,0,f_Id),0),IFERROR(MATCH(--$U114,INDEX(FormData,0,f_Id),0),IFERROR(MATCH($U114&amp;"",INDEX(FormData,0,f_Id),0),""))))</f>
        <v/>
      </c>
      <c r="X114">
        <f>IF(AND($B114&lt;&gt;"",$B114='Event Report'!$C$3),ROW(),"")</f>
        <v/>
      </c>
      <c r="Y114">
        <f>IF(AND($P114="✓",$R114=""),IF($Q114="",90000,$Q114)+ROW()/100000,"")</f>
        <v/>
      </c>
      <c r="Z114">
        <f>IF(OR($U114&lt;&gt;"",$D114&lt;&gt;"",$E114&lt;&gt;"",$N114&lt;&gt;""),1,"")</f>
        <v/>
      </c>
    </row>
    <row r="115">
      <c r="A115" s="13" t="inlineStr">
        <is>
          <t>P-0111</t>
        </is>
      </c>
      <c r="B115" s="14">
        <f>IF(AND($U115="",$C115=""),"",IFERROR(INDEX(EvID,MATCH(INDEX(FormData,$W115,f_Event),EvID,0)),IFERROR(INDEX(EvID,MATCH(INDEX(FormData,$W115,f_Event),EvName,0)),IFERROR(INDEX(EvID,MATCH(INT($C115),EvDate,0)),""))))</f>
        <v/>
      </c>
      <c r="C115" s="15">
        <f>IF($W115="","",INDEX(FormData,$W115,f_Time))</f>
        <v/>
      </c>
      <c r="D115" s="14">
        <f>IF($W115="","",IFERROR(UPPER(LEFT(TRIM(INDEX(FormData,$W115,f_Name)),1)&amp;IFERROR(MID(TRIM(INDEX(FormData,$W115,f_Name)),FIND("^",SUBSTITUTE(TRIM(INDEX(FormData,$W115,f_Name))," ","^",LEN(TRIM(INDEX(FormData,$W115,f_Name)))-LEN(SUBSTITUTE(TRIM(INDEX(FormData,$W115,f_Name))," ",""))))+1,1),"")),""))</f>
        <v/>
      </c>
      <c r="E115" s="16">
        <f>IF($W115="","",IFERROR(IF(SUMPRODUCT(MAX((WhoKW&lt;&gt;"")*ISNUMBER(SEARCH(WhoKW,INDEX(FormData,$W115,f_Who)&amp;""))*(ROW(WhoKW)-MIN(ROW(WhoKW))+1)))=0,"",INDEX(WhoVal,SUMPRODUCT(MAX((WhoKW&lt;&gt;"")*ISNUMBER(SEARCH(WhoKW,INDEX(FormData,$W115,f_Who)&amp;""))*(ROW(WhoKW)-MIN(ROW(WhoKW))+1))))),""))</f>
        <v/>
      </c>
      <c r="F115" s="17">
        <f>IF($W115="","",TRIM(IFERROR(INDEX(FormData,$W115,f_Org1)&amp;"","")&amp;" "&amp;IFERROR(INDEX(FormData,$W115,f_Org2)&amp;"","")))</f>
        <v/>
      </c>
      <c r="G115" s="16">
        <f>IF($W115="","",IFERROR(INDEX(FormData,$W115,f_Region)&amp;"",""))</f>
        <v/>
      </c>
      <c r="H115" s="16">
        <f>IF($W115="","",IFERROR(IF(SUMPRODUCT(MAX((SitKW&lt;&gt;"")*ISNUMBER(SEARCH(SitKW,INDEX(FormData,$W115,f_Sit)&amp;""))*(ROW(SitKW)-MIN(ROW(SitKW))+1)))=0,"",INDEX(SitVal,SUMPRODUCT(MAX((SitKW&lt;&gt;"")*ISNUMBER(SEARCH(SitKW,INDEX(FormData,$W115,f_Sit)&amp;""))*(ROW(SitKW)-MIN(ROW(SitKW))+1))))),""))</f>
        <v/>
      </c>
      <c r="I115" s="14">
        <f>IF($W115="","",IFERROR(INDEX(FormData,$W115,f_Appr)&amp;"",""))</f>
        <v/>
      </c>
      <c r="J115" s="16">
        <f>IF($W115="","",IFERROR(INDEX(FormData,$W115,f_Trade)&amp;"",""))</f>
        <v/>
      </c>
      <c r="K115" s="16" t="n"/>
      <c r="L115" s="17" t="n"/>
      <c r="M115" s="16" t="n"/>
      <c r="N115" s="17" t="n"/>
      <c r="O115" s="14" t="n"/>
      <c r="P115" s="14" t="n"/>
      <c r="Q115" s="18" t="n"/>
      <c r="R115" s="18" t="n"/>
      <c r="S115" s="13">
        <f>IF($P115&lt;&gt;"✓","",IF($R115&lt;&gt;"","Done",IF($Q115="","Open — no date",IF($Q115&lt;TODAY(),"Overdue",IF($Q115-TODAY()&lt;=DueSoon,"Due soon","Scheduled")))))</f>
        <v/>
      </c>
      <c r="T115" s="14">
        <f>IF($W115="","",IFERROR(IF(INDEX(FormData,$W115,f_Consent)&amp;""="","",IF(ISNUMBER(SEARCH("yes",INDEX(FormData,$W115,f_Consent))),"Yes","No")),""))</f>
        <v/>
      </c>
      <c r="U115" s="14" t="n"/>
      <c r="V115" s="13">
        <f>IF($U115="","",IF($W115="","not found","✓"))</f>
        <v/>
      </c>
      <c r="W115">
        <f>IF($U115="","",IFERROR(MATCH($U115,INDEX(FormData,0,f_Id),0),IFERROR(MATCH(--$U115,INDEX(FormData,0,f_Id),0),IFERROR(MATCH($U115&amp;"",INDEX(FormData,0,f_Id),0),""))))</f>
        <v/>
      </c>
      <c r="X115">
        <f>IF(AND($B115&lt;&gt;"",$B115='Event Report'!$C$3),ROW(),"")</f>
        <v/>
      </c>
      <c r="Y115">
        <f>IF(AND($P115="✓",$R115=""),IF($Q115="",90000,$Q115)+ROW()/100000,"")</f>
        <v/>
      </c>
      <c r="Z115">
        <f>IF(OR($U115&lt;&gt;"",$D115&lt;&gt;"",$E115&lt;&gt;"",$N115&lt;&gt;""),1,"")</f>
        <v/>
      </c>
    </row>
    <row r="116">
      <c r="A116" s="13" t="inlineStr">
        <is>
          <t>P-0112</t>
        </is>
      </c>
      <c r="B116" s="14">
        <f>IF(AND($U116="",$C116=""),"",IFERROR(INDEX(EvID,MATCH(INDEX(FormData,$W116,f_Event),EvID,0)),IFERROR(INDEX(EvID,MATCH(INDEX(FormData,$W116,f_Event),EvName,0)),IFERROR(INDEX(EvID,MATCH(INT($C116),EvDate,0)),""))))</f>
        <v/>
      </c>
      <c r="C116" s="15">
        <f>IF($W116="","",INDEX(FormData,$W116,f_Time))</f>
        <v/>
      </c>
      <c r="D116" s="14">
        <f>IF($W116="","",IFERROR(UPPER(LEFT(TRIM(INDEX(FormData,$W116,f_Name)),1)&amp;IFERROR(MID(TRIM(INDEX(FormData,$W116,f_Name)),FIND("^",SUBSTITUTE(TRIM(INDEX(FormData,$W116,f_Name))," ","^",LEN(TRIM(INDEX(FormData,$W116,f_Name)))-LEN(SUBSTITUTE(TRIM(INDEX(FormData,$W116,f_Name))," ",""))))+1,1),"")),""))</f>
        <v/>
      </c>
      <c r="E116" s="16">
        <f>IF($W116="","",IFERROR(IF(SUMPRODUCT(MAX((WhoKW&lt;&gt;"")*ISNUMBER(SEARCH(WhoKW,INDEX(FormData,$W116,f_Who)&amp;""))*(ROW(WhoKW)-MIN(ROW(WhoKW))+1)))=0,"",INDEX(WhoVal,SUMPRODUCT(MAX((WhoKW&lt;&gt;"")*ISNUMBER(SEARCH(WhoKW,INDEX(FormData,$W116,f_Who)&amp;""))*(ROW(WhoKW)-MIN(ROW(WhoKW))+1))))),""))</f>
        <v/>
      </c>
      <c r="F116" s="17">
        <f>IF($W116="","",TRIM(IFERROR(INDEX(FormData,$W116,f_Org1)&amp;"","")&amp;" "&amp;IFERROR(INDEX(FormData,$W116,f_Org2)&amp;"","")))</f>
        <v/>
      </c>
      <c r="G116" s="16">
        <f>IF($W116="","",IFERROR(INDEX(FormData,$W116,f_Region)&amp;"",""))</f>
        <v/>
      </c>
      <c r="H116" s="16">
        <f>IF($W116="","",IFERROR(IF(SUMPRODUCT(MAX((SitKW&lt;&gt;"")*ISNUMBER(SEARCH(SitKW,INDEX(FormData,$W116,f_Sit)&amp;""))*(ROW(SitKW)-MIN(ROW(SitKW))+1)))=0,"",INDEX(SitVal,SUMPRODUCT(MAX((SitKW&lt;&gt;"")*ISNUMBER(SEARCH(SitKW,INDEX(FormData,$W116,f_Sit)&amp;""))*(ROW(SitKW)-MIN(ROW(SitKW))+1))))),""))</f>
        <v/>
      </c>
      <c r="I116" s="14">
        <f>IF($W116="","",IFERROR(INDEX(FormData,$W116,f_Appr)&amp;"",""))</f>
        <v/>
      </c>
      <c r="J116" s="16">
        <f>IF($W116="","",IFERROR(INDEX(FormData,$W116,f_Trade)&amp;"",""))</f>
        <v/>
      </c>
      <c r="K116" s="16" t="n"/>
      <c r="L116" s="17" t="n"/>
      <c r="M116" s="16" t="n"/>
      <c r="N116" s="17" t="n"/>
      <c r="O116" s="14" t="n"/>
      <c r="P116" s="14" t="n"/>
      <c r="Q116" s="18" t="n"/>
      <c r="R116" s="18" t="n"/>
      <c r="S116" s="13">
        <f>IF($P116&lt;&gt;"✓","",IF($R116&lt;&gt;"","Done",IF($Q116="","Open — no date",IF($Q116&lt;TODAY(),"Overdue",IF($Q116-TODAY()&lt;=DueSoon,"Due soon","Scheduled")))))</f>
        <v/>
      </c>
      <c r="T116" s="14">
        <f>IF($W116="","",IFERROR(IF(INDEX(FormData,$W116,f_Consent)&amp;""="","",IF(ISNUMBER(SEARCH("yes",INDEX(FormData,$W116,f_Consent))),"Yes","No")),""))</f>
        <v/>
      </c>
      <c r="U116" s="14" t="n"/>
      <c r="V116" s="13">
        <f>IF($U116="","",IF($W116="","not found","✓"))</f>
        <v/>
      </c>
      <c r="W116">
        <f>IF($U116="","",IFERROR(MATCH($U116,INDEX(FormData,0,f_Id),0),IFERROR(MATCH(--$U116,INDEX(FormData,0,f_Id),0),IFERROR(MATCH($U116&amp;"",INDEX(FormData,0,f_Id),0),""))))</f>
        <v/>
      </c>
      <c r="X116">
        <f>IF(AND($B116&lt;&gt;"",$B116='Event Report'!$C$3),ROW(),"")</f>
        <v/>
      </c>
      <c r="Y116">
        <f>IF(AND($P116="✓",$R116=""),IF($Q116="",90000,$Q116)+ROW()/100000,"")</f>
        <v/>
      </c>
      <c r="Z116">
        <f>IF(OR($U116&lt;&gt;"",$D116&lt;&gt;"",$E116&lt;&gt;"",$N116&lt;&gt;""),1,"")</f>
        <v/>
      </c>
    </row>
    <row r="117">
      <c r="A117" s="13" t="inlineStr">
        <is>
          <t>P-0113</t>
        </is>
      </c>
      <c r="B117" s="14">
        <f>IF(AND($U117="",$C117=""),"",IFERROR(INDEX(EvID,MATCH(INDEX(FormData,$W117,f_Event),EvID,0)),IFERROR(INDEX(EvID,MATCH(INDEX(FormData,$W117,f_Event),EvName,0)),IFERROR(INDEX(EvID,MATCH(INT($C117),EvDate,0)),""))))</f>
        <v/>
      </c>
      <c r="C117" s="15">
        <f>IF($W117="","",INDEX(FormData,$W117,f_Time))</f>
        <v/>
      </c>
      <c r="D117" s="14">
        <f>IF($W117="","",IFERROR(UPPER(LEFT(TRIM(INDEX(FormData,$W117,f_Name)),1)&amp;IFERROR(MID(TRIM(INDEX(FormData,$W117,f_Name)),FIND("^",SUBSTITUTE(TRIM(INDEX(FormData,$W117,f_Name))," ","^",LEN(TRIM(INDEX(FormData,$W117,f_Name)))-LEN(SUBSTITUTE(TRIM(INDEX(FormData,$W117,f_Name))," ",""))))+1,1),"")),""))</f>
        <v/>
      </c>
      <c r="E117" s="16">
        <f>IF($W117="","",IFERROR(IF(SUMPRODUCT(MAX((WhoKW&lt;&gt;"")*ISNUMBER(SEARCH(WhoKW,INDEX(FormData,$W117,f_Who)&amp;""))*(ROW(WhoKW)-MIN(ROW(WhoKW))+1)))=0,"",INDEX(WhoVal,SUMPRODUCT(MAX((WhoKW&lt;&gt;"")*ISNUMBER(SEARCH(WhoKW,INDEX(FormData,$W117,f_Who)&amp;""))*(ROW(WhoKW)-MIN(ROW(WhoKW))+1))))),""))</f>
        <v/>
      </c>
      <c r="F117" s="17">
        <f>IF($W117="","",TRIM(IFERROR(INDEX(FormData,$W117,f_Org1)&amp;"","")&amp;" "&amp;IFERROR(INDEX(FormData,$W117,f_Org2)&amp;"","")))</f>
        <v/>
      </c>
      <c r="G117" s="16">
        <f>IF($W117="","",IFERROR(INDEX(FormData,$W117,f_Region)&amp;"",""))</f>
        <v/>
      </c>
      <c r="H117" s="16">
        <f>IF($W117="","",IFERROR(IF(SUMPRODUCT(MAX((SitKW&lt;&gt;"")*ISNUMBER(SEARCH(SitKW,INDEX(FormData,$W117,f_Sit)&amp;""))*(ROW(SitKW)-MIN(ROW(SitKW))+1)))=0,"",INDEX(SitVal,SUMPRODUCT(MAX((SitKW&lt;&gt;"")*ISNUMBER(SEARCH(SitKW,INDEX(FormData,$W117,f_Sit)&amp;""))*(ROW(SitKW)-MIN(ROW(SitKW))+1))))),""))</f>
        <v/>
      </c>
      <c r="I117" s="14">
        <f>IF($W117="","",IFERROR(INDEX(FormData,$W117,f_Appr)&amp;"",""))</f>
        <v/>
      </c>
      <c r="J117" s="16">
        <f>IF($W117="","",IFERROR(INDEX(FormData,$W117,f_Trade)&amp;"",""))</f>
        <v/>
      </c>
      <c r="K117" s="16" t="n"/>
      <c r="L117" s="17" t="n"/>
      <c r="M117" s="16" t="n"/>
      <c r="N117" s="17" t="n"/>
      <c r="O117" s="14" t="n"/>
      <c r="P117" s="14" t="n"/>
      <c r="Q117" s="18" t="n"/>
      <c r="R117" s="18" t="n"/>
      <c r="S117" s="13">
        <f>IF($P117&lt;&gt;"✓","",IF($R117&lt;&gt;"","Done",IF($Q117="","Open — no date",IF($Q117&lt;TODAY(),"Overdue",IF($Q117-TODAY()&lt;=DueSoon,"Due soon","Scheduled")))))</f>
        <v/>
      </c>
      <c r="T117" s="14">
        <f>IF($W117="","",IFERROR(IF(INDEX(FormData,$W117,f_Consent)&amp;""="","",IF(ISNUMBER(SEARCH("yes",INDEX(FormData,$W117,f_Consent))),"Yes","No")),""))</f>
        <v/>
      </c>
      <c r="U117" s="14" t="n"/>
      <c r="V117" s="13">
        <f>IF($U117="","",IF($W117="","not found","✓"))</f>
        <v/>
      </c>
      <c r="W117">
        <f>IF($U117="","",IFERROR(MATCH($U117,INDEX(FormData,0,f_Id),0),IFERROR(MATCH(--$U117,INDEX(FormData,0,f_Id),0),IFERROR(MATCH($U117&amp;"",INDEX(FormData,0,f_Id),0),""))))</f>
        <v/>
      </c>
      <c r="X117">
        <f>IF(AND($B117&lt;&gt;"",$B117='Event Report'!$C$3),ROW(),"")</f>
        <v/>
      </c>
      <c r="Y117">
        <f>IF(AND($P117="✓",$R117=""),IF($Q117="",90000,$Q117)+ROW()/100000,"")</f>
        <v/>
      </c>
      <c r="Z117">
        <f>IF(OR($U117&lt;&gt;"",$D117&lt;&gt;"",$E117&lt;&gt;"",$N117&lt;&gt;""),1,"")</f>
        <v/>
      </c>
    </row>
    <row r="118">
      <c r="A118" s="13" t="inlineStr">
        <is>
          <t>P-0114</t>
        </is>
      </c>
      <c r="B118" s="14">
        <f>IF(AND($U118="",$C118=""),"",IFERROR(INDEX(EvID,MATCH(INDEX(FormData,$W118,f_Event),EvID,0)),IFERROR(INDEX(EvID,MATCH(INDEX(FormData,$W118,f_Event),EvName,0)),IFERROR(INDEX(EvID,MATCH(INT($C118),EvDate,0)),""))))</f>
        <v/>
      </c>
      <c r="C118" s="15">
        <f>IF($W118="","",INDEX(FormData,$W118,f_Time))</f>
        <v/>
      </c>
      <c r="D118" s="14">
        <f>IF($W118="","",IFERROR(UPPER(LEFT(TRIM(INDEX(FormData,$W118,f_Name)),1)&amp;IFERROR(MID(TRIM(INDEX(FormData,$W118,f_Name)),FIND("^",SUBSTITUTE(TRIM(INDEX(FormData,$W118,f_Name))," ","^",LEN(TRIM(INDEX(FormData,$W118,f_Name)))-LEN(SUBSTITUTE(TRIM(INDEX(FormData,$W118,f_Name))," ",""))))+1,1),"")),""))</f>
        <v/>
      </c>
      <c r="E118" s="16">
        <f>IF($W118="","",IFERROR(IF(SUMPRODUCT(MAX((WhoKW&lt;&gt;"")*ISNUMBER(SEARCH(WhoKW,INDEX(FormData,$W118,f_Who)&amp;""))*(ROW(WhoKW)-MIN(ROW(WhoKW))+1)))=0,"",INDEX(WhoVal,SUMPRODUCT(MAX((WhoKW&lt;&gt;"")*ISNUMBER(SEARCH(WhoKW,INDEX(FormData,$W118,f_Who)&amp;""))*(ROW(WhoKW)-MIN(ROW(WhoKW))+1))))),""))</f>
        <v/>
      </c>
      <c r="F118" s="17">
        <f>IF($W118="","",TRIM(IFERROR(INDEX(FormData,$W118,f_Org1)&amp;"","")&amp;" "&amp;IFERROR(INDEX(FormData,$W118,f_Org2)&amp;"","")))</f>
        <v/>
      </c>
      <c r="G118" s="16">
        <f>IF($W118="","",IFERROR(INDEX(FormData,$W118,f_Region)&amp;"",""))</f>
        <v/>
      </c>
      <c r="H118" s="16">
        <f>IF($W118="","",IFERROR(IF(SUMPRODUCT(MAX((SitKW&lt;&gt;"")*ISNUMBER(SEARCH(SitKW,INDEX(FormData,$W118,f_Sit)&amp;""))*(ROW(SitKW)-MIN(ROW(SitKW))+1)))=0,"",INDEX(SitVal,SUMPRODUCT(MAX((SitKW&lt;&gt;"")*ISNUMBER(SEARCH(SitKW,INDEX(FormData,$W118,f_Sit)&amp;""))*(ROW(SitKW)-MIN(ROW(SitKW))+1))))),""))</f>
        <v/>
      </c>
      <c r="I118" s="14">
        <f>IF($W118="","",IFERROR(INDEX(FormData,$W118,f_Appr)&amp;"",""))</f>
        <v/>
      </c>
      <c r="J118" s="16">
        <f>IF($W118="","",IFERROR(INDEX(FormData,$W118,f_Trade)&amp;"",""))</f>
        <v/>
      </c>
      <c r="K118" s="16" t="n"/>
      <c r="L118" s="17" t="n"/>
      <c r="M118" s="16" t="n"/>
      <c r="N118" s="17" t="n"/>
      <c r="O118" s="14" t="n"/>
      <c r="P118" s="14" t="n"/>
      <c r="Q118" s="18" t="n"/>
      <c r="R118" s="18" t="n"/>
      <c r="S118" s="13">
        <f>IF($P118&lt;&gt;"✓","",IF($R118&lt;&gt;"","Done",IF($Q118="","Open — no date",IF($Q118&lt;TODAY(),"Overdue",IF($Q118-TODAY()&lt;=DueSoon,"Due soon","Scheduled")))))</f>
        <v/>
      </c>
      <c r="T118" s="14">
        <f>IF($W118="","",IFERROR(IF(INDEX(FormData,$W118,f_Consent)&amp;""="","",IF(ISNUMBER(SEARCH("yes",INDEX(FormData,$W118,f_Consent))),"Yes","No")),""))</f>
        <v/>
      </c>
      <c r="U118" s="14" t="n"/>
      <c r="V118" s="13">
        <f>IF($U118="","",IF($W118="","not found","✓"))</f>
        <v/>
      </c>
      <c r="W118">
        <f>IF($U118="","",IFERROR(MATCH($U118,INDEX(FormData,0,f_Id),0),IFERROR(MATCH(--$U118,INDEX(FormData,0,f_Id),0),IFERROR(MATCH($U118&amp;"",INDEX(FormData,0,f_Id),0),""))))</f>
        <v/>
      </c>
      <c r="X118">
        <f>IF(AND($B118&lt;&gt;"",$B118='Event Report'!$C$3),ROW(),"")</f>
        <v/>
      </c>
      <c r="Y118">
        <f>IF(AND($P118="✓",$R118=""),IF($Q118="",90000,$Q118)+ROW()/100000,"")</f>
        <v/>
      </c>
      <c r="Z118">
        <f>IF(OR($U118&lt;&gt;"",$D118&lt;&gt;"",$E118&lt;&gt;"",$N118&lt;&gt;""),1,"")</f>
        <v/>
      </c>
    </row>
    <row r="119">
      <c r="A119" s="13" t="inlineStr">
        <is>
          <t>P-0115</t>
        </is>
      </c>
      <c r="B119" s="14">
        <f>IF(AND($U119="",$C119=""),"",IFERROR(INDEX(EvID,MATCH(INDEX(FormData,$W119,f_Event),EvID,0)),IFERROR(INDEX(EvID,MATCH(INDEX(FormData,$W119,f_Event),EvName,0)),IFERROR(INDEX(EvID,MATCH(INT($C119),EvDate,0)),""))))</f>
        <v/>
      </c>
      <c r="C119" s="15">
        <f>IF($W119="","",INDEX(FormData,$W119,f_Time))</f>
        <v/>
      </c>
      <c r="D119" s="14">
        <f>IF($W119="","",IFERROR(UPPER(LEFT(TRIM(INDEX(FormData,$W119,f_Name)),1)&amp;IFERROR(MID(TRIM(INDEX(FormData,$W119,f_Name)),FIND("^",SUBSTITUTE(TRIM(INDEX(FormData,$W119,f_Name))," ","^",LEN(TRIM(INDEX(FormData,$W119,f_Name)))-LEN(SUBSTITUTE(TRIM(INDEX(FormData,$W119,f_Name))," ",""))))+1,1),"")),""))</f>
        <v/>
      </c>
      <c r="E119" s="16">
        <f>IF($W119="","",IFERROR(IF(SUMPRODUCT(MAX((WhoKW&lt;&gt;"")*ISNUMBER(SEARCH(WhoKW,INDEX(FormData,$W119,f_Who)&amp;""))*(ROW(WhoKW)-MIN(ROW(WhoKW))+1)))=0,"",INDEX(WhoVal,SUMPRODUCT(MAX((WhoKW&lt;&gt;"")*ISNUMBER(SEARCH(WhoKW,INDEX(FormData,$W119,f_Who)&amp;""))*(ROW(WhoKW)-MIN(ROW(WhoKW))+1))))),""))</f>
        <v/>
      </c>
      <c r="F119" s="17">
        <f>IF($W119="","",TRIM(IFERROR(INDEX(FormData,$W119,f_Org1)&amp;"","")&amp;" "&amp;IFERROR(INDEX(FormData,$W119,f_Org2)&amp;"","")))</f>
        <v/>
      </c>
      <c r="G119" s="16">
        <f>IF($W119="","",IFERROR(INDEX(FormData,$W119,f_Region)&amp;"",""))</f>
        <v/>
      </c>
      <c r="H119" s="16">
        <f>IF($W119="","",IFERROR(IF(SUMPRODUCT(MAX((SitKW&lt;&gt;"")*ISNUMBER(SEARCH(SitKW,INDEX(FormData,$W119,f_Sit)&amp;""))*(ROW(SitKW)-MIN(ROW(SitKW))+1)))=0,"",INDEX(SitVal,SUMPRODUCT(MAX((SitKW&lt;&gt;"")*ISNUMBER(SEARCH(SitKW,INDEX(FormData,$W119,f_Sit)&amp;""))*(ROW(SitKW)-MIN(ROW(SitKW))+1))))),""))</f>
        <v/>
      </c>
      <c r="I119" s="14">
        <f>IF($W119="","",IFERROR(INDEX(FormData,$W119,f_Appr)&amp;"",""))</f>
        <v/>
      </c>
      <c r="J119" s="16">
        <f>IF($W119="","",IFERROR(INDEX(FormData,$W119,f_Trade)&amp;"",""))</f>
        <v/>
      </c>
      <c r="K119" s="16" t="n"/>
      <c r="L119" s="17" t="n"/>
      <c r="M119" s="16" t="n"/>
      <c r="N119" s="17" t="n"/>
      <c r="O119" s="14" t="n"/>
      <c r="P119" s="14" t="n"/>
      <c r="Q119" s="18" t="n"/>
      <c r="R119" s="18" t="n"/>
      <c r="S119" s="13">
        <f>IF($P119&lt;&gt;"✓","",IF($R119&lt;&gt;"","Done",IF($Q119="","Open — no date",IF($Q119&lt;TODAY(),"Overdue",IF($Q119-TODAY()&lt;=DueSoon,"Due soon","Scheduled")))))</f>
        <v/>
      </c>
      <c r="T119" s="14">
        <f>IF($W119="","",IFERROR(IF(INDEX(FormData,$W119,f_Consent)&amp;""="","",IF(ISNUMBER(SEARCH("yes",INDEX(FormData,$W119,f_Consent))),"Yes","No")),""))</f>
        <v/>
      </c>
      <c r="U119" s="14" t="n"/>
      <c r="V119" s="13">
        <f>IF($U119="","",IF($W119="","not found","✓"))</f>
        <v/>
      </c>
      <c r="W119">
        <f>IF($U119="","",IFERROR(MATCH($U119,INDEX(FormData,0,f_Id),0),IFERROR(MATCH(--$U119,INDEX(FormData,0,f_Id),0),IFERROR(MATCH($U119&amp;"",INDEX(FormData,0,f_Id),0),""))))</f>
        <v/>
      </c>
      <c r="X119">
        <f>IF(AND($B119&lt;&gt;"",$B119='Event Report'!$C$3),ROW(),"")</f>
        <v/>
      </c>
      <c r="Y119">
        <f>IF(AND($P119="✓",$R119=""),IF($Q119="",90000,$Q119)+ROW()/100000,"")</f>
        <v/>
      </c>
      <c r="Z119">
        <f>IF(OR($U119&lt;&gt;"",$D119&lt;&gt;"",$E119&lt;&gt;"",$N119&lt;&gt;""),1,"")</f>
        <v/>
      </c>
    </row>
    <row r="120">
      <c r="A120" s="13" t="inlineStr">
        <is>
          <t>P-0116</t>
        </is>
      </c>
      <c r="B120" s="14">
        <f>IF(AND($U120="",$C120=""),"",IFERROR(INDEX(EvID,MATCH(INDEX(FormData,$W120,f_Event),EvID,0)),IFERROR(INDEX(EvID,MATCH(INDEX(FormData,$W120,f_Event),EvName,0)),IFERROR(INDEX(EvID,MATCH(INT($C120),EvDate,0)),""))))</f>
        <v/>
      </c>
      <c r="C120" s="15">
        <f>IF($W120="","",INDEX(FormData,$W120,f_Time))</f>
        <v/>
      </c>
      <c r="D120" s="14">
        <f>IF($W120="","",IFERROR(UPPER(LEFT(TRIM(INDEX(FormData,$W120,f_Name)),1)&amp;IFERROR(MID(TRIM(INDEX(FormData,$W120,f_Name)),FIND("^",SUBSTITUTE(TRIM(INDEX(FormData,$W120,f_Name))," ","^",LEN(TRIM(INDEX(FormData,$W120,f_Name)))-LEN(SUBSTITUTE(TRIM(INDEX(FormData,$W120,f_Name))," ",""))))+1,1),"")),""))</f>
        <v/>
      </c>
      <c r="E120" s="16">
        <f>IF($W120="","",IFERROR(IF(SUMPRODUCT(MAX((WhoKW&lt;&gt;"")*ISNUMBER(SEARCH(WhoKW,INDEX(FormData,$W120,f_Who)&amp;""))*(ROW(WhoKW)-MIN(ROW(WhoKW))+1)))=0,"",INDEX(WhoVal,SUMPRODUCT(MAX((WhoKW&lt;&gt;"")*ISNUMBER(SEARCH(WhoKW,INDEX(FormData,$W120,f_Who)&amp;""))*(ROW(WhoKW)-MIN(ROW(WhoKW))+1))))),""))</f>
        <v/>
      </c>
      <c r="F120" s="17">
        <f>IF($W120="","",TRIM(IFERROR(INDEX(FormData,$W120,f_Org1)&amp;"","")&amp;" "&amp;IFERROR(INDEX(FormData,$W120,f_Org2)&amp;"","")))</f>
        <v/>
      </c>
      <c r="G120" s="16">
        <f>IF($W120="","",IFERROR(INDEX(FormData,$W120,f_Region)&amp;"",""))</f>
        <v/>
      </c>
      <c r="H120" s="16">
        <f>IF($W120="","",IFERROR(IF(SUMPRODUCT(MAX((SitKW&lt;&gt;"")*ISNUMBER(SEARCH(SitKW,INDEX(FormData,$W120,f_Sit)&amp;""))*(ROW(SitKW)-MIN(ROW(SitKW))+1)))=0,"",INDEX(SitVal,SUMPRODUCT(MAX((SitKW&lt;&gt;"")*ISNUMBER(SEARCH(SitKW,INDEX(FormData,$W120,f_Sit)&amp;""))*(ROW(SitKW)-MIN(ROW(SitKW))+1))))),""))</f>
        <v/>
      </c>
      <c r="I120" s="14">
        <f>IF($W120="","",IFERROR(INDEX(FormData,$W120,f_Appr)&amp;"",""))</f>
        <v/>
      </c>
      <c r="J120" s="16">
        <f>IF($W120="","",IFERROR(INDEX(FormData,$W120,f_Trade)&amp;"",""))</f>
        <v/>
      </c>
      <c r="K120" s="16" t="n"/>
      <c r="L120" s="17" t="n"/>
      <c r="M120" s="16" t="n"/>
      <c r="N120" s="17" t="n"/>
      <c r="O120" s="14" t="n"/>
      <c r="P120" s="14" t="n"/>
      <c r="Q120" s="18" t="n"/>
      <c r="R120" s="18" t="n"/>
      <c r="S120" s="13">
        <f>IF($P120&lt;&gt;"✓","",IF($R120&lt;&gt;"","Done",IF($Q120="","Open — no date",IF($Q120&lt;TODAY(),"Overdue",IF($Q120-TODAY()&lt;=DueSoon,"Due soon","Scheduled")))))</f>
        <v/>
      </c>
      <c r="T120" s="14">
        <f>IF($W120="","",IFERROR(IF(INDEX(FormData,$W120,f_Consent)&amp;""="","",IF(ISNUMBER(SEARCH("yes",INDEX(FormData,$W120,f_Consent))),"Yes","No")),""))</f>
        <v/>
      </c>
      <c r="U120" s="14" t="n"/>
      <c r="V120" s="13">
        <f>IF($U120="","",IF($W120="","not found","✓"))</f>
        <v/>
      </c>
      <c r="W120">
        <f>IF($U120="","",IFERROR(MATCH($U120,INDEX(FormData,0,f_Id),0),IFERROR(MATCH(--$U120,INDEX(FormData,0,f_Id),0),IFERROR(MATCH($U120&amp;"",INDEX(FormData,0,f_Id),0),""))))</f>
        <v/>
      </c>
      <c r="X120">
        <f>IF(AND($B120&lt;&gt;"",$B120='Event Report'!$C$3),ROW(),"")</f>
        <v/>
      </c>
      <c r="Y120">
        <f>IF(AND($P120="✓",$R120=""),IF($Q120="",90000,$Q120)+ROW()/100000,"")</f>
        <v/>
      </c>
      <c r="Z120">
        <f>IF(OR($U120&lt;&gt;"",$D120&lt;&gt;"",$E120&lt;&gt;"",$N120&lt;&gt;""),1,"")</f>
        <v/>
      </c>
    </row>
    <row r="121">
      <c r="A121" s="13" t="inlineStr">
        <is>
          <t>P-0117</t>
        </is>
      </c>
      <c r="B121" s="14">
        <f>IF(AND($U121="",$C121=""),"",IFERROR(INDEX(EvID,MATCH(INDEX(FormData,$W121,f_Event),EvID,0)),IFERROR(INDEX(EvID,MATCH(INDEX(FormData,$W121,f_Event),EvName,0)),IFERROR(INDEX(EvID,MATCH(INT($C121),EvDate,0)),""))))</f>
        <v/>
      </c>
      <c r="C121" s="15">
        <f>IF($W121="","",INDEX(FormData,$W121,f_Time))</f>
        <v/>
      </c>
      <c r="D121" s="14">
        <f>IF($W121="","",IFERROR(UPPER(LEFT(TRIM(INDEX(FormData,$W121,f_Name)),1)&amp;IFERROR(MID(TRIM(INDEX(FormData,$W121,f_Name)),FIND("^",SUBSTITUTE(TRIM(INDEX(FormData,$W121,f_Name))," ","^",LEN(TRIM(INDEX(FormData,$W121,f_Name)))-LEN(SUBSTITUTE(TRIM(INDEX(FormData,$W121,f_Name))," ",""))))+1,1),"")),""))</f>
        <v/>
      </c>
      <c r="E121" s="16">
        <f>IF($W121="","",IFERROR(IF(SUMPRODUCT(MAX((WhoKW&lt;&gt;"")*ISNUMBER(SEARCH(WhoKW,INDEX(FormData,$W121,f_Who)&amp;""))*(ROW(WhoKW)-MIN(ROW(WhoKW))+1)))=0,"",INDEX(WhoVal,SUMPRODUCT(MAX((WhoKW&lt;&gt;"")*ISNUMBER(SEARCH(WhoKW,INDEX(FormData,$W121,f_Who)&amp;""))*(ROW(WhoKW)-MIN(ROW(WhoKW))+1))))),""))</f>
        <v/>
      </c>
      <c r="F121" s="17">
        <f>IF($W121="","",TRIM(IFERROR(INDEX(FormData,$W121,f_Org1)&amp;"","")&amp;" "&amp;IFERROR(INDEX(FormData,$W121,f_Org2)&amp;"","")))</f>
        <v/>
      </c>
      <c r="G121" s="16">
        <f>IF($W121="","",IFERROR(INDEX(FormData,$W121,f_Region)&amp;"",""))</f>
        <v/>
      </c>
      <c r="H121" s="16">
        <f>IF($W121="","",IFERROR(IF(SUMPRODUCT(MAX((SitKW&lt;&gt;"")*ISNUMBER(SEARCH(SitKW,INDEX(FormData,$W121,f_Sit)&amp;""))*(ROW(SitKW)-MIN(ROW(SitKW))+1)))=0,"",INDEX(SitVal,SUMPRODUCT(MAX((SitKW&lt;&gt;"")*ISNUMBER(SEARCH(SitKW,INDEX(FormData,$W121,f_Sit)&amp;""))*(ROW(SitKW)-MIN(ROW(SitKW))+1))))),""))</f>
        <v/>
      </c>
      <c r="I121" s="14">
        <f>IF($W121="","",IFERROR(INDEX(FormData,$W121,f_Appr)&amp;"",""))</f>
        <v/>
      </c>
      <c r="J121" s="16">
        <f>IF($W121="","",IFERROR(INDEX(FormData,$W121,f_Trade)&amp;"",""))</f>
        <v/>
      </c>
      <c r="K121" s="16" t="n"/>
      <c r="L121" s="17" t="n"/>
      <c r="M121" s="16" t="n"/>
      <c r="N121" s="17" t="n"/>
      <c r="O121" s="14" t="n"/>
      <c r="P121" s="14" t="n"/>
      <c r="Q121" s="18" t="n"/>
      <c r="R121" s="18" t="n"/>
      <c r="S121" s="13">
        <f>IF($P121&lt;&gt;"✓","",IF($R121&lt;&gt;"","Done",IF($Q121="","Open — no date",IF($Q121&lt;TODAY(),"Overdue",IF($Q121-TODAY()&lt;=DueSoon,"Due soon","Scheduled")))))</f>
        <v/>
      </c>
      <c r="T121" s="14">
        <f>IF($W121="","",IFERROR(IF(INDEX(FormData,$W121,f_Consent)&amp;""="","",IF(ISNUMBER(SEARCH("yes",INDEX(FormData,$W121,f_Consent))),"Yes","No")),""))</f>
        <v/>
      </c>
      <c r="U121" s="14" t="n"/>
      <c r="V121" s="13">
        <f>IF($U121="","",IF($W121="","not found","✓"))</f>
        <v/>
      </c>
      <c r="W121">
        <f>IF($U121="","",IFERROR(MATCH($U121,INDEX(FormData,0,f_Id),0),IFERROR(MATCH(--$U121,INDEX(FormData,0,f_Id),0),IFERROR(MATCH($U121&amp;"",INDEX(FormData,0,f_Id),0),""))))</f>
        <v/>
      </c>
      <c r="X121">
        <f>IF(AND($B121&lt;&gt;"",$B121='Event Report'!$C$3),ROW(),"")</f>
        <v/>
      </c>
      <c r="Y121">
        <f>IF(AND($P121="✓",$R121=""),IF($Q121="",90000,$Q121)+ROW()/100000,"")</f>
        <v/>
      </c>
      <c r="Z121">
        <f>IF(OR($U121&lt;&gt;"",$D121&lt;&gt;"",$E121&lt;&gt;"",$N121&lt;&gt;""),1,"")</f>
        <v/>
      </c>
    </row>
    <row r="122">
      <c r="A122" s="13" t="inlineStr">
        <is>
          <t>P-0118</t>
        </is>
      </c>
      <c r="B122" s="14">
        <f>IF(AND($U122="",$C122=""),"",IFERROR(INDEX(EvID,MATCH(INDEX(FormData,$W122,f_Event),EvID,0)),IFERROR(INDEX(EvID,MATCH(INDEX(FormData,$W122,f_Event),EvName,0)),IFERROR(INDEX(EvID,MATCH(INT($C122),EvDate,0)),""))))</f>
        <v/>
      </c>
      <c r="C122" s="15">
        <f>IF($W122="","",INDEX(FormData,$W122,f_Time))</f>
        <v/>
      </c>
      <c r="D122" s="14">
        <f>IF($W122="","",IFERROR(UPPER(LEFT(TRIM(INDEX(FormData,$W122,f_Name)),1)&amp;IFERROR(MID(TRIM(INDEX(FormData,$W122,f_Name)),FIND("^",SUBSTITUTE(TRIM(INDEX(FormData,$W122,f_Name))," ","^",LEN(TRIM(INDEX(FormData,$W122,f_Name)))-LEN(SUBSTITUTE(TRIM(INDEX(FormData,$W122,f_Name))," ",""))))+1,1),"")),""))</f>
        <v/>
      </c>
      <c r="E122" s="16">
        <f>IF($W122="","",IFERROR(IF(SUMPRODUCT(MAX((WhoKW&lt;&gt;"")*ISNUMBER(SEARCH(WhoKW,INDEX(FormData,$W122,f_Who)&amp;""))*(ROW(WhoKW)-MIN(ROW(WhoKW))+1)))=0,"",INDEX(WhoVal,SUMPRODUCT(MAX((WhoKW&lt;&gt;"")*ISNUMBER(SEARCH(WhoKW,INDEX(FormData,$W122,f_Who)&amp;""))*(ROW(WhoKW)-MIN(ROW(WhoKW))+1))))),""))</f>
        <v/>
      </c>
      <c r="F122" s="17">
        <f>IF($W122="","",TRIM(IFERROR(INDEX(FormData,$W122,f_Org1)&amp;"","")&amp;" "&amp;IFERROR(INDEX(FormData,$W122,f_Org2)&amp;"","")))</f>
        <v/>
      </c>
      <c r="G122" s="16">
        <f>IF($W122="","",IFERROR(INDEX(FormData,$W122,f_Region)&amp;"",""))</f>
        <v/>
      </c>
      <c r="H122" s="16">
        <f>IF($W122="","",IFERROR(IF(SUMPRODUCT(MAX((SitKW&lt;&gt;"")*ISNUMBER(SEARCH(SitKW,INDEX(FormData,$W122,f_Sit)&amp;""))*(ROW(SitKW)-MIN(ROW(SitKW))+1)))=0,"",INDEX(SitVal,SUMPRODUCT(MAX((SitKW&lt;&gt;"")*ISNUMBER(SEARCH(SitKW,INDEX(FormData,$W122,f_Sit)&amp;""))*(ROW(SitKW)-MIN(ROW(SitKW))+1))))),""))</f>
        <v/>
      </c>
      <c r="I122" s="14">
        <f>IF($W122="","",IFERROR(INDEX(FormData,$W122,f_Appr)&amp;"",""))</f>
        <v/>
      </c>
      <c r="J122" s="16">
        <f>IF($W122="","",IFERROR(INDEX(FormData,$W122,f_Trade)&amp;"",""))</f>
        <v/>
      </c>
      <c r="K122" s="16" t="n"/>
      <c r="L122" s="17" t="n"/>
      <c r="M122" s="16" t="n"/>
      <c r="N122" s="17" t="n"/>
      <c r="O122" s="14" t="n"/>
      <c r="P122" s="14" t="n"/>
      <c r="Q122" s="18" t="n"/>
      <c r="R122" s="18" t="n"/>
      <c r="S122" s="13">
        <f>IF($P122&lt;&gt;"✓","",IF($R122&lt;&gt;"","Done",IF($Q122="","Open — no date",IF($Q122&lt;TODAY(),"Overdue",IF($Q122-TODAY()&lt;=DueSoon,"Due soon","Scheduled")))))</f>
        <v/>
      </c>
      <c r="T122" s="14">
        <f>IF($W122="","",IFERROR(IF(INDEX(FormData,$W122,f_Consent)&amp;""="","",IF(ISNUMBER(SEARCH("yes",INDEX(FormData,$W122,f_Consent))),"Yes","No")),""))</f>
        <v/>
      </c>
      <c r="U122" s="14" t="n"/>
      <c r="V122" s="13">
        <f>IF($U122="","",IF($W122="","not found","✓"))</f>
        <v/>
      </c>
      <c r="W122">
        <f>IF($U122="","",IFERROR(MATCH($U122,INDEX(FormData,0,f_Id),0),IFERROR(MATCH(--$U122,INDEX(FormData,0,f_Id),0),IFERROR(MATCH($U122&amp;"",INDEX(FormData,0,f_Id),0),""))))</f>
        <v/>
      </c>
      <c r="X122">
        <f>IF(AND($B122&lt;&gt;"",$B122='Event Report'!$C$3),ROW(),"")</f>
        <v/>
      </c>
      <c r="Y122">
        <f>IF(AND($P122="✓",$R122=""),IF($Q122="",90000,$Q122)+ROW()/100000,"")</f>
        <v/>
      </c>
      <c r="Z122">
        <f>IF(OR($U122&lt;&gt;"",$D122&lt;&gt;"",$E122&lt;&gt;"",$N122&lt;&gt;""),1,"")</f>
        <v/>
      </c>
    </row>
    <row r="123">
      <c r="A123" s="13" t="inlineStr">
        <is>
          <t>P-0119</t>
        </is>
      </c>
      <c r="B123" s="14">
        <f>IF(AND($U123="",$C123=""),"",IFERROR(INDEX(EvID,MATCH(INDEX(FormData,$W123,f_Event),EvID,0)),IFERROR(INDEX(EvID,MATCH(INDEX(FormData,$W123,f_Event),EvName,0)),IFERROR(INDEX(EvID,MATCH(INT($C123),EvDate,0)),""))))</f>
        <v/>
      </c>
      <c r="C123" s="15">
        <f>IF($W123="","",INDEX(FormData,$W123,f_Time))</f>
        <v/>
      </c>
      <c r="D123" s="14">
        <f>IF($W123="","",IFERROR(UPPER(LEFT(TRIM(INDEX(FormData,$W123,f_Name)),1)&amp;IFERROR(MID(TRIM(INDEX(FormData,$W123,f_Name)),FIND("^",SUBSTITUTE(TRIM(INDEX(FormData,$W123,f_Name))," ","^",LEN(TRIM(INDEX(FormData,$W123,f_Name)))-LEN(SUBSTITUTE(TRIM(INDEX(FormData,$W123,f_Name))," ",""))))+1,1),"")),""))</f>
        <v/>
      </c>
      <c r="E123" s="16">
        <f>IF($W123="","",IFERROR(IF(SUMPRODUCT(MAX((WhoKW&lt;&gt;"")*ISNUMBER(SEARCH(WhoKW,INDEX(FormData,$W123,f_Who)&amp;""))*(ROW(WhoKW)-MIN(ROW(WhoKW))+1)))=0,"",INDEX(WhoVal,SUMPRODUCT(MAX((WhoKW&lt;&gt;"")*ISNUMBER(SEARCH(WhoKW,INDEX(FormData,$W123,f_Who)&amp;""))*(ROW(WhoKW)-MIN(ROW(WhoKW))+1))))),""))</f>
        <v/>
      </c>
      <c r="F123" s="17">
        <f>IF($W123="","",TRIM(IFERROR(INDEX(FormData,$W123,f_Org1)&amp;"","")&amp;" "&amp;IFERROR(INDEX(FormData,$W123,f_Org2)&amp;"","")))</f>
        <v/>
      </c>
      <c r="G123" s="16">
        <f>IF($W123="","",IFERROR(INDEX(FormData,$W123,f_Region)&amp;"",""))</f>
        <v/>
      </c>
      <c r="H123" s="16">
        <f>IF($W123="","",IFERROR(IF(SUMPRODUCT(MAX((SitKW&lt;&gt;"")*ISNUMBER(SEARCH(SitKW,INDEX(FormData,$W123,f_Sit)&amp;""))*(ROW(SitKW)-MIN(ROW(SitKW))+1)))=0,"",INDEX(SitVal,SUMPRODUCT(MAX((SitKW&lt;&gt;"")*ISNUMBER(SEARCH(SitKW,INDEX(FormData,$W123,f_Sit)&amp;""))*(ROW(SitKW)-MIN(ROW(SitKW))+1))))),""))</f>
        <v/>
      </c>
      <c r="I123" s="14">
        <f>IF($W123="","",IFERROR(INDEX(FormData,$W123,f_Appr)&amp;"",""))</f>
        <v/>
      </c>
      <c r="J123" s="16">
        <f>IF($W123="","",IFERROR(INDEX(FormData,$W123,f_Trade)&amp;"",""))</f>
        <v/>
      </c>
      <c r="K123" s="16" t="n"/>
      <c r="L123" s="17" t="n"/>
      <c r="M123" s="16" t="n"/>
      <c r="N123" s="17" t="n"/>
      <c r="O123" s="14" t="n"/>
      <c r="P123" s="14" t="n"/>
      <c r="Q123" s="18" t="n"/>
      <c r="R123" s="18" t="n"/>
      <c r="S123" s="13">
        <f>IF($P123&lt;&gt;"✓","",IF($R123&lt;&gt;"","Done",IF($Q123="","Open — no date",IF($Q123&lt;TODAY(),"Overdue",IF($Q123-TODAY()&lt;=DueSoon,"Due soon","Scheduled")))))</f>
        <v/>
      </c>
      <c r="T123" s="14">
        <f>IF($W123="","",IFERROR(IF(INDEX(FormData,$W123,f_Consent)&amp;""="","",IF(ISNUMBER(SEARCH("yes",INDEX(FormData,$W123,f_Consent))),"Yes","No")),""))</f>
        <v/>
      </c>
      <c r="U123" s="14" t="n"/>
      <c r="V123" s="13">
        <f>IF($U123="","",IF($W123="","not found","✓"))</f>
        <v/>
      </c>
      <c r="W123">
        <f>IF($U123="","",IFERROR(MATCH($U123,INDEX(FormData,0,f_Id),0),IFERROR(MATCH(--$U123,INDEX(FormData,0,f_Id),0),IFERROR(MATCH($U123&amp;"",INDEX(FormData,0,f_Id),0),""))))</f>
        <v/>
      </c>
      <c r="X123">
        <f>IF(AND($B123&lt;&gt;"",$B123='Event Report'!$C$3),ROW(),"")</f>
        <v/>
      </c>
      <c r="Y123">
        <f>IF(AND($P123="✓",$R123=""),IF($Q123="",90000,$Q123)+ROW()/100000,"")</f>
        <v/>
      </c>
      <c r="Z123">
        <f>IF(OR($U123&lt;&gt;"",$D123&lt;&gt;"",$E123&lt;&gt;"",$N123&lt;&gt;""),1,"")</f>
        <v/>
      </c>
    </row>
    <row r="124">
      <c r="A124" s="13" t="inlineStr">
        <is>
          <t>P-0120</t>
        </is>
      </c>
      <c r="B124" s="14">
        <f>IF(AND($U124="",$C124=""),"",IFERROR(INDEX(EvID,MATCH(INDEX(FormData,$W124,f_Event),EvID,0)),IFERROR(INDEX(EvID,MATCH(INDEX(FormData,$W124,f_Event),EvName,0)),IFERROR(INDEX(EvID,MATCH(INT($C124),EvDate,0)),""))))</f>
        <v/>
      </c>
      <c r="C124" s="15">
        <f>IF($W124="","",INDEX(FormData,$W124,f_Time))</f>
        <v/>
      </c>
      <c r="D124" s="14">
        <f>IF($W124="","",IFERROR(UPPER(LEFT(TRIM(INDEX(FormData,$W124,f_Name)),1)&amp;IFERROR(MID(TRIM(INDEX(FormData,$W124,f_Name)),FIND("^",SUBSTITUTE(TRIM(INDEX(FormData,$W124,f_Name))," ","^",LEN(TRIM(INDEX(FormData,$W124,f_Name)))-LEN(SUBSTITUTE(TRIM(INDEX(FormData,$W124,f_Name))," ",""))))+1,1),"")),""))</f>
        <v/>
      </c>
      <c r="E124" s="16">
        <f>IF($W124="","",IFERROR(IF(SUMPRODUCT(MAX((WhoKW&lt;&gt;"")*ISNUMBER(SEARCH(WhoKW,INDEX(FormData,$W124,f_Who)&amp;""))*(ROW(WhoKW)-MIN(ROW(WhoKW))+1)))=0,"",INDEX(WhoVal,SUMPRODUCT(MAX((WhoKW&lt;&gt;"")*ISNUMBER(SEARCH(WhoKW,INDEX(FormData,$W124,f_Who)&amp;""))*(ROW(WhoKW)-MIN(ROW(WhoKW))+1))))),""))</f>
        <v/>
      </c>
      <c r="F124" s="17">
        <f>IF($W124="","",TRIM(IFERROR(INDEX(FormData,$W124,f_Org1)&amp;"","")&amp;" "&amp;IFERROR(INDEX(FormData,$W124,f_Org2)&amp;"","")))</f>
        <v/>
      </c>
      <c r="G124" s="16">
        <f>IF($W124="","",IFERROR(INDEX(FormData,$W124,f_Region)&amp;"",""))</f>
        <v/>
      </c>
      <c r="H124" s="16">
        <f>IF($W124="","",IFERROR(IF(SUMPRODUCT(MAX((SitKW&lt;&gt;"")*ISNUMBER(SEARCH(SitKW,INDEX(FormData,$W124,f_Sit)&amp;""))*(ROW(SitKW)-MIN(ROW(SitKW))+1)))=0,"",INDEX(SitVal,SUMPRODUCT(MAX((SitKW&lt;&gt;"")*ISNUMBER(SEARCH(SitKW,INDEX(FormData,$W124,f_Sit)&amp;""))*(ROW(SitKW)-MIN(ROW(SitKW))+1))))),""))</f>
        <v/>
      </c>
      <c r="I124" s="14">
        <f>IF($W124="","",IFERROR(INDEX(FormData,$W124,f_Appr)&amp;"",""))</f>
        <v/>
      </c>
      <c r="J124" s="16">
        <f>IF($W124="","",IFERROR(INDEX(FormData,$W124,f_Trade)&amp;"",""))</f>
        <v/>
      </c>
      <c r="K124" s="16" t="n"/>
      <c r="L124" s="17" t="n"/>
      <c r="M124" s="16" t="n"/>
      <c r="N124" s="17" t="n"/>
      <c r="O124" s="14" t="n"/>
      <c r="P124" s="14" t="n"/>
      <c r="Q124" s="18" t="n"/>
      <c r="R124" s="18" t="n"/>
      <c r="S124" s="13">
        <f>IF($P124&lt;&gt;"✓","",IF($R124&lt;&gt;"","Done",IF($Q124="","Open — no date",IF($Q124&lt;TODAY(),"Overdue",IF($Q124-TODAY()&lt;=DueSoon,"Due soon","Scheduled")))))</f>
        <v/>
      </c>
      <c r="T124" s="14">
        <f>IF($W124="","",IFERROR(IF(INDEX(FormData,$W124,f_Consent)&amp;""="","",IF(ISNUMBER(SEARCH("yes",INDEX(FormData,$W124,f_Consent))),"Yes","No")),""))</f>
        <v/>
      </c>
      <c r="U124" s="14" t="n"/>
      <c r="V124" s="13">
        <f>IF($U124="","",IF($W124="","not found","✓"))</f>
        <v/>
      </c>
      <c r="W124">
        <f>IF($U124="","",IFERROR(MATCH($U124,INDEX(FormData,0,f_Id),0),IFERROR(MATCH(--$U124,INDEX(FormData,0,f_Id),0),IFERROR(MATCH($U124&amp;"",INDEX(FormData,0,f_Id),0),""))))</f>
        <v/>
      </c>
      <c r="X124">
        <f>IF(AND($B124&lt;&gt;"",$B124='Event Report'!$C$3),ROW(),"")</f>
        <v/>
      </c>
      <c r="Y124">
        <f>IF(AND($P124="✓",$R124=""),IF($Q124="",90000,$Q124)+ROW()/100000,"")</f>
        <v/>
      </c>
      <c r="Z124">
        <f>IF(OR($U124&lt;&gt;"",$D124&lt;&gt;"",$E124&lt;&gt;"",$N124&lt;&gt;""),1,"")</f>
        <v/>
      </c>
    </row>
    <row r="125">
      <c r="A125" s="13" t="inlineStr">
        <is>
          <t>P-0121</t>
        </is>
      </c>
      <c r="B125" s="14">
        <f>IF(AND($U125="",$C125=""),"",IFERROR(INDEX(EvID,MATCH(INDEX(FormData,$W125,f_Event),EvID,0)),IFERROR(INDEX(EvID,MATCH(INDEX(FormData,$W125,f_Event),EvName,0)),IFERROR(INDEX(EvID,MATCH(INT($C125),EvDate,0)),""))))</f>
        <v/>
      </c>
      <c r="C125" s="15">
        <f>IF($W125="","",INDEX(FormData,$W125,f_Time))</f>
        <v/>
      </c>
      <c r="D125" s="14">
        <f>IF($W125="","",IFERROR(UPPER(LEFT(TRIM(INDEX(FormData,$W125,f_Name)),1)&amp;IFERROR(MID(TRIM(INDEX(FormData,$W125,f_Name)),FIND("^",SUBSTITUTE(TRIM(INDEX(FormData,$W125,f_Name))," ","^",LEN(TRIM(INDEX(FormData,$W125,f_Name)))-LEN(SUBSTITUTE(TRIM(INDEX(FormData,$W125,f_Name))," ",""))))+1,1),"")),""))</f>
        <v/>
      </c>
      <c r="E125" s="16">
        <f>IF($W125="","",IFERROR(IF(SUMPRODUCT(MAX((WhoKW&lt;&gt;"")*ISNUMBER(SEARCH(WhoKW,INDEX(FormData,$W125,f_Who)&amp;""))*(ROW(WhoKW)-MIN(ROW(WhoKW))+1)))=0,"",INDEX(WhoVal,SUMPRODUCT(MAX((WhoKW&lt;&gt;"")*ISNUMBER(SEARCH(WhoKW,INDEX(FormData,$W125,f_Who)&amp;""))*(ROW(WhoKW)-MIN(ROW(WhoKW))+1))))),""))</f>
        <v/>
      </c>
      <c r="F125" s="17">
        <f>IF($W125="","",TRIM(IFERROR(INDEX(FormData,$W125,f_Org1)&amp;"","")&amp;" "&amp;IFERROR(INDEX(FormData,$W125,f_Org2)&amp;"","")))</f>
        <v/>
      </c>
      <c r="G125" s="16">
        <f>IF($W125="","",IFERROR(INDEX(FormData,$W125,f_Region)&amp;"",""))</f>
        <v/>
      </c>
      <c r="H125" s="16">
        <f>IF($W125="","",IFERROR(IF(SUMPRODUCT(MAX((SitKW&lt;&gt;"")*ISNUMBER(SEARCH(SitKW,INDEX(FormData,$W125,f_Sit)&amp;""))*(ROW(SitKW)-MIN(ROW(SitKW))+1)))=0,"",INDEX(SitVal,SUMPRODUCT(MAX((SitKW&lt;&gt;"")*ISNUMBER(SEARCH(SitKW,INDEX(FormData,$W125,f_Sit)&amp;""))*(ROW(SitKW)-MIN(ROW(SitKW))+1))))),""))</f>
        <v/>
      </c>
      <c r="I125" s="14">
        <f>IF($W125="","",IFERROR(INDEX(FormData,$W125,f_Appr)&amp;"",""))</f>
        <v/>
      </c>
      <c r="J125" s="16">
        <f>IF($W125="","",IFERROR(INDEX(FormData,$W125,f_Trade)&amp;"",""))</f>
        <v/>
      </c>
      <c r="K125" s="16" t="n"/>
      <c r="L125" s="17" t="n"/>
      <c r="M125" s="16" t="n"/>
      <c r="N125" s="17" t="n"/>
      <c r="O125" s="14" t="n"/>
      <c r="P125" s="14" t="n"/>
      <c r="Q125" s="18" t="n"/>
      <c r="R125" s="18" t="n"/>
      <c r="S125" s="13">
        <f>IF($P125&lt;&gt;"✓","",IF($R125&lt;&gt;"","Done",IF($Q125="","Open — no date",IF($Q125&lt;TODAY(),"Overdue",IF($Q125-TODAY()&lt;=DueSoon,"Due soon","Scheduled")))))</f>
        <v/>
      </c>
      <c r="T125" s="14">
        <f>IF($W125="","",IFERROR(IF(INDEX(FormData,$W125,f_Consent)&amp;""="","",IF(ISNUMBER(SEARCH("yes",INDEX(FormData,$W125,f_Consent))),"Yes","No")),""))</f>
        <v/>
      </c>
      <c r="U125" s="14" t="n"/>
      <c r="V125" s="13">
        <f>IF($U125="","",IF($W125="","not found","✓"))</f>
        <v/>
      </c>
      <c r="W125">
        <f>IF($U125="","",IFERROR(MATCH($U125,INDEX(FormData,0,f_Id),0),IFERROR(MATCH(--$U125,INDEX(FormData,0,f_Id),0),IFERROR(MATCH($U125&amp;"",INDEX(FormData,0,f_Id),0),""))))</f>
        <v/>
      </c>
      <c r="X125">
        <f>IF(AND($B125&lt;&gt;"",$B125='Event Report'!$C$3),ROW(),"")</f>
        <v/>
      </c>
      <c r="Y125">
        <f>IF(AND($P125="✓",$R125=""),IF($Q125="",90000,$Q125)+ROW()/100000,"")</f>
        <v/>
      </c>
      <c r="Z125">
        <f>IF(OR($U125&lt;&gt;"",$D125&lt;&gt;"",$E125&lt;&gt;"",$N125&lt;&gt;""),1,"")</f>
        <v/>
      </c>
    </row>
    <row r="126">
      <c r="A126" s="13" t="inlineStr">
        <is>
          <t>P-0122</t>
        </is>
      </c>
      <c r="B126" s="14">
        <f>IF(AND($U126="",$C126=""),"",IFERROR(INDEX(EvID,MATCH(INDEX(FormData,$W126,f_Event),EvID,0)),IFERROR(INDEX(EvID,MATCH(INDEX(FormData,$W126,f_Event),EvName,0)),IFERROR(INDEX(EvID,MATCH(INT($C126),EvDate,0)),""))))</f>
        <v/>
      </c>
      <c r="C126" s="15">
        <f>IF($W126="","",INDEX(FormData,$W126,f_Time))</f>
        <v/>
      </c>
      <c r="D126" s="14">
        <f>IF($W126="","",IFERROR(UPPER(LEFT(TRIM(INDEX(FormData,$W126,f_Name)),1)&amp;IFERROR(MID(TRIM(INDEX(FormData,$W126,f_Name)),FIND("^",SUBSTITUTE(TRIM(INDEX(FormData,$W126,f_Name))," ","^",LEN(TRIM(INDEX(FormData,$W126,f_Name)))-LEN(SUBSTITUTE(TRIM(INDEX(FormData,$W126,f_Name))," ",""))))+1,1),"")),""))</f>
        <v/>
      </c>
      <c r="E126" s="16">
        <f>IF($W126="","",IFERROR(IF(SUMPRODUCT(MAX((WhoKW&lt;&gt;"")*ISNUMBER(SEARCH(WhoKW,INDEX(FormData,$W126,f_Who)&amp;""))*(ROW(WhoKW)-MIN(ROW(WhoKW))+1)))=0,"",INDEX(WhoVal,SUMPRODUCT(MAX((WhoKW&lt;&gt;"")*ISNUMBER(SEARCH(WhoKW,INDEX(FormData,$W126,f_Who)&amp;""))*(ROW(WhoKW)-MIN(ROW(WhoKW))+1))))),""))</f>
        <v/>
      </c>
      <c r="F126" s="17">
        <f>IF($W126="","",TRIM(IFERROR(INDEX(FormData,$W126,f_Org1)&amp;"","")&amp;" "&amp;IFERROR(INDEX(FormData,$W126,f_Org2)&amp;"","")))</f>
        <v/>
      </c>
      <c r="G126" s="16">
        <f>IF($W126="","",IFERROR(INDEX(FormData,$W126,f_Region)&amp;"",""))</f>
        <v/>
      </c>
      <c r="H126" s="16">
        <f>IF($W126="","",IFERROR(IF(SUMPRODUCT(MAX((SitKW&lt;&gt;"")*ISNUMBER(SEARCH(SitKW,INDEX(FormData,$W126,f_Sit)&amp;""))*(ROW(SitKW)-MIN(ROW(SitKW))+1)))=0,"",INDEX(SitVal,SUMPRODUCT(MAX((SitKW&lt;&gt;"")*ISNUMBER(SEARCH(SitKW,INDEX(FormData,$W126,f_Sit)&amp;""))*(ROW(SitKW)-MIN(ROW(SitKW))+1))))),""))</f>
        <v/>
      </c>
      <c r="I126" s="14">
        <f>IF($W126="","",IFERROR(INDEX(FormData,$W126,f_Appr)&amp;"",""))</f>
        <v/>
      </c>
      <c r="J126" s="16">
        <f>IF($W126="","",IFERROR(INDEX(FormData,$W126,f_Trade)&amp;"",""))</f>
        <v/>
      </c>
      <c r="K126" s="16" t="n"/>
      <c r="L126" s="17" t="n"/>
      <c r="M126" s="16" t="n"/>
      <c r="N126" s="17" t="n"/>
      <c r="O126" s="14" t="n"/>
      <c r="P126" s="14" t="n"/>
      <c r="Q126" s="18" t="n"/>
      <c r="R126" s="18" t="n"/>
      <c r="S126" s="13">
        <f>IF($P126&lt;&gt;"✓","",IF($R126&lt;&gt;"","Done",IF($Q126="","Open — no date",IF($Q126&lt;TODAY(),"Overdue",IF($Q126-TODAY()&lt;=DueSoon,"Due soon","Scheduled")))))</f>
        <v/>
      </c>
      <c r="T126" s="14">
        <f>IF($W126="","",IFERROR(IF(INDEX(FormData,$W126,f_Consent)&amp;""="","",IF(ISNUMBER(SEARCH("yes",INDEX(FormData,$W126,f_Consent))),"Yes","No")),""))</f>
        <v/>
      </c>
      <c r="U126" s="14" t="n"/>
      <c r="V126" s="13">
        <f>IF($U126="","",IF($W126="","not found","✓"))</f>
        <v/>
      </c>
      <c r="W126">
        <f>IF($U126="","",IFERROR(MATCH($U126,INDEX(FormData,0,f_Id),0),IFERROR(MATCH(--$U126,INDEX(FormData,0,f_Id),0),IFERROR(MATCH($U126&amp;"",INDEX(FormData,0,f_Id),0),""))))</f>
        <v/>
      </c>
      <c r="X126">
        <f>IF(AND($B126&lt;&gt;"",$B126='Event Report'!$C$3),ROW(),"")</f>
        <v/>
      </c>
      <c r="Y126">
        <f>IF(AND($P126="✓",$R126=""),IF($Q126="",90000,$Q126)+ROW()/100000,"")</f>
        <v/>
      </c>
      <c r="Z126">
        <f>IF(OR($U126&lt;&gt;"",$D126&lt;&gt;"",$E126&lt;&gt;"",$N126&lt;&gt;""),1,"")</f>
        <v/>
      </c>
    </row>
    <row r="127">
      <c r="A127" s="13" t="inlineStr">
        <is>
          <t>P-0123</t>
        </is>
      </c>
      <c r="B127" s="14">
        <f>IF(AND($U127="",$C127=""),"",IFERROR(INDEX(EvID,MATCH(INDEX(FormData,$W127,f_Event),EvID,0)),IFERROR(INDEX(EvID,MATCH(INDEX(FormData,$W127,f_Event),EvName,0)),IFERROR(INDEX(EvID,MATCH(INT($C127),EvDate,0)),""))))</f>
        <v/>
      </c>
      <c r="C127" s="15">
        <f>IF($W127="","",INDEX(FormData,$W127,f_Time))</f>
        <v/>
      </c>
      <c r="D127" s="14">
        <f>IF($W127="","",IFERROR(UPPER(LEFT(TRIM(INDEX(FormData,$W127,f_Name)),1)&amp;IFERROR(MID(TRIM(INDEX(FormData,$W127,f_Name)),FIND("^",SUBSTITUTE(TRIM(INDEX(FormData,$W127,f_Name))," ","^",LEN(TRIM(INDEX(FormData,$W127,f_Name)))-LEN(SUBSTITUTE(TRIM(INDEX(FormData,$W127,f_Name))," ",""))))+1,1),"")),""))</f>
        <v/>
      </c>
      <c r="E127" s="16">
        <f>IF($W127="","",IFERROR(IF(SUMPRODUCT(MAX((WhoKW&lt;&gt;"")*ISNUMBER(SEARCH(WhoKW,INDEX(FormData,$W127,f_Who)&amp;""))*(ROW(WhoKW)-MIN(ROW(WhoKW))+1)))=0,"",INDEX(WhoVal,SUMPRODUCT(MAX((WhoKW&lt;&gt;"")*ISNUMBER(SEARCH(WhoKW,INDEX(FormData,$W127,f_Who)&amp;""))*(ROW(WhoKW)-MIN(ROW(WhoKW))+1))))),""))</f>
        <v/>
      </c>
      <c r="F127" s="17">
        <f>IF($W127="","",TRIM(IFERROR(INDEX(FormData,$W127,f_Org1)&amp;"","")&amp;" "&amp;IFERROR(INDEX(FormData,$W127,f_Org2)&amp;"","")))</f>
        <v/>
      </c>
      <c r="G127" s="16">
        <f>IF($W127="","",IFERROR(INDEX(FormData,$W127,f_Region)&amp;"",""))</f>
        <v/>
      </c>
      <c r="H127" s="16">
        <f>IF($W127="","",IFERROR(IF(SUMPRODUCT(MAX((SitKW&lt;&gt;"")*ISNUMBER(SEARCH(SitKW,INDEX(FormData,$W127,f_Sit)&amp;""))*(ROW(SitKW)-MIN(ROW(SitKW))+1)))=0,"",INDEX(SitVal,SUMPRODUCT(MAX((SitKW&lt;&gt;"")*ISNUMBER(SEARCH(SitKW,INDEX(FormData,$W127,f_Sit)&amp;""))*(ROW(SitKW)-MIN(ROW(SitKW))+1))))),""))</f>
        <v/>
      </c>
      <c r="I127" s="14">
        <f>IF($W127="","",IFERROR(INDEX(FormData,$W127,f_Appr)&amp;"",""))</f>
        <v/>
      </c>
      <c r="J127" s="16">
        <f>IF($W127="","",IFERROR(INDEX(FormData,$W127,f_Trade)&amp;"",""))</f>
        <v/>
      </c>
      <c r="K127" s="16" t="n"/>
      <c r="L127" s="17" t="n"/>
      <c r="M127" s="16" t="n"/>
      <c r="N127" s="17" t="n"/>
      <c r="O127" s="14" t="n"/>
      <c r="P127" s="14" t="n"/>
      <c r="Q127" s="18" t="n"/>
      <c r="R127" s="18" t="n"/>
      <c r="S127" s="13">
        <f>IF($P127&lt;&gt;"✓","",IF($R127&lt;&gt;"","Done",IF($Q127="","Open — no date",IF($Q127&lt;TODAY(),"Overdue",IF($Q127-TODAY()&lt;=DueSoon,"Due soon","Scheduled")))))</f>
        <v/>
      </c>
      <c r="T127" s="14">
        <f>IF($W127="","",IFERROR(IF(INDEX(FormData,$W127,f_Consent)&amp;""="","",IF(ISNUMBER(SEARCH("yes",INDEX(FormData,$W127,f_Consent))),"Yes","No")),""))</f>
        <v/>
      </c>
      <c r="U127" s="14" t="n"/>
      <c r="V127" s="13">
        <f>IF($U127="","",IF($W127="","not found","✓"))</f>
        <v/>
      </c>
      <c r="W127">
        <f>IF($U127="","",IFERROR(MATCH($U127,INDEX(FormData,0,f_Id),0),IFERROR(MATCH(--$U127,INDEX(FormData,0,f_Id),0),IFERROR(MATCH($U127&amp;"",INDEX(FormData,0,f_Id),0),""))))</f>
        <v/>
      </c>
      <c r="X127">
        <f>IF(AND($B127&lt;&gt;"",$B127='Event Report'!$C$3),ROW(),"")</f>
        <v/>
      </c>
      <c r="Y127">
        <f>IF(AND($P127="✓",$R127=""),IF($Q127="",90000,$Q127)+ROW()/100000,"")</f>
        <v/>
      </c>
      <c r="Z127">
        <f>IF(OR($U127&lt;&gt;"",$D127&lt;&gt;"",$E127&lt;&gt;"",$N127&lt;&gt;""),1,"")</f>
        <v/>
      </c>
    </row>
    <row r="128">
      <c r="A128" s="13" t="inlineStr">
        <is>
          <t>P-0124</t>
        </is>
      </c>
      <c r="B128" s="14">
        <f>IF(AND($U128="",$C128=""),"",IFERROR(INDEX(EvID,MATCH(INDEX(FormData,$W128,f_Event),EvID,0)),IFERROR(INDEX(EvID,MATCH(INDEX(FormData,$W128,f_Event),EvName,0)),IFERROR(INDEX(EvID,MATCH(INT($C128),EvDate,0)),""))))</f>
        <v/>
      </c>
      <c r="C128" s="15">
        <f>IF($W128="","",INDEX(FormData,$W128,f_Time))</f>
        <v/>
      </c>
      <c r="D128" s="14">
        <f>IF($W128="","",IFERROR(UPPER(LEFT(TRIM(INDEX(FormData,$W128,f_Name)),1)&amp;IFERROR(MID(TRIM(INDEX(FormData,$W128,f_Name)),FIND("^",SUBSTITUTE(TRIM(INDEX(FormData,$W128,f_Name))," ","^",LEN(TRIM(INDEX(FormData,$W128,f_Name)))-LEN(SUBSTITUTE(TRIM(INDEX(FormData,$W128,f_Name))," ",""))))+1,1),"")),""))</f>
        <v/>
      </c>
      <c r="E128" s="16">
        <f>IF($W128="","",IFERROR(IF(SUMPRODUCT(MAX((WhoKW&lt;&gt;"")*ISNUMBER(SEARCH(WhoKW,INDEX(FormData,$W128,f_Who)&amp;""))*(ROW(WhoKW)-MIN(ROW(WhoKW))+1)))=0,"",INDEX(WhoVal,SUMPRODUCT(MAX((WhoKW&lt;&gt;"")*ISNUMBER(SEARCH(WhoKW,INDEX(FormData,$W128,f_Who)&amp;""))*(ROW(WhoKW)-MIN(ROW(WhoKW))+1))))),""))</f>
        <v/>
      </c>
      <c r="F128" s="17">
        <f>IF($W128="","",TRIM(IFERROR(INDEX(FormData,$W128,f_Org1)&amp;"","")&amp;" "&amp;IFERROR(INDEX(FormData,$W128,f_Org2)&amp;"","")))</f>
        <v/>
      </c>
      <c r="G128" s="16">
        <f>IF($W128="","",IFERROR(INDEX(FormData,$W128,f_Region)&amp;"",""))</f>
        <v/>
      </c>
      <c r="H128" s="16">
        <f>IF($W128="","",IFERROR(IF(SUMPRODUCT(MAX((SitKW&lt;&gt;"")*ISNUMBER(SEARCH(SitKW,INDEX(FormData,$W128,f_Sit)&amp;""))*(ROW(SitKW)-MIN(ROW(SitKW))+1)))=0,"",INDEX(SitVal,SUMPRODUCT(MAX((SitKW&lt;&gt;"")*ISNUMBER(SEARCH(SitKW,INDEX(FormData,$W128,f_Sit)&amp;""))*(ROW(SitKW)-MIN(ROW(SitKW))+1))))),""))</f>
        <v/>
      </c>
      <c r="I128" s="14">
        <f>IF($W128="","",IFERROR(INDEX(FormData,$W128,f_Appr)&amp;"",""))</f>
        <v/>
      </c>
      <c r="J128" s="16">
        <f>IF($W128="","",IFERROR(INDEX(FormData,$W128,f_Trade)&amp;"",""))</f>
        <v/>
      </c>
      <c r="K128" s="16" t="n"/>
      <c r="L128" s="17" t="n"/>
      <c r="M128" s="16" t="n"/>
      <c r="N128" s="17" t="n"/>
      <c r="O128" s="14" t="n"/>
      <c r="P128" s="14" t="n"/>
      <c r="Q128" s="18" t="n"/>
      <c r="R128" s="18" t="n"/>
      <c r="S128" s="13">
        <f>IF($P128&lt;&gt;"✓","",IF($R128&lt;&gt;"","Done",IF($Q128="","Open — no date",IF($Q128&lt;TODAY(),"Overdue",IF($Q128-TODAY()&lt;=DueSoon,"Due soon","Scheduled")))))</f>
        <v/>
      </c>
      <c r="T128" s="14">
        <f>IF($W128="","",IFERROR(IF(INDEX(FormData,$W128,f_Consent)&amp;""="","",IF(ISNUMBER(SEARCH("yes",INDEX(FormData,$W128,f_Consent))),"Yes","No")),""))</f>
        <v/>
      </c>
      <c r="U128" s="14" t="n"/>
      <c r="V128" s="13">
        <f>IF($U128="","",IF($W128="","not found","✓"))</f>
        <v/>
      </c>
      <c r="W128">
        <f>IF($U128="","",IFERROR(MATCH($U128,INDEX(FormData,0,f_Id),0),IFERROR(MATCH(--$U128,INDEX(FormData,0,f_Id),0),IFERROR(MATCH($U128&amp;"",INDEX(FormData,0,f_Id),0),""))))</f>
        <v/>
      </c>
      <c r="X128">
        <f>IF(AND($B128&lt;&gt;"",$B128='Event Report'!$C$3),ROW(),"")</f>
        <v/>
      </c>
      <c r="Y128">
        <f>IF(AND($P128="✓",$R128=""),IF($Q128="",90000,$Q128)+ROW()/100000,"")</f>
        <v/>
      </c>
      <c r="Z128">
        <f>IF(OR($U128&lt;&gt;"",$D128&lt;&gt;"",$E128&lt;&gt;"",$N128&lt;&gt;""),1,"")</f>
        <v/>
      </c>
    </row>
    <row r="129">
      <c r="A129" s="13" t="inlineStr">
        <is>
          <t>P-0125</t>
        </is>
      </c>
      <c r="B129" s="14">
        <f>IF(AND($U129="",$C129=""),"",IFERROR(INDEX(EvID,MATCH(INDEX(FormData,$W129,f_Event),EvID,0)),IFERROR(INDEX(EvID,MATCH(INDEX(FormData,$W129,f_Event),EvName,0)),IFERROR(INDEX(EvID,MATCH(INT($C129),EvDate,0)),""))))</f>
        <v/>
      </c>
      <c r="C129" s="15">
        <f>IF($W129="","",INDEX(FormData,$W129,f_Time))</f>
        <v/>
      </c>
      <c r="D129" s="14">
        <f>IF($W129="","",IFERROR(UPPER(LEFT(TRIM(INDEX(FormData,$W129,f_Name)),1)&amp;IFERROR(MID(TRIM(INDEX(FormData,$W129,f_Name)),FIND("^",SUBSTITUTE(TRIM(INDEX(FormData,$W129,f_Name))," ","^",LEN(TRIM(INDEX(FormData,$W129,f_Name)))-LEN(SUBSTITUTE(TRIM(INDEX(FormData,$W129,f_Name))," ",""))))+1,1),"")),""))</f>
        <v/>
      </c>
      <c r="E129" s="16">
        <f>IF($W129="","",IFERROR(IF(SUMPRODUCT(MAX((WhoKW&lt;&gt;"")*ISNUMBER(SEARCH(WhoKW,INDEX(FormData,$W129,f_Who)&amp;""))*(ROW(WhoKW)-MIN(ROW(WhoKW))+1)))=0,"",INDEX(WhoVal,SUMPRODUCT(MAX((WhoKW&lt;&gt;"")*ISNUMBER(SEARCH(WhoKW,INDEX(FormData,$W129,f_Who)&amp;""))*(ROW(WhoKW)-MIN(ROW(WhoKW))+1))))),""))</f>
        <v/>
      </c>
      <c r="F129" s="17">
        <f>IF($W129="","",TRIM(IFERROR(INDEX(FormData,$W129,f_Org1)&amp;"","")&amp;" "&amp;IFERROR(INDEX(FormData,$W129,f_Org2)&amp;"","")))</f>
        <v/>
      </c>
      <c r="G129" s="16">
        <f>IF($W129="","",IFERROR(INDEX(FormData,$W129,f_Region)&amp;"",""))</f>
        <v/>
      </c>
      <c r="H129" s="16">
        <f>IF($W129="","",IFERROR(IF(SUMPRODUCT(MAX((SitKW&lt;&gt;"")*ISNUMBER(SEARCH(SitKW,INDEX(FormData,$W129,f_Sit)&amp;""))*(ROW(SitKW)-MIN(ROW(SitKW))+1)))=0,"",INDEX(SitVal,SUMPRODUCT(MAX((SitKW&lt;&gt;"")*ISNUMBER(SEARCH(SitKW,INDEX(FormData,$W129,f_Sit)&amp;""))*(ROW(SitKW)-MIN(ROW(SitKW))+1))))),""))</f>
        <v/>
      </c>
      <c r="I129" s="14">
        <f>IF($W129="","",IFERROR(INDEX(FormData,$W129,f_Appr)&amp;"",""))</f>
        <v/>
      </c>
      <c r="J129" s="16">
        <f>IF($W129="","",IFERROR(INDEX(FormData,$W129,f_Trade)&amp;"",""))</f>
        <v/>
      </c>
      <c r="K129" s="16" t="n"/>
      <c r="L129" s="17" t="n"/>
      <c r="M129" s="16" t="n"/>
      <c r="N129" s="17" t="n"/>
      <c r="O129" s="14" t="n"/>
      <c r="P129" s="14" t="n"/>
      <c r="Q129" s="18" t="n"/>
      <c r="R129" s="18" t="n"/>
      <c r="S129" s="13">
        <f>IF($P129&lt;&gt;"✓","",IF($R129&lt;&gt;"","Done",IF($Q129="","Open — no date",IF($Q129&lt;TODAY(),"Overdue",IF($Q129-TODAY()&lt;=DueSoon,"Due soon","Scheduled")))))</f>
        <v/>
      </c>
      <c r="T129" s="14">
        <f>IF($W129="","",IFERROR(IF(INDEX(FormData,$W129,f_Consent)&amp;""="","",IF(ISNUMBER(SEARCH("yes",INDEX(FormData,$W129,f_Consent))),"Yes","No")),""))</f>
        <v/>
      </c>
      <c r="U129" s="14" t="n"/>
      <c r="V129" s="13">
        <f>IF($U129="","",IF($W129="","not found","✓"))</f>
        <v/>
      </c>
      <c r="W129">
        <f>IF($U129="","",IFERROR(MATCH($U129,INDEX(FormData,0,f_Id),0),IFERROR(MATCH(--$U129,INDEX(FormData,0,f_Id),0),IFERROR(MATCH($U129&amp;"",INDEX(FormData,0,f_Id),0),""))))</f>
        <v/>
      </c>
      <c r="X129">
        <f>IF(AND($B129&lt;&gt;"",$B129='Event Report'!$C$3),ROW(),"")</f>
        <v/>
      </c>
      <c r="Y129">
        <f>IF(AND($P129="✓",$R129=""),IF($Q129="",90000,$Q129)+ROW()/100000,"")</f>
        <v/>
      </c>
      <c r="Z129">
        <f>IF(OR($U129&lt;&gt;"",$D129&lt;&gt;"",$E129&lt;&gt;"",$N129&lt;&gt;""),1,"")</f>
        <v/>
      </c>
    </row>
    <row r="130">
      <c r="A130" s="13" t="inlineStr">
        <is>
          <t>P-0126</t>
        </is>
      </c>
      <c r="B130" s="14">
        <f>IF(AND($U130="",$C130=""),"",IFERROR(INDEX(EvID,MATCH(INDEX(FormData,$W130,f_Event),EvID,0)),IFERROR(INDEX(EvID,MATCH(INDEX(FormData,$W130,f_Event),EvName,0)),IFERROR(INDEX(EvID,MATCH(INT($C130),EvDate,0)),""))))</f>
        <v/>
      </c>
      <c r="C130" s="15">
        <f>IF($W130="","",INDEX(FormData,$W130,f_Time))</f>
        <v/>
      </c>
      <c r="D130" s="14">
        <f>IF($W130="","",IFERROR(UPPER(LEFT(TRIM(INDEX(FormData,$W130,f_Name)),1)&amp;IFERROR(MID(TRIM(INDEX(FormData,$W130,f_Name)),FIND("^",SUBSTITUTE(TRIM(INDEX(FormData,$W130,f_Name))," ","^",LEN(TRIM(INDEX(FormData,$W130,f_Name)))-LEN(SUBSTITUTE(TRIM(INDEX(FormData,$W130,f_Name))," ",""))))+1,1),"")),""))</f>
        <v/>
      </c>
      <c r="E130" s="16">
        <f>IF($W130="","",IFERROR(IF(SUMPRODUCT(MAX((WhoKW&lt;&gt;"")*ISNUMBER(SEARCH(WhoKW,INDEX(FormData,$W130,f_Who)&amp;""))*(ROW(WhoKW)-MIN(ROW(WhoKW))+1)))=0,"",INDEX(WhoVal,SUMPRODUCT(MAX((WhoKW&lt;&gt;"")*ISNUMBER(SEARCH(WhoKW,INDEX(FormData,$W130,f_Who)&amp;""))*(ROW(WhoKW)-MIN(ROW(WhoKW))+1))))),""))</f>
        <v/>
      </c>
      <c r="F130" s="17">
        <f>IF($W130="","",TRIM(IFERROR(INDEX(FormData,$W130,f_Org1)&amp;"","")&amp;" "&amp;IFERROR(INDEX(FormData,$W130,f_Org2)&amp;"","")))</f>
        <v/>
      </c>
      <c r="G130" s="16">
        <f>IF($W130="","",IFERROR(INDEX(FormData,$W130,f_Region)&amp;"",""))</f>
        <v/>
      </c>
      <c r="H130" s="16">
        <f>IF($W130="","",IFERROR(IF(SUMPRODUCT(MAX((SitKW&lt;&gt;"")*ISNUMBER(SEARCH(SitKW,INDEX(FormData,$W130,f_Sit)&amp;""))*(ROW(SitKW)-MIN(ROW(SitKW))+1)))=0,"",INDEX(SitVal,SUMPRODUCT(MAX((SitKW&lt;&gt;"")*ISNUMBER(SEARCH(SitKW,INDEX(FormData,$W130,f_Sit)&amp;""))*(ROW(SitKW)-MIN(ROW(SitKW))+1))))),""))</f>
        <v/>
      </c>
      <c r="I130" s="14">
        <f>IF($W130="","",IFERROR(INDEX(FormData,$W130,f_Appr)&amp;"",""))</f>
        <v/>
      </c>
      <c r="J130" s="16">
        <f>IF($W130="","",IFERROR(INDEX(FormData,$W130,f_Trade)&amp;"",""))</f>
        <v/>
      </c>
      <c r="K130" s="16" t="n"/>
      <c r="L130" s="17" t="n"/>
      <c r="M130" s="16" t="n"/>
      <c r="N130" s="17" t="n"/>
      <c r="O130" s="14" t="n"/>
      <c r="P130" s="14" t="n"/>
      <c r="Q130" s="18" t="n"/>
      <c r="R130" s="18" t="n"/>
      <c r="S130" s="13">
        <f>IF($P130&lt;&gt;"✓","",IF($R130&lt;&gt;"","Done",IF($Q130="","Open — no date",IF($Q130&lt;TODAY(),"Overdue",IF($Q130-TODAY()&lt;=DueSoon,"Due soon","Scheduled")))))</f>
        <v/>
      </c>
      <c r="T130" s="14">
        <f>IF($W130="","",IFERROR(IF(INDEX(FormData,$W130,f_Consent)&amp;""="","",IF(ISNUMBER(SEARCH("yes",INDEX(FormData,$W130,f_Consent))),"Yes","No")),""))</f>
        <v/>
      </c>
      <c r="U130" s="14" t="n"/>
      <c r="V130" s="13">
        <f>IF($U130="","",IF($W130="","not found","✓"))</f>
        <v/>
      </c>
      <c r="W130">
        <f>IF($U130="","",IFERROR(MATCH($U130,INDEX(FormData,0,f_Id),0),IFERROR(MATCH(--$U130,INDEX(FormData,0,f_Id),0),IFERROR(MATCH($U130&amp;"",INDEX(FormData,0,f_Id),0),""))))</f>
        <v/>
      </c>
      <c r="X130">
        <f>IF(AND($B130&lt;&gt;"",$B130='Event Report'!$C$3),ROW(),"")</f>
        <v/>
      </c>
      <c r="Y130">
        <f>IF(AND($P130="✓",$R130=""),IF($Q130="",90000,$Q130)+ROW()/100000,"")</f>
        <v/>
      </c>
      <c r="Z130">
        <f>IF(OR($U130&lt;&gt;"",$D130&lt;&gt;"",$E130&lt;&gt;"",$N130&lt;&gt;""),1,"")</f>
        <v/>
      </c>
    </row>
    <row r="131">
      <c r="A131" s="13" t="inlineStr">
        <is>
          <t>P-0127</t>
        </is>
      </c>
      <c r="B131" s="14">
        <f>IF(AND($U131="",$C131=""),"",IFERROR(INDEX(EvID,MATCH(INDEX(FormData,$W131,f_Event),EvID,0)),IFERROR(INDEX(EvID,MATCH(INDEX(FormData,$W131,f_Event),EvName,0)),IFERROR(INDEX(EvID,MATCH(INT($C131),EvDate,0)),""))))</f>
        <v/>
      </c>
      <c r="C131" s="15">
        <f>IF($W131="","",INDEX(FormData,$W131,f_Time))</f>
        <v/>
      </c>
      <c r="D131" s="14">
        <f>IF($W131="","",IFERROR(UPPER(LEFT(TRIM(INDEX(FormData,$W131,f_Name)),1)&amp;IFERROR(MID(TRIM(INDEX(FormData,$W131,f_Name)),FIND("^",SUBSTITUTE(TRIM(INDEX(FormData,$W131,f_Name))," ","^",LEN(TRIM(INDEX(FormData,$W131,f_Name)))-LEN(SUBSTITUTE(TRIM(INDEX(FormData,$W131,f_Name))," ",""))))+1,1),"")),""))</f>
        <v/>
      </c>
      <c r="E131" s="16">
        <f>IF($W131="","",IFERROR(IF(SUMPRODUCT(MAX((WhoKW&lt;&gt;"")*ISNUMBER(SEARCH(WhoKW,INDEX(FormData,$W131,f_Who)&amp;""))*(ROW(WhoKW)-MIN(ROW(WhoKW))+1)))=0,"",INDEX(WhoVal,SUMPRODUCT(MAX((WhoKW&lt;&gt;"")*ISNUMBER(SEARCH(WhoKW,INDEX(FormData,$W131,f_Who)&amp;""))*(ROW(WhoKW)-MIN(ROW(WhoKW))+1))))),""))</f>
        <v/>
      </c>
      <c r="F131" s="17">
        <f>IF($W131="","",TRIM(IFERROR(INDEX(FormData,$W131,f_Org1)&amp;"","")&amp;" "&amp;IFERROR(INDEX(FormData,$W131,f_Org2)&amp;"","")))</f>
        <v/>
      </c>
      <c r="G131" s="16">
        <f>IF($W131="","",IFERROR(INDEX(FormData,$W131,f_Region)&amp;"",""))</f>
        <v/>
      </c>
      <c r="H131" s="16">
        <f>IF($W131="","",IFERROR(IF(SUMPRODUCT(MAX((SitKW&lt;&gt;"")*ISNUMBER(SEARCH(SitKW,INDEX(FormData,$W131,f_Sit)&amp;""))*(ROW(SitKW)-MIN(ROW(SitKW))+1)))=0,"",INDEX(SitVal,SUMPRODUCT(MAX((SitKW&lt;&gt;"")*ISNUMBER(SEARCH(SitKW,INDEX(FormData,$W131,f_Sit)&amp;""))*(ROW(SitKW)-MIN(ROW(SitKW))+1))))),""))</f>
        <v/>
      </c>
      <c r="I131" s="14">
        <f>IF($W131="","",IFERROR(INDEX(FormData,$W131,f_Appr)&amp;"",""))</f>
        <v/>
      </c>
      <c r="J131" s="16">
        <f>IF($W131="","",IFERROR(INDEX(FormData,$W131,f_Trade)&amp;"",""))</f>
        <v/>
      </c>
      <c r="K131" s="16" t="n"/>
      <c r="L131" s="17" t="n"/>
      <c r="M131" s="16" t="n"/>
      <c r="N131" s="17" t="n"/>
      <c r="O131" s="14" t="n"/>
      <c r="P131" s="14" t="n"/>
      <c r="Q131" s="18" t="n"/>
      <c r="R131" s="18" t="n"/>
      <c r="S131" s="13">
        <f>IF($P131&lt;&gt;"✓","",IF($R131&lt;&gt;"","Done",IF($Q131="","Open — no date",IF($Q131&lt;TODAY(),"Overdue",IF($Q131-TODAY()&lt;=DueSoon,"Due soon","Scheduled")))))</f>
        <v/>
      </c>
      <c r="T131" s="14">
        <f>IF($W131="","",IFERROR(IF(INDEX(FormData,$W131,f_Consent)&amp;""="","",IF(ISNUMBER(SEARCH("yes",INDEX(FormData,$W131,f_Consent))),"Yes","No")),""))</f>
        <v/>
      </c>
      <c r="U131" s="14" t="n"/>
      <c r="V131" s="13">
        <f>IF($U131="","",IF($W131="","not found","✓"))</f>
        <v/>
      </c>
      <c r="W131">
        <f>IF($U131="","",IFERROR(MATCH($U131,INDEX(FormData,0,f_Id),0),IFERROR(MATCH(--$U131,INDEX(FormData,0,f_Id),0),IFERROR(MATCH($U131&amp;"",INDEX(FormData,0,f_Id),0),""))))</f>
        <v/>
      </c>
      <c r="X131">
        <f>IF(AND($B131&lt;&gt;"",$B131='Event Report'!$C$3),ROW(),"")</f>
        <v/>
      </c>
      <c r="Y131">
        <f>IF(AND($P131="✓",$R131=""),IF($Q131="",90000,$Q131)+ROW()/100000,"")</f>
        <v/>
      </c>
      <c r="Z131">
        <f>IF(OR($U131&lt;&gt;"",$D131&lt;&gt;"",$E131&lt;&gt;"",$N131&lt;&gt;""),1,"")</f>
        <v/>
      </c>
    </row>
    <row r="132">
      <c r="A132" s="13" t="inlineStr">
        <is>
          <t>P-0128</t>
        </is>
      </c>
      <c r="B132" s="14">
        <f>IF(AND($U132="",$C132=""),"",IFERROR(INDEX(EvID,MATCH(INDEX(FormData,$W132,f_Event),EvID,0)),IFERROR(INDEX(EvID,MATCH(INDEX(FormData,$W132,f_Event),EvName,0)),IFERROR(INDEX(EvID,MATCH(INT($C132),EvDate,0)),""))))</f>
        <v/>
      </c>
      <c r="C132" s="15">
        <f>IF($W132="","",INDEX(FormData,$W132,f_Time))</f>
        <v/>
      </c>
      <c r="D132" s="14">
        <f>IF($W132="","",IFERROR(UPPER(LEFT(TRIM(INDEX(FormData,$W132,f_Name)),1)&amp;IFERROR(MID(TRIM(INDEX(FormData,$W132,f_Name)),FIND("^",SUBSTITUTE(TRIM(INDEX(FormData,$W132,f_Name))," ","^",LEN(TRIM(INDEX(FormData,$W132,f_Name)))-LEN(SUBSTITUTE(TRIM(INDEX(FormData,$W132,f_Name))," ",""))))+1,1),"")),""))</f>
        <v/>
      </c>
      <c r="E132" s="16">
        <f>IF($W132="","",IFERROR(IF(SUMPRODUCT(MAX((WhoKW&lt;&gt;"")*ISNUMBER(SEARCH(WhoKW,INDEX(FormData,$W132,f_Who)&amp;""))*(ROW(WhoKW)-MIN(ROW(WhoKW))+1)))=0,"",INDEX(WhoVal,SUMPRODUCT(MAX((WhoKW&lt;&gt;"")*ISNUMBER(SEARCH(WhoKW,INDEX(FormData,$W132,f_Who)&amp;""))*(ROW(WhoKW)-MIN(ROW(WhoKW))+1))))),""))</f>
        <v/>
      </c>
      <c r="F132" s="17">
        <f>IF($W132="","",TRIM(IFERROR(INDEX(FormData,$W132,f_Org1)&amp;"","")&amp;" "&amp;IFERROR(INDEX(FormData,$W132,f_Org2)&amp;"","")))</f>
        <v/>
      </c>
      <c r="G132" s="16">
        <f>IF($W132="","",IFERROR(INDEX(FormData,$W132,f_Region)&amp;"",""))</f>
        <v/>
      </c>
      <c r="H132" s="16">
        <f>IF($W132="","",IFERROR(IF(SUMPRODUCT(MAX((SitKW&lt;&gt;"")*ISNUMBER(SEARCH(SitKW,INDEX(FormData,$W132,f_Sit)&amp;""))*(ROW(SitKW)-MIN(ROW(SitKW))+1)))=0,"",INDEX(SitVal,SUMPRODUCT(MAX((SitKW&lt;&gt;"")*ISNUMBER(SEARCH(SitKW,INDEX(FormData,$W132,f_Sit)&amp;""))*(ROW(SitKW)-MIN(ROW(SitKW))+1))))),""))</f>
        <v/>
      </c>
      <c r="I132" s="14">
        <f>IF($W132="","",IFERROR(INDEX(FormData,$W132,f_Appr)&amp;"",""))</f>
        <v/>
      </c>
      <c r="J132" s="16">
        <f>IF($W132="","",IFERROR(INDEX(FormData,$W132,f_Trade)&amp;"",""))</f>
        <v/>
      </c>
      <c r="K132" s="16" t="n"/>
      <c r="L132" s="17" t="n"/>
      <c r="M132" s="16" t="n"/>
      <c r="N132" s="17" t="n"/>
      <c r="O132" s="14" t="n"/>
      <c r="P132" s="14" t="n"/>
      <c r="Q132" s="18" t="n"/>
      <c r="R132" s="18" t="n"/>
      <c r="S132" s="13">
        <f>IF($P132&lt;&gt;"✓","",IF($R132&lt;&gt;"","Done",IF($Q132="","Open — no date",IF($Q132&lt;TODAY(),"Overdue",IF($Q132-TODAY()&lt;=DueSoon,"Due soon","Scheduled")))))</f>
        <v/>
      </c>
      <c r="T132" s="14">
        <f>IF($W132="","",IFERROR(IF(INDEX(FormData,$W132,f_Consent)&amp;""="","",IF(ISNUMBER(SEARCH("yes",INDEX(FormData,$W132,f_Consent))),"Yes","No")),""))</f>
        <v/>
      </c>
      <c r="U132" s="14" t="n"/>
      <c r="V132" s="13">
        <f>IF($U132="","",IF($W132="","not found","✓"))</f>
        <v/>
      </c>
      <c r="W132">
        <f>IF($U132="","",IFERROR(MATCH($U132,INDEX(FormData,0,f_Id),0),IFERROR(MATCH(--$U132,INDEX(FormData,0,f_Id),0),IFERROR(MATCH($U132&amp;"",INDEX(FormData,0,f_Id),0),""))))</f>
        <v/>
      </c>
      <c r="X132">
        <f>IF(AND($B132&lt;&gt;"",$B132='Event Report'!$C$3),ROW(),"")</f>
        <v/>
      </c>
      <c r="Y132">
        <f>IF(AND($P132="✓",$R132=""),IF($Q132="",90000,$Q132)+ROW()/100000,"")</f>
        <v/>
      </c>
      <c r="Z132">
        <f>IF(OR($U132&lt;&gt;"",$D132&lt;&gt;"",$E132&lt;&gt;"",$N132&lt;&gt;""),1,"")</f>
        <v/>
      </c>
    </row>
    <row r="133">
      <c r="A133" s="13" t="inlineStr">
        <is>
          <t>P-0129</t>
        </is>
      </c>
      <c r="B133" s="14">
        <f>IF(AND($U133="",$C133=""),"",IFERROR(INDEX(EvID,MATCH(INDEX(FormData,$W133,f_Event),EvID,0)),IFERROR(INDEX(EvID,MATCH(INDEX(FormData,$W133,f_Event),EvName,0)),IFERROR(INDEX(EvID,MATCH(INT($C133),EvDate,0)),""))))</f>
        <v/>
      </c>
      <c r="C133" s="15">
        <f>IF($W133="","",INDEX(FormData,$W133,f_Time))</f>
        <v/>
      </c>
      <c r="D133" s="14">
        <f>IF($W133="","",IFERROR(UPPER(LEFT(TRIM(INDEX(FormData,$W133,f_Name)),1)&amp;IFERROR(MID(TRIM(INDEX(FormData,$W133,f_Name)),FIND("^",SUBSTITUTE(TRIM(INDEX(FormData,$W133,f_Name))," ","^",LEN(TRIM(INDEX(FormData,$W133,f_Name)))-LEN(SUBSTITUTE(TRIM(INDEX(FormData,$W133,f_Name))," ",""))))+1,1),"")),""))</f>
        <v/>
      </c>
      <c r="E133" s="16">
        <f>IF($W133="","",IFERROR(IF(SUMPRODUCT(MAX((WhoKW&lt;&gt;"")*ISNUMBER(SEARCH(WhoKW,INDEX(FormData,$W133,f_Who)&amp;""))*(ROW(WhoKW)-MIN(ROW(WhoKW))+1)))=0,"",INDEX(WhoVal,SUMPRODUCT(MAX((WhoKW&lt;&gt;"")*ISNUMBER(SEARCH(WhoKW,INDEX(FormData,$W133,f_Who)&amp;""))*(ROW(WhoKW)-MIN(ROW(WhoKW))+1))))),""))</f>
        <v/>
      </c>
      <c r="F133" s="17">
        <f>IF($W133="","",TRIM(IFERROR(INDEX(FormData,$W133,f_Org1)&amp;"","")&amp;" "&amp;IFERROR(INDEX(FormData,$W133,f_Org2)&amp;"","")))</f>
        <v/>
      </c>
      <c r="G133" s="16">
        <f>IF($W133="","",IFERROR(INDEX(FormData,$W133,f_Region)&amp;"",""))</f>
        <v/>
      </c>
      <c r="H133" s="16">
        <f>IF($W133="","",IFERROR(IF(SUMPRODUCT(MAX((SitKW&lt;&gt;"")*ISNUMBER(SEARCH(SitKW,INDEX(FormData,$W133,f_Sit)&amp;""))*(ROW(SitKW)-MIN(ROW(SitKW))+1)))=0,"",INDEX(SitVal,SUMPRODUCT(MAX((SitKW&lt;&gt;"")*ISNUMBER(SEARCH(SitKW,INDEX(FormData,$W133,f_Sit)&amp;""))*(ROW(SitKW)-MIN(ROW(SitKW))+1))))),""))</f>
        <v/>
      </c>
      <c r="I133" s="14">
        <f>IF($W133="","",IFERROR(INDEX(FormData,$W133,f_Appr)&amp;"",""))</f>
        <v/>
      </c>
      <c r="J133" s="16">
        <f>IF($W133="","",IFERROR(INDEX(FormData,$W133,f_Trade)&amp;"",""))</f>
        <v/>
      </c>
      <c r="K133" s="16" t="n"/>
      <c r="L133" s="17" t="n"/>
      <c r="M133" s="16" t="n"/>
      <c r="N133" s="17" t="n"/>
      <c r="O133" s="14" t="n"/>
      <c r="P133" s="14" t="n"/>
      <c r="Q133" s="18" t="n"/>
      <c r="R133" s="18" t="n"/>
      <c r="S133" s="13">
        <f>IF($P133&lt;&gt;"✓","",IF($R133&lt;&gt;"","Done",IF($Q133="","Open — no date",IF($Q133&lt;TODAY(),"Overdue",IF($Q133-TODAY()&lt;=DueSoon,"Due soon","Scheduled")))))</f>
        <v/>
      </c>
      <c r="T133" s="14">
        <f>IF($W133="","",IFERROR(IF(INDEX(FormData,$W133,f_Consent)&amp;""="","",IF(ISNUMBER(SEARCH("yes",INDEX(FormData,$W133,f_Consent))),"Yes","No")),""))</f>
        <v/>
      </c>
      <c r="U133" s="14" t="n"/>
      <c r="V133" s="13">
        <f>IF($U133="","",IF($W133="","not found","✓"))</f>
        <v/>
      </c>
      <c r="W133">
        <f>IF($U133="","",IFERROR(MATCH($U133,INDEX(FormData,0,f_Id),0),IFERROR(MATCH(--$U133,INDEX(FormData,0,f_Id),0),IFERROR(MATCH($U133&amp;"",INDEX(FormData,0,f_Id),0),""))))</f>
        <v/>
      </c>
      <c r="X133">
        <f>IF(AND($B133&lt;&gt;"",$B133='Event Report'!$C$3),ROW(),"")</f>
        <v/>
      </c>
      <c r="Y133">
        <f>IF(AND($P133="✓",$R133=""),IF($Q133="",90000,$Q133)+ROW()/100000,"")</f>
        <v/>
      </c>
      <c r="Z133">
        <f>IF(OR($U133&lt;&gt;"",$D133&lt;&gt;"",$E133&lt;&gt;"",$N133&lt;&gt;""),1,"")</f>
        <v/>
      </c>
    </row>
    <row r="134">
      <c r="A134" s="13" t="inlineStr">
        <is>
          <t>P-0130</t>
        </is>
      </c>
      <c r="B134" s="14">
        <f>IF(AND($U134="",$C134=""),"",IFERROR(INDEX(EvID,MATCH(INDEX(FormData,$W134,f_Event),EvID,0)),IFERROR(INDEX(EvID,MATCH(INDEX(FormData,$W134,f_Event),EvName,0)),IFERROR(INDEX(EvID,MATCH(INT($C134),EvDate,0)),""))))</f>
        <v/>
      </c>
      <c r="C134" s="15">
        <f>IF($W134="","",INDEX(FormData,$W134,f_Time))</f>
        <v/>
      </c>
      <c r="D134" s="14">
        <f>IF($W134="","",IFERROR(UPPER(LEFT(TRIM(INDEX(FormData,$W134,f_Name)),1)&amp;IFERROR(MID(TRIM(INDEX(FormData,$W134,f_Name)),FIND("^",SUBSTITUTE(TRIM(INDEX(FormData,$W134,f_Name))," ","^",LEN(TRIM(INDEX(FormData,$W134,f_Name)))-LEN(SUBSTITUTE(TRIM(INDEX(FormData,$W134,f_Name))," ",""))))+1,1),"")),""))</f>
        <v/>
      </c>
      <c r="E134" s="16">
        <f>IF($W134="","",IFERROR(IF(SUMPRODUCT(MAX((WhoKW&lt;&gt;"")*ISNUMBER(SEARCH(WhoKW,INDEX(FormData,$W134,f_Who)&amp;""))*(ROW(WhoKW)-MIN(ROW(WhoKW))+1)))=0,"",INDEX(WhoVal,SUMPRODUCT(MAX((WhoKW&lt;&gt;"")*ISNUMBER(SEARCH(WhoKW,INDEX(FormData,$W134,f_Who)&amp;""))*(ROW(WhoKW)-MIN(ROW(WhoKW))+1))))),""))</f>
        <v/>
      </c>
      <c r="F134" s="17">
        <f>IF($W134="","",TRIM(IFERROR(INDEX(FormData,$W134,f_Org1)&amp;"","")&amp;" "&amp;IFERROR(INDEX(FormData,$W134,f_Org2)&amp;"","")))</f>
        <v/>
      </c>
      <c r="G134" s="16">
        <f>IF($W134="","",IFERROR(INDEX(FormData,$W134,f_Region)&amp;"",""))</f>
        <v/>
      </c>
      <c r="H134" s="16">
        <f>IF($W134="","",IFERROR(IF(SUMPRODUCT(MAX((SitKW&lt;&gt;"")*ISNUMBER(SEARCH(SitKW,INDEX(FormData,$W134,f_Sit)&amp;""))*(ROW(SitKW)-MIN(ROW(SitKW))+1)))=0,"",INDEX(SitVal,SUMPRODUCT(MAX((SitKW&lt;&gt;"")*ISNUMBER(SEARCH(SitKW,INDEX(FormData,$W134,f_Sit)&amp;""))*(ROW(SitKW)-MIN(ROW(SitKW))+1))))),""))</f>
        <v/>
      </c>
      <c r="I134" s="14">
        <f>IF($W134="","",IFERROR(INDEX(FormData,$W134,f_Appr)&amp;"",""))</f>
        <v/>
      </c>
      <c r="J134" s="16">
        <f>IF($W134="","",IFERROR(INDEX(FormData,$W134,f_Trade)&amp;"",""))</f>
        <v/>
      </c>
      <c r="K134" s="16" t="n"/>
      <c r="L134" s="17" t="n"/>
      <c r="M134" s="16" t="n"/>
      <c r="N134" s="17" t="n"/>
      <c r="O134" s="14" t="n"/>
      <c r="P134" s="14" t="n"/>
      <c r="Q134" s="18" t="n"/>
      <c r="R134" s="18" t="n"/>
      <c r="S134" s="13">
        <f>IF($P134&lt;&gt;"✓","",IF($R134&lt;&gt;"","Done",IF($Q134="","Open — no date",IF($Q134&lt;TODAY(),"Overdue",IF($Q134-TODAY()&lt;=DueSoon,"Due soon","Scheduled")))))</f>
        <v/>
      </c>
      <c r="T134" s="14">
        <f>IF($W134="","",IFERROR(IF(INDEX(FormData,$W134,f_Consent)&amp;""="","",IF(ISNUMBER(SEARCH("yes",INDEX(FormData,$W134,f_Consent))),"Yes","No")),""))</f>
        <v/>
      </c>
      <c r="U134" s="14" t="n"/>
      <c r="V134" s="13">
        <f>IF($U134="","",IF($W134="","not found","✓"))</f>
        <v/>
      </c>
      <c r="W134">
        <f>IF($U134="","",IFERROR(MATCH($U134,INDEX(FormData,0,f_Id),0),IFERROR(MATCH(--$U134,INDEX(FormData,0,f_Id),0),IFERROR(MATCH($U134&amp;"",INDEX(FormData,0,f_Id),0),""))))</f>
        <v/>
      </c>
      <c r="X134">
        <f>IF(AND($B134&lt;&gt;"",$B134='Event Report'!$C$3),ROW(),"")</f>
        <v/>
      </c>
      <c r="Y134">
        <f>IF(AND($P134="✓",$R134=""),IF($Q134="",90000,$Q134)+ROW()/100000,"")</f>
        <v/>
      </c>
      <c r="Z134">
        <f>IF(OR($U134&lt;&gt;"",$D134&lt;&gt;"",$E134&lt;&gt;"",$N134&lt;&gt;""),1,"")</f>
        <v/>
      </c>
    </row>
    <row r="135">
      <c r="A135" s="13" t="inlineStr">
        <is>
          <t>P-0131</t>
        </is>
      </c>
      <c r="B135" s="14">
        <f>IF(AND($U135="",$C135=""),"",IFERROR(INDEX(EvID,MATCH(INDEX(FormData,$W135,f_Event),EvID,0)),IFERROR(INDEX(EvID,MATCH(INDEX(FormData,$W135,f_Event),EvName,0)),IFERROR(INDEX(EvID,MATCH(INT($C135),EvDate,0)),""))))</f>
        <v/>
      </c>
      <c r="C135" s="15">
        <f>IF($W135="","",INDEX(FormData,$W135,f_Time))</f>
        <v/>
      </c>
      <c r="D135" s="14">
        <f>IF($W135="","",IFERROR(UPPER(LEFT(TRIM(INDEX(FormData,$W135,f_Name)),1)&amp;IFERROR(MID(TRIM(INDEX(FormData,$W135,f_Name)),FIND("^",SUBSTITUTE(TRIM(INDEX(FormData,$W135,f_Name))," ","^",LEN(TRIM(INDEX(FormData,$W135,f_Name)))-LEN(SUBSTITUTE(TRIM(INDEX(FormData,$W135,f_Name))," ",""))))+1,1),"")),""))</f>
        <v/>
      </c>
      <c r="E135" s="16">
        <f>IF($W135="","",IFERROR(IF(SUMPRODUCT(MAX((WhoKW&lt;&gt;"")*ISNUMBER(SEARCH(WhoKW,INDEX(FormData,$W135,f_Who)&amp;""))*(ROW(WhoKW)-MIN(ROW(WhoKW))+1)))=0,"",INDEX(WhoVal,SUMPRODUCT(MAX((WhoKW&lt;&gt;"")*ISNUMBER(SEARCH(WhoKW,INDEX(FormData,$W135,f_Who)&amp;""))*(ROW(WhoKW)-MIN(ROW(WhoKW))+1))))),""))</f>
        <v/>
      </c>
      <c r="F135" s="17">
        <f>IF($W135="","",TRIM(IFERROR(INDEX(FormData,$W135,f_Org1)&amp;"","")&amp;" "&amp;IFERROR(INDEX(FormData,$W135,f_Org2)&amp;"","")))</f>
        <v/>
      </c>
      <c r="G135" s="16">
        <f>IF($W135="","",IFERROR(INDEX(FormData,$W135,f_Region)&amp;"",""))</f>
        <v/>
      </c>
      <c r="H135" s="16">
        <f>IF($W135="","",IFERROR(IF(SUMPRODUCT(MAX((SitKW&lt;&gt;"")*ISNUMBER(SEARCH(SitKW,INDEX(FormData,$W135,f_Sit)&amp;""))*(ROW(SitKW)-MIN(ROW(SitKW))+1)))=0,"",INDEX(SitVal,SUMPRODUCT(MAX((SitKW&lt;&gt;"")*ISNUMBER(SEARCH(SitKW,INDEX(FormData,$W135,f_Sit)&amp;""))*(ROW(SitKW)-MIN(ROW(SitKW))+1))))),""))</f>
        <v/>
      </c>
      <c r="I135" s="14">
        <f>IF($W135="","",IFERROR(INDEX(FormData,$W135,f_Appr)&amp;"",""))</f>
        <v/>
      </c>
      <c r="J135" s="16">
        <f>IF($W135="","",IFERROR(INDEX(FormData,$W135,f_Trade)&amp;"",""))</f>
        <v/>
      </c>
      <c r="K135" s="16" t="n"/>
      <c r="L135" s="17" t="n"/>
      <c r="M135" s="16" t="n"/>
      <c r="N135" s="17" t="n"/>
      <c r="O135" s="14" t="n"/>
      <c r="P135" s="14" t="n"/>
      <c r="Q135" s="18" t="n"/>
      <c r="R135" s="18" t="n"/>
      <c r="S135" s="13">
        <f>IF($P135&lt;&gt;"✓","",IF($R135&lt;&gt;"","Done",IF($Q135="","Open — no date",IF($Q135&lt;TODAY(),"Overdue",IF($Q135-TODAY()&lt;=DueSoon,"Due soon","Scheduled")))))</f>
        <v/>
      </c>
      <c r="T135" s="14">
        <f>IF($W135="","",IFERROR(IF(INDEX(FormData,$W135,f_Consent)&amp;""="","",IF(ISNUMBER(SEARCH("yes",INDEX(FormData,$W135,f_Consent))),"Yes","No")),""))</f>
        <v/>
      </c>
      <c r="U135" s="14" t="n"/>
      <c r="V135" s="13">
        <f>IF($U135="","",IF($W135="","not found","✓"))</f>
        <v/>
      </c>
      <c r="W135">
        <f>IF($U135="","",IFERROR(MATCH($U135,INDEX(FormData,0,f_Id),0),IFERROR(MATCH(--$U135,INDEX(FormData,0,f_Id),0),IFERROR(MATCH($U135&amp;"",INDEX(FormData,0,f_Id),0),""))))</f>
        <v/>
      </c>
      <c r="X135">
        <f>IF(AND($B135&lt;&gt;"",$B135='Event Report'!$C$3),ROW(),"")</f>
        <v/>
      </c>
      <c r="Y135">
        <f>IF(AND($P135="✓",$R135=""),IF($Q135="",90000,$Q135)+ROW()/100000,"")</f>
        <v/>
      </c>
      <c r="Z135">
        <f>IF(OR($U135&lt;&gt;"",$D135&lt;&gt;"",$E135&lt;&gt;"",$N135&lt;&gt;""),1,"")</f>
        <v/>
      </c>
    </row>
    <row r="136">
      <c r="A136" s="13" t="inlineStr">
        <is>
          <t>P-0132</t>
        </is>
      </c>
      <c r="B136" s="14">
        <f>IF(AND($U136="",$C136=""),"",IFERROR(INDEX(EvID,MATCH(INDEX(FormData,$W136,f_Event),EvID,0)),IFERROR(INDEX(EvID,MATCH(INDEX(FormData,$W136,f_Event),EvName,0)),IFERROR(INDEX(EvID,MATCH(INT($C136),EvDate,0)),""))))</f>
        <v/>
      </c>
      <c r="C136" s="15">
        <f>IF($W136="","",INDEX(FormData,$W136,f_Time))</f>
        <v/>
      </c>
      <c r="D136" s="14">
        <f>IF($W136="","",IFERROR(UPPER(LEFT(TRIM(INDEX(FormData,$W136,f_Name)),1)&amp;IFERROR(MID(TRIM(INDEX(FormData,$W136,f_Name)),FIND("^",SUBSTITUTE(TRIM(INDEX(FormData,$W136,f_Name))," ","^",LEN(TRIM(INDEX(FormData,$W136,f_Name)))-LEN(SUBSTITUTE(TRIM(INDEX(FormData,$W136,f_Name))," ",""))))+1,1),"")),""))</f>
        <v/>
      </c>
      <c r="E136" s="16">
        <f>IF($W136="","",IFERROR(IF(SUMPRODUCT(MAX((WhoKW&lt;&gt;"")*ISNUMBER(SEARCH(WhoKW,INDEX(FormData,$W136,f_Who)&amp;""))*(ROW(WhoKW)-MIN(ROW(WhoKW))+1)))=0,"",INDEX(WhoVal,SUMPRODUCT(MAX((WhoKW&lt;&gt;"")*ISNUMBER(SEARCH(WhoKW,INDEX(FormData,$W136,f_Who)&amp;""))*(ROW(WhoKW)-MIN(ROW(WhoKW))+1))))),""))</f>
        <v/>
      </c>
      <c r="F136" s="17">
        <f>IF($W136="","",TRIM(IFERROR(INDEX(FormData,$W136,f_Org1)&amp;"","")&amp;" "&amp;IFERROR(INDEX(FormData,$W136,f_Org2)&amp;"","")))</f>
        <v/>
      </c>
      <c r="G136" s="16">
        <f>IF($W136="","",IFERROR(INDEX(FormData,$W136,f_Region)&amp;"",""))</f>
        <v/>
      </c>
      <c r="H136" s="16">
        <f>IF($W136="","",IFERROR(IF(SUMPRODUCT(MAX((SitKW&lt;&gt;"")*ISNUMBER(SEARCH(SitKW,INDEX(FormData,$W136,f_Sit)&amp;""))*(ROW(SitKW)-MIN(ROW(SitKW))+1)))=0,"",INDEX(SitVal,SUMPRODUCT(MAX((SitKW&lt;&gt;"")*ISNUMBER(SEARCH(SitKW,INDEX(FormData,$W136,f_Sit)&amp;""))*(ROW(SitKW)-MIN(ROW(SitKW))+1))))),""))</f>
        <v/>
      </c>
      <c r="I136" s="14">
        <f>IF($W136="","",IFERROR(INDEX(FormData,$W136,f_Appr)&amp;"",""))</f>
        <v/>
      </c>
      <c r="J136" s="16">
        <f>IF($W136="","",IFERROR(INDEX(FormData,$W136,f_Trade)&amp;"",""))</f>
        <v/>
      </c>
      <c r="K136" s="16" t="n"/>
      <c r="L136" s="17" t="n"/>
      <c r="M136" s="16" t="n"/>
      <c r="N136" s="17" t="n"/>
      <c r="O136" s="14" t="n"/>
      <c r="P136" s="14" t="n"/>
      <c r="Q136" s="18" t="n"/>
      <c r="R136" s="18" t="n"/>
      <c r="S136" s="13">
        <f>IF($P136&lt;&gt;"✓","",IF($R136&lt;&gt;"","Done",IF($Q136="","Open — no date",IF($Q136&lt;TODAY(),"Overdue",IF($Q136-TODAY()&lt;=DueSoon,"Due soon","Scheduled")))))</f>
        <v/>
      </c>
      <c r="T136" s="14">
        <f>IF($W136="","",IFERROR(IF(INDEX(FormData,$W136,f_Consent)&amp;""="","",IF(ISNUMBER(SEARCH("yes",INDEX(FormData,$W136,f_Consent))),"Yes","No")),""))</f>
        <v/>
      </c>
      <c r="U136" s="14" t="n"/>
      <c r="V136" s="13">
        <f>IF($U136="","",IF($W136="","not found","✓"))</f>
        <v/>
      </c>
      <c r="W136">
        <f>IF($U136="","",IFERROR(MATCH($U136,INDEX(FormData,0,f_Id),0),IFERROR(MATCH(--$U136,INDEX(FormData,0,f_Id),0),IFERROR(MATCH($U136&amp;"",INDEX(FormData,0,f_Id),0),""))))</f>
        <v/>
      </c>
      <c r="X136">
        <f>IF(AND($B136&lt;&gt;"",$B136='Event Report'!$C$3),ROW(),"")</f>
        <v/>
      </c>
      <c r="Y136">
        <f>IF(AND($P136="✓",$R136=""),IF($Q136="",90000,$Q136)+ROW()/100000,"")</f>
        <v/>
      </c>
      <c r="Z136">
        <f>IF(OR($U136&lt;&gt;"",$D136&lt;&gt;"",$E136&lt;&gt;"",$N136&lt;&gt;""),1,"")</f>
        <v/>
      </c>
    </row>
    <row r="137">
      <c r="A137" s="13" t="inlineStr">
        <is>
          <t>P-0133</t>
        </is>
      </c>
      <c r="B137" s="14">
        <f>IF(AND($U137="",$C137=""),"",IFERROR(INDEX(EvID,MATCH(INDEX(FormData,$W137,f_Event),EvID,0)),IFERROR(INDEX(EvID,MATCH(INDEX(FormData,$W137,f_Event),EvName,0)),IFERROR(INDEX(EvID,MATCH(INT($C137),EvDate,0)),""))))</f>
        <v/>
      </c>
      <c r="C137" s="15">
        <f>IF($W137="","",INDEX(FormData,$W137,f_Time))</f>
        <v/>
      </c>
      <c r="D137" s="14">
        <f>IF($W137="","",IFERROR(UPPER(LEFT(TRIM(INDEX(FormData,$W137,f_Name)),1)&amp;IFERROR(MID(TRIM(INDEX(FormData,$W137,f_Name)),FIND("^",SUBSTITUTE(TRIM(INDEX(FormData,$W137,f_Name))," ","^",LEN(TRIM(INDEX(FormData,$W137,f_Name)))-LEN(SUBSTITUTE(TRIM(INDEX(FormData,$W137,f_Name))," ",""))))+1,1),"")),""))</f>
        <v/>
      </c>
      <c r="E137" s="16">
        <f>IF($W137="","",IFERROR(IF(SUMPRODUCT(MAX((WhoKW&lt;&gt;"")*ISNUMBER(SEARCH(WhoKW,INDEX(FormData,$W137,f_Who)&amp;""))*(ROW(WhoKW)-MIN(ROW(WhoKW))+1)))=0,"",INDEX(WhoVal,SUMPRODUCT(MAX((WhoKW&lt;&gt;"")*ISNUMBER(SEARCH(WhoKW,INDEX(FormData,$W137,f_Who)&amp;""))*(ROW(WhoKW)-MIN(ROW(WhoKW))+1))))),""))</f>
        <v/>
      </c>
      <c r="F137" s="17">
        <f>IF($W137="","",TRIM(IFERROR(INDEX(FormData,$W137,f_Org1)&amp;"","")&amp;" "&amp;IFERROR(INDEX(FormData,$W137,f_Org2)&amp;"","")))</f>
        <v/>
      </c>
      <c r="G137" s="16">
        <f>IF($W137="","",IFERROR(INDEX(FormData,$W137,f_Region)&amp;"",""))</f>
        <v/>
      </c>
      <c r="H137" s="16">
        <f>IF($W137="","",IFERROR(IF(SUMPRODUCT(MAX((SitKW&lt;&gt;"")*ISNUMBER(SEARCH(SitKW,INDEX(FormData,$W137,f_Sit)&amp;""))*(ROW(SitKW)-MIN(ROW(SitKW))+1)))=0,"",INDEX(SitVal,SUMPRODUCT(MAX((SitKW&lt;&gt;"")*ISNUMBER(SEARCH(SitKW,INDEX(FormData,$W137,f_Sit)&amp;""))*(ROW(SitKW)-MIN(ROW(SitKW))+1))))),""))</f>
        <v/>
      </c>
      <c r="I137" s="14">
        <f>IF($W137="","",IFERROR(INDEX(FormData,$W137,f_Appr)&amp;"",""))</f>
        <v/>
      </c>
      <c r="J137" s="16">
        <f>IF($W137="","",IFERROR(INDEX(FormData,$W137,f_Trade)&amp;"",""))</f>
        <v/>
      </c>
      <c r="K137" s="16" t="n"/>
      <c r="L137" s="17" t="n"/>
      <c r="M137" s="16" t="n"/>
      <c r="N137" s="17" t="n"/>
      <c r="O137" s="14" t="n"/>
      <c r="P137" s="14" t="n"/>
      <c r="Q137" s="18" t="n"/>
      <c r="R137" s="18" t="n"/>
      <c r="S137" s="13">
        <f>IF($P137&lt;&gt;"✓","",IF($R137&lt;&gt;"","Done",IF($Q137="","Open — no date",IF($Q137&lt;TODAY(),"Overdue",IF($Q137-TODAY()&lt;=DueSoon,"Due soon","Scheduled")))))</f>
        <v/>
      </c>
      <c r="T137" s="14">
        <f>IF($W137="","",IFERROR(IF(INDEX(FormData,$W137,f_Consent)&amp;""="","",IF(ISNUMBER(SEARCH("yes",INDEX(FormData,$W137,f_Consent))),"Yes","No")),""))</f>
        <v/>
      </c>
      <c r="U137" s="14" t="n"/>
      <c r="V137" s="13">
        <f>IF($U137="","",IF($W137="","not found","✓"))</f>
        <v/>
      </c>
      <c r="W137">
        <f>IF($U137="","",IFERROR(MATCH($U137,INDEX(FormData,0,f_Id),0),IFERROR(MATCH(--$U137,INDEX(FormData,0,f_Id),0),IFERROR(MATCH($U137&amp;"",INDEX(FormData,0,f_Id),0),""))))</f>
        <v/>
      </c>
      <c r="X137">
        <f>IF(AND($B137&lt;&gt;"",$B137='Event Report'!$C$3),ROW(),"")</f>
        <v/>
      </c>
      <c r="Y137">
        <f>IF(AND($P137="✓",$R137=""),IF($Q137="",90000,$Q137)+ROW()/100000,"")</f>
        <v/>
      </c>
      <c r="Z137">
        <f>IF(OR($U137&lt;&gt;"",$D137&lt;&gt;"",$E137&lt;&gt;"",$N137&lt;&gt;""),1,"")</f>
        <v/>
      </c>
    </row>
    <row r="138">
      <c r="A138" s="13" t="inlineStr">
        <is>
          <t>P-0134</t>
        </is>
      </c>
      <c r="B138" s="14">
        <f>IF(AND($U138="",$C138=""),"",IFERROR(INDEX(EvID,MATCH(INDEX(FormData,$W138,f_Event),EvID,0)),IFERROR(INDEX(EvID,MATCH(INDEX(FormData,$W138,f_Event),EvName,0)),IFERROR(INDEX(EvID,MATCH(INT($C138),EvDate,0)),""))))</f>
        <v/>
      </c>
      <c r="C138" s="15">
        <f>IF($W138="","",INDEX(FormData,$W138,f_Time))</f>
        <v/>
      </c>
      <c r="D138" s="14">
        <f>IF($W138="","",IFERROR(UPPER(LEFT(TRIM(INDEX(FormData,$W138,f_Name)),1)&amp;IFERROR(MID(TRIM(INDEX(FormData,$W138,f_Name)),FIND("^",SUBSTITUTE(TRIM(INDEX(FormData,$W138,f_Name))," ","^",LEN(TRIM(INDEX(FormData,$W138,f_Name)))-LEN(SUBSTITUTE(TRIM(INDEX(FormData,$W138,f_Name))," ",""))))+1,1),"")),""))</f>
        <v/>
      </c>
      <c r="E138" s="16">
        <f>IF($W138="","",IFERROR(IF(SUMPRODUCT(MAX((WhoKW&lt;&gt;"")*ISNUMBER(SEARCH(WhoKW,INDEX(FormData,$W138,f_Who)&amp;""))*(ROW(WhoKW)-MIN(ROW(WhoKW))+1)))=0,"",INDEX(WhoVal,SUMPRODUCT(MAX((WhoKW&lt;&gt;"")*ISNUMBER(SEARCH(WhoKW,INDEX(FormData,$W138,f_Who)&amp;""))*(ROW(WhoKW)-MIN(ROW(WhoKW))+1))))),""))</f>
        <v/>
      </c>
      <c r="F138" s="17">
        <f>IF($W138="","",TRIM(IFERROR(INDEX(FormData,$W138,f_Org1)&amp;"","")&amp;" "&amp;IFERROR(INDEX(FormData,$W138,f_Org2)&amp;"","")))</f>
        <v/>
      </c>
      <c r="G138" s="16">
        <f>IF($W138="","",IFERROR(INDEX(FormData,$W138,f_Region)&amp;"",""))</f>
        <v/>
      </c>
      <c r="H138" s="16">
        <f>IF($W138="","",IFERROR(IF(SUMPRODUCT(MAX((SitKW&lt;&gt;"")*ISNUMBER(SEARCH(SitKW,INDEX(FormData,$W138,f_Sit)&amp;""))*(ROW(SitKW)-MIN(ROW(SitKW))+1)))=0,"",INDEX(SitVal,SUMPRODUCT(MAX((SitKW&lt;&gt;"")*ISNUMBER(SEARCH(SitKW,INDEX(FormData,$W138,f_Sit)&amp;""))*(ROW(SitKW)-MIN(ROW(SitKW))+1))))),""))</f>
        <v/>
      </c>
      <c r="I138" s="14">
        <f>IF($W138="","",IFERROR(INDEX(FormData,$W138,f_Appr)&amp;"",""))</f>
        <v/>
      </c>
      <c r="J138" s="16">
        <f>IF($W138="","",IFERROR(INDEX(FormData,$W138,f_Trade)&amp;"",""))</f>
        <v/>
      </c>
      <c r="K138" s="16" t="n"/>
      <c r="L138" s="17" t="n"/>
      <c r="M138" s="16" t="n"/>
      <c r="N138" s="17" t="n"/>
      <c r="O138" s="14" t="n"/>
      <c r="P138" s="14" t="n"/>
      <c r="Q138" s="18" t="n"/>
      <c r="R138" s="18" t="n"/>
      <c r="S138" s="13">
        <f>IF($P138&lt;&gt;"✓","",IF($R138&lt;&gt;"","Done",IF($Q138="","Open — no date",IF($Q138&lt;TODAY(),"Overdue",IF($Q138-TODAY()&lt;=DueSoon,"Due soon","Scheduled")))))</f>
        <v/>
      </c>
      <c r="T138" s="14">
        <f>IF($W138="","",IFERROR(IF(INDEX(FormData,$W138,f_Consent)&amp;""="","",IF(ISNUMBER(SEARCH("yes",INDEX(FormData,$W138,f_Consent))),"Yes","No")),""))</f>
        <v/>
      </c>
      <c r="U138" s="14" t="n"/>
      <c r="V138" s="13">
        <f>IF($U138="","",IF($W138="","not found","✓"))</f>
        <v/>
      </c>
      <c r="W138">
        <f>IF($U138="","",IFERROR(MATCH($U138,INDEX(FormData,0,f_Id),0),IFERROR(MATCH(--$U138,INDEX(FormData,0,f_Id),0),IFERROR(MATCH($U138&amp;"",INDEX(FormData,0,f_Id),0),""))))</f>
        <v/>
      </c>
      <c r="X138">
        <f>IF(AND($B138&lt;&gt;"",$B138='Event Report'!$C$3),ROW(),"")</f>
        <v/>
      </c>
      <c r="Y138">
        <f>IF(AND($P138="✓",$R138=""),IF($Q138="",90000,$Q138)+ROW()/100000,"")</f>
        <v/>
      </c>
      <c r="Z138">
        <f>IF(OR($U138&lt;&gt;"",$D138&lt;&gt;"",$E138&lt;&gt;"",$N138&lt;&gt;""),1,"")</f>
        <v/>
      </c>
    </row>
    <row r="139">
      <c r="A139" s="13" t="inlineStr">
        <is>
          <t>P-0135</t>
        </is>
      </c>
      <c r="B139" s="14">
        <f>IF(AND($U139="",$C139=""),"",IFERROR(INDEX(EvID,MATCH(INDEX(FormData,$W139,f_Event),EvID,0)),IFERROR(INDEX(EvID,MATCH(INDEX(FormData,$W139,f_Event),EvName,0)),IFERROR(INDEX(EvID,MATCH(INT($C139),EvDate,0)),""))))</f>
        <v/>
      </c>
      <c r="C139" s="15">
        <f>IF($W139="","",INDEX(FormData,$W139,f_Time))</f>
        <v/>
      </c>
      <c r="D139" s="14">
        <f>IF($W139="","",IFERROR(UPPER(LEFT(TRIM(INDEX(FormData,$W139,f_Name)),1)&amp;IFERROR(MID(TRIM(INDEX(FormData,$W139,f_Name)),FIND("^",SUBSTITUTE(TRIM(INDEX(FormData,$W139,f_Name))," ","^",LEN(TRIM(INDEX(FormData,$W139,f_Name)))-LEN(SUBSTITUTE(TRIM(INDEX(FormData,$W139,f_Name))," ",""))))+1,1),"")),""))</f>
        <v/>
      </c>
      <c r="E139" s="16">
        <f>IF($W139="","",IFERROR(IF(SUMPRODUCT(MAX((WhoKW&lt;&gt;"")*ISNUMBER(SEARCH(WhoKW,INDEX(FormData,$W139,f_Who)&amp;""))*(ROW(WhoKW)-MIN(ROW(WhoKW))+1)))=0,"",INDEX(WhoVal,SUMPRODUCT(MAX((WhoKW&lt;&gt;"")*ISNUMBER(SEARCH(WhoKW,INDEX(FormData,$W139,f_Who)&amp;""))*(ROW(WhoKW)-MIN(ROW(WhoKW))+1))))),""))</f>
        <v/>
      </c>
      <c r="F139" s="17">
        <f>IF($W139="","",TRIM(IFERROR(INDEX(FormData,$W139,f_Org1)&amp;"","")&amp;" "&amp;IFERROR(INDEX(FormData,$W139,f_Org2)&amp;"","")))</f>
        <v/>
      </c>
      <c r="G139" s="16">
        <f>IF($W139="","",IFERROR(INDEX(FormData,$W139,f_Region)&amp;"",""))</f>
        <v/>
      </c>
      <c r="H139" s="16">
        <f>IF($W139="","",IFERROR(IF(SUMPRODUCT(MAX((SitKW&lt;&gt;"")*ISNUMBER(SEARCH(SitKW,INDEX(FormData,$W139,f_Sit)&amp;""))*(ROW(SitKW)-MIN(ROW(SitKW))+1)))=0,"",INDEX(SitVal,SUMPRODUCT(MAX((SitKW&lt;&gt;"")*ISNUMBER(SEARCH(SitKW,INDEX(FormData,$W139,f_Sit)&amp;""))*(ROW(SitKW)-MIN(ROW(SitKW))+1))))),""))</f>
        <v/>
      </c>
      <c r="I139" s="14">
        <f>IF($W139="","",IFERROR(INDEX(FormData,$W139,f_Appr)&amp;"",""))</f>
        <v/>
      </c>
      <c r="J139" s="16">
        <f>IF($W139="","",IFERROR(INDEX(FormData,$W139,f_Trade)&amp;"",""))</f>
        <v/>
      </c>
      <c r="K139" s="16" t="n"/>
      <c r="L139" s="17" t="n"/>
      <c r="M139" s="16" t="n"/>
      <c r="N139" s="17" t="n"/>
      <c r="O139" s="14" t="n"/>
      <c r="P139" s="14" t="n"/>
      <c r="Q139" s="18" t="n"/>
      <c r="R139" s="18" t="n"/>
      <c r="S139" s="13">
        <f>IF($P139&lt;&gt;"✓","",IF($R139&lt;&gt;"","Done",IF($Q139="","Open — no date",IF($Q139&lt;TODAY(),"Overdue",IF($Q139-TODAY()&lt;=DueSoon,"Due soon","Scheduled")))))</f>
        <v/>
      </c>
      <c r="T139" s="14">
        <f>IF($W139="","",IFERROR(IF(INDEX(FormData,$W139,f_Consent)&amp;""="","",IF(ISNUMBER(SEARCH("yes",INDEX(FormData,$W139,f_Consent))),"Yes","No")),""))</f>
        <v/>
      </c>
      <c r="U139" s="14" t="n"/>
      <c r="V139" s="13">
        <f>IF($U139="","",IF($W139="","not found","✓"))</f>
        <v/>
      </c>
      <c r="W139">
        <f>IF($U139="","",IFERROR(MATCH($U139,INDEX(FormData,0,f_Id),0),IFERROR(MATCH(--$U139,INDEX(FormData,0,f_Id),0),IFERROR(MATCH($U139&amp;"",INDEX(FormData,0,f_Id),0),""))))</f>
        <v/>
      </c>
      <c r="X139">
        <f>IF(AND($B139&lt;&gt;"",$B139='Event Report'!$C$3),ROW(),"")</f>
        <v/>
      </c>
      <c r="Y139">
        <f>IF(AND($P139="✓",$R139=""),IF($Q139="",90000,$Q139)+ROW()/100000,"")</f>
        <v/>
      </c>
      <c r="Z139">
        <f>IF(OR($U139&lt;&gt;"",$D139&lt;&gt;"",$E139&lt;&gt;"",$N139&lt;&gt;""),1,"")</f>
        <v/>
      </c>
    </row>
    <row r="140">
      <c r="A140" s="13" t="inlineStr">
        <is>
          <t>P-0136</t>
        </is>
      </c>
      <c r="B140" s="14">
        <f>IF(AND($U140="",$C140=""),"",IFERROR(INDEX(EvID,MATCH(INDEX(FormData,$W140,f_Event),EvID,0)),IFERROR(INDEX(EvID,MATCH(INDEX(FormData,$W140,f_Event),EvName,0)),IFERROR(INDEX(EvID,MATCH(INT($C140),EvDate,0)),""))))</f>
        <v/>
      </c>
      <c r="C140" s="15">
        <f>IF($W140="","",INDEX(FormData,$W140,f_Time))</f>
        <v/>
      </c>
      <c r="D140" s="14">
        <f>IF($W140="","",IFERROR(UPPER(LEFT(TRIM(INDEX(FormData,$W140,f_Name)),1)&amp;IFERROR(MID(TRIM(INDEX(FormData,$W140,f_Name)),FIND("^",SUBSTITUTE(TRIM(INDEX(FormData,$W140,f_Name))," ","^",LEN(TRIM(INDEX(FormData,$W140,f_Name)))-LEN(SUBSTITUTE(TRIM(INDEX(FormData,$W140,f_Name))," ",""))))+1,1),"")),""))</f>
        <v/>
      </c>
      <c r="E140" s="16">
        <f>IF($W140="","",IFERROR(IF(SUMPRODUCT(MAX((WhoKW&lt;&gt;"")*ISNUMBER(SEARCH(WhoKW,INDEX(FormData,$W140,f_Who)&amp;""))*(ROW(WhoKW)-MIN(ROW(WhoKW))+1)))=0,"",INDEX(WhoVal,SUMPRODUCT(MAX((WhoKW&lt;&gt;"")*ISNUMBER(SEARCH(WhoKW,INDEX(FormData,$W140,f_Who)&amp;""))*(ROW(WhoKW)-MIN(ROW(WhoKW))+1))))),""))</f>
        <v/>
      </c>
      <c r="F140" s="17">
        <f>IF($W140="","",TRIM(IFERROR(INDEX(FormData,$W140,f_Org1)&amp;"","")&amp;" "&amp;IFERROR(INDEX(FormData,$W140,f_Org2)&amp;"","")))</f>
        <v/>
      </c>
      <c r="G140" s="16">
        <f>IF($W140="","",IFERROR(INDEX(FormData,$W140,f_Region)&amp;"",""))</f>
        <v/>
      </c>
      <c r="H140" s="16">
        <f>IF($W140="","",IFERROR(IF(SUMPRODUCT(MAX((SitKW&lt;&gt;"")*ISNUMBER(SEARCH(SitKW,INDEX(FormData,$W140,f_Sit)&amp;""))*(ROW(SitKW)-MIN(ROW(SitKW))+1)))=0,"",INDEX(SitVal,SUMPRODUCT(MAX((SitKW&lt;&gt;"")*ISNUMBER(SEARCH(SitKW,INDEX(FormData,$W140,f_Sit)&amp;""))*(ROW(SitKW)-MIN(ROW(SitKW))+1))))),""))</f>
        <v/>
      </c>
      <c r="I140" s="14">
        <f>IF($W140="","",IFERROR(INDEX(FormData,$W140,f_Appr)&amp;"",""))</f>
        <v/>
      </c>
      <c r="J140" s="16">
        <f>IF($W140="","",IFERROR(INDEX(FormData,$W140,f_Trade)&amp;"",""))</f>
        <v/>
      </c>
      <c r="K140" s="16" t="n"/>
      <c r="L140" s="17" t="n"/>
      <c r="M140" s="16" t="n"/>
      <c r="N140" s="17" t="n"/>
      <c r="O140" s="14" t="n"/>
      <c r="P140" s="14" t="n"/>
      <c r="Q140" s="18" t="n"/>
      <c r="R140" s="18" t="n"/>
      <c r="S140" s="13">
        <f>IF($P140&lt;&gt;"✓","",IF($R140&lt;&gt;"","Done",IF($Q140="","Open — no date",IF($Q140&lt;TODAY(),"Overdue",IF($Q140-TODAY()&lt;=DueSoon,"Due soon","Scheduled")))))</f>
        <v/>
      </c>
      <c r="T140" s="14">
        <f>IF($W140="","",IFERROR(IF(INDEX(FormData,$W140,f_Consent)&amp;""="","",IF(ISNUMBER(SEARCH("yes",INDEX(FormData,$W140,f_Consent))),"Yes","No")),""))</f>
        <v/>
      </c>
      <c r="U140" s="14" t="n"/>
      <c r="V140" s="13">
        <f>IF($U140="","",IF($W140="","not found","✓"))</f>
        <v/>
      </c>
      <c r="W140">
        <f>IF($U140="","",IFERROR(MATCH($U140,INDEX(FormData,0,f_Id),0),IFERROR(MATCH(--$U140,INDEX(FormData,0,f_Id),0),IFERROR(MATCH($U140&amp;"",INDEX(FormData,0,f_Id),0),""))))</f>
        <v/>
      </c>
      <c r="X140">
        <f>IF(AND($B140&lt;&gt;"",$B140='Event Report'!$C$3),ROW(),"")</f>
        <v/>
      </c>
      <c r="Y140">
        <f>IF(AND($P140="✓",$R140=""),IF($Q140="",90000,$Q140)+ROW()/100000,"")</f>
        <v/>
      </c>
      <c r="Z140">
        <f>IF(OR($U140&lt;&gt;"",$D140&lt;&gt;"",$E140&lt;&gt;"",$N140&lt;&gt;""),1,"")</f>
        <v/>
      </c>
    </row>
    <row r="141">
      <c r="A141" s="13" t="inlineStr">
        <is>
          <t>P-0137</t>
        </is>
      </c>
      <c r="B141" s="14">
        <f>IF(AND($U141="",$C141=""),"",IFERROR(INDEX(EvID,MATCH(INDEX(FormData,$W141,f_Event),EvID,0)),IFERROR(INDEX(EvID,MATCH(INDEX(FormData,$W141,f_Event),EvName,0)),IFERROR(INDEX(EvID,MATCH(INT($C141),EvDate,0)),""))))</f>
        <v/>
      </c>
      <c r="C141" s="15">
        <f>IF($W141="","",INDEX(FormData,$W141,f_Time))</f>
        <v/>
      </c>
      <c r="D141" s="14">
        <f>IF($W141="","",IFERROR(UPPER(LEFT(TRIM(INDEX(FormData,$W141,f_Name)),1)&amp;IFERROR(MID(TRIM(INDEX(FormData,$W141,f_Name)),FIND("^",SUBSTITUTE(TRIM(INDEX(FormData,$W141,f_Name))," ","^",LEN(TRIM(INDEX(FormData,$W141,f_Name)))-LEN(SUBSTITUTE(TRIM(INDEX(FormData,$W141,f_Name))," ",""))))+1,1),"")),""))</f>
        <v/>
      </c>
      <c r="E141" s="16">
        <f>IF($W141="","",IFERROR(IF(SUMPRODUCT(MAX((WhoKW&lt;&gt;"")*ISNUMBER(SEARCH(WhoKW,INDEX(FormData,$W141,f_Who)&amp;""))*(ROW(WhoKW)-MIN(ROW(WhoKW))+1)))=0,"",INDEX(WhoVal,SUMPRODUCT(MAX((WhoKW&lt;&gt;"")*ISNUMBER(SEARCH(WhoKW,INDEX(FormData,$W141,f_Who)&amp;""))*(ROW(WhoKW)-MIN(ROW(WhoKW))+1))))),""))</f>
        <v/>
      </c>
      <c r="F141" s="17">
        <f>IF($W141="","",TRIM(IFERROR(INDEX(FormData,$W141,f_Org1)&amp;"","")&amp;" "&amp;IFERROR(INDEX(FormData,$W141,f_Org2)&amp;"","")))</f>
        <v/>
      </c>
      <c r="G141" s="16">
        <f>IF($W141="","",IFERROR(INDEX(FormData,$W141,f_Region)&amp;"",""))</f>
        <v/>
      </c>
      <c r="H141" s="16">
        <f>IF($W141="","",IFERROR(IF(SUMPRODUCT(MAX((SitKW&lt;&gt;"")*ISNUMBER(SEARCH(SitKW,INDEX(FormData,$W141,f_Sit)&amp;""))*(ROW(SitKW)-MIN(ROW(SitKW))+1)))=0,"",INDEX(SitVal,SUMPRODUCT(MAX((SitKW&lt;&gt;"")*ISNUMBER(SEARCH(SitKW,INDEX(FormData,$W141,f_Sit)&amp;""))*(ROW(SitKW)-MIN(ROW(SitKW))+1))))),""))</f>
        <v/>
      </c>
      <c r="I141" s="14">
        <f>IF($W141="","",IFERROR(INDEX(FormData,$W141,f_Appr)&amp;"",""))</f>
        <v/>
      </c>
      <c r="J141" s="16">
        <f>IF($W141="","",IFERROR(INDEX(FormData,$W141,f_Trade)&amp;"",""))</f>
        <v/>
      </c>
      <c r="K141" s="16" t="n"/>
      <c r="L141" s="17" t="n"/>
      <c r="M141" s="16" t="n"/>
      <c r="N141" s="17" t="n"/>
      <c r="O141" s="14" t="n"/>
      <c r="P141" s="14" t="n"/>
      <c r="Q141" s="18" t="n"/>
      <c r="R141" s="18" t="n"/>
      <c r="S141" s="13">
        <f>IF($P141&lt;&gt;"✓","",IF($R141&lt;&gt;"","Done",IF($Q141="","Open — no date",IF($Q141&lt;TODAY(),"Overdue",IF($Q141-TODAY()&lt;=DueSoon,"Due soon","Scheduled")))))</f>
        <v/>
      </c>
      <c r="T141" s="14">
        <f>IF($W141="","",IFERROR(IF(INDEX(FormData,$W141,f_Consent)&amp;""="","",IF(ISNUMBER(SEARCH("yes",INDEX(FormData,$W141,f_Consent))),"Yes","No")),""))</f>
        <v/>
      </c>
      <c r="U141" s="14" t="n"/>
      <c r="V141" s="13">
        <f>IF($U141="","",IF($W141="","not found","✓"))</f>
        <v/>
      </c>
      <c r="W141">
        <f>IF($U141="","",IFERROR(MATCH($U141,INDEX(FormData,0,f_Id),0),IFERROR(MATCH(--$U141,INDEX(FormData,0,f_Id),0),IFERROR(MATCH($U141&amp;"",INDEX(FormData,0,f_Id),0),""))))</f>
        <v/>
      </c>
      <c r="X141">
        <f>IF(AND($B141&lt;&gt;"",$B141='Event Report'!$C$3),ROW(),"")</f>
        <v/>
      </c>
      <c r="Y141">
        <f>IF(AND($P141="✓",$R141=""),IF($Q141="",90000,$Q141)+ROW()/100000,"")</f>
        <v/>
      </c>
      <c r="Z141">
        <f>IF(OR($U141&lt;&gt;"",$D141&lt;&gt;"",$E141&lt;&gt;"",$N141&lt;&gt;""),1,"")</f>
        <v/>
      </c>
    </row>
    <row r="142">
      <c r="A142" s="13" t="inlineStr">
        <is>
          <t>P-0138</t>
        </is>
      </c>
      <c r="B142" s="14">
        <f>IF(AND($U142="",$C142=""),"",IFERROR(INDEX(EvID,MATCH(INDEX(FormData,$W142,f_Event),EvID,0)),IFERROR(INDEX(EvID,MATCH(INDEX(FormData,$W142,f_Event),EvName,0)),IFERROR(INDEX(EvID,MATCH(INT($C142),EvDate,0)),""))))</f>
        <v/>
      </c>
      <c r="C142" s="15">
        <f>IF($W142="","",INDEX(FormData,$W142,f_Time))</f>
        <v/>
      </c>
      <c r="D142" s="14">
        <f>IF($W142="","",IFERROR(UPPER(LEFT(TRIM(INDEX(FormData,$W142,f_Name)),1)&amp;IFERROR(MID(TRIM(INDEX(FormData,$W142,f_Name)),FIND("^",SUBSTITUTE(TRIM(INDEX(FormData,$W142,f_Name))," ","^",LEN(TRIM(INDEX(FormData,$W142,f_Name)))-LEN(SUBSTITUTE(TRIM(INDEX(FormData,$W142,f_Name))," ",""))))+1,1),"")),""))</f>
        <v/>
      </c>
      <c r="E142" s="16">
        <f>IF($W142="","",IFERROR(IF(SUMPRODUCT(MAX((WhoKW&lt;&gt;"")*ISNUMBER(SEARCH(WhoKW,INDEX(FormData,$W142,f_Who)&amp;""))*(ROW(WhoKW)-MIN(ROW(WhoKW))+1)))=0,"",INDEX(WhoVal,SUMPRODUCT(MAX((WhoKW&lt;&gt;"")*ISNUMBER(SEARCH(WhoKW,INDEX(FormData,$W142,f_Who)&amp;""))*(ROW(WhoKW)-MIN(ROW(WhoKW))+1))))),""))</f>
        <v/>
      </c>
      <c r="F142" s="17">
        <f>IF($W142="","",TRIM(IFERROR(INDEX(FormData,$W142,f_Org1)&amp;"","")&amp;" "&amp;IFERROR(INDEX(FormData,$W142,f_Org2)&amp;"","")))</f>
        <v/>
      </c>
      <c r="G142" s="16">
        <f>IF($W142="","",IFERROR(INDEX(FormData,$W142,f_Region)&amp;"",""))</f>
        <v/>
      </c>
      <c r="H142" s="16">
        <f>IF($W142="","",IFERROR(IF(SUMPRODUCT(MAX((SitKW&lt;&gt;"")*ISNUMBER(SEARCH(SitKW,INDEX(FormData,$W142,f_Sit)&amp;""))*(ROW(SitKW)-MIN(ROW(SitKW))+1)))=0,"",INDEX(SitVal,SUMPRODUCT(MAX((SitKW&lt;&gt;"")*ISNUMBER(SEARCH(SitKW,INDEX(FormData,$W142,f_Sit)&amp;""))*(ROW(SitKW)-MIN(ROW(SitKW))+1))))),""))</f>
        <v/>
      </c>
      <c r="I142" s="14">
        <f>IF($W142="","",IFERROR(INDEX(FormData,$W142,f_Appr)&amp;"",""))</f>
        <v/>
      </c>
      <c r="J142" s="16">
        <f>IF($W142="","",IFERROR(INDEX(FormData,$W142,f_Trade)&amp;"",""))</f>
        <v/>
      </c>
      <c r="K142" s="16" t="n"/>
      <c r="L142" s="17" t="n"/>
      <c r="M142" s="16" t="n"/>
      <c r="N142" s="17" t="n"/>
      <c r="O142" s="14" t="n"/>
      <c r="P142" s="14" t="n"/>
      <c r="Q142" s="18" t="n"/>
      <c r="R142" s="18" t="n"/>
      <c r="S142" s="13">
        <f>IF($P142&lt;&gt;"✓","",IF($R142&lt;&gt;"","Done",IF($Q142="","Open — no date",IF($Q142&lt;TODAY(),"Overdue",IF($Q142-TODAY()&lt;=DueSoon,"Due soon","Scheduled")))))</f>
        <v/>
      </c>
      <c r="T142" s="14">
        <f>IF($W142="","",IFERROR(IF(INDEX(FormData,$W142,f_Consent)&amp;""="","",IF(ISNUMBER(SEARCH("yes",INDEX(FormData,$W142,f_Consent))),"Yes","No")),""))</f>
        <v/>
      </c>
      <c r="U142" s="14" t="n"/>
      <c r="V142" s="13">
        <f>IF($U142="","",IF($W142="","not found","✓"))</f>
        <v/>
      </c>
      <c r="W142">
        <f>IF($U142="","",IFERROR(MATCH($U142,INDEX(FormData,0,f_Id),0),IFERROR(MATCH(--$U142,INDEX(FormData,0,f_Id),0),IFERROR(MATCH($U142&amp;"",INDEX(FormData,0,f_Id),0),""))))</f>
        <v/>
      </c>
      <c r="X142">
        <f>IF(AND($B142&lt;&gt;"",$B142='Event Report'!$C$3),ROW(),"")</f>
        <v/>
      </c>
      <c r="Y142">
        <f>IF(AND($P142="✓",$R142=""),IF($Q142="",90000,$Q142)+ROW()/100000,"")</f>
        <v/>
      </c>
      <c r="Z142">
        <f>IF(OR($U142&lt;&gt;"",$D142&lt;&gt;"",$E142&lt;&gt;"",$N142&lt;&gt;""),1,"")</f>
        <v/>
      </c>
    </row>
    <row r="143">
      <c r="A143" s="13" t="inlineStr">
        <is>
          <t>P-0139</t>
        </is>
      </c>
      <c r="B143" s="14">
        <f>IF(AND($U143="",$C143=""),"",IFERROR(INDEX(EvID,MATCH(INDEX(FormData,$W143,f_Event),EvID,0)),IFERROR(INDEX(EvID,MATCH(INDEX(FormData,$W143,f_Event),EvName,0)),IFERROR(INDEX(EvID,MATCH(INT($C143),EvDate,0)),""))))</f>
        <v/>
      </c>
      <c r="C143" s="15">
        <f>IF($W143="","",INDEX(FormData,$W143,f_Time))</f>
        <v/>
      </c>
      <c r="D143" s="14">
        <f>IF($W143="","",IFERROR(UPPER(LEFT(TRIM(INDEX(FormData,$W143,f_Name)),1)&amp;IFERROR(MID(TRIM(INDEX(FormData,$W143,f_Name)),FIND("^",SUBSTITUTE(TRIM(INDEX(FormData,$W143,f_Name))," ","^",LEN(TRIM(INDEX(FormData,$W143,f_Name)))-LEN(SUBSTITUTE(TRIM(INDEX(FormData,$W143,f_Name))," ",""))))+1,1),"")),""))</f>
        <v/>
      </c>
      <c r="E143" s="16">
        <f>IF($W143="","",IFERROR(IF(SUMPRODUCT(MAX((WhoKW&lt;&gt;"")*ISNUMBER(SEARCH(WhoKW,INDEX(FormData,$W143,f_Who)&amp;""))*(ROW(WhoKW)-MIN(ROW(WhoKW))+1)))=0,"",INDEX(WhoVal,SUMPRODUCT(MAX((WhoKW&lt;&gt;"")*ISNUMBER(SEARCH(WhoKW,INDEX(FormData,$W143,f_Who)&amp;""))*(ROW(WhoKW)-MIN(ROW(WhoKW))+1))))),""))</f>
        <v/>
      </c>
      <c r="F143" s="17">
        <f>IF($W143="","",TRIM(IFERROR(INDEX(FormData,$W143,f_Org1)&amp;"","")&amp;" "&amp;IFERROR(INDEX(FormData,$W143,f_Org2)&amp;"","")))</f>
        <v/>
      </c>
      <c r="G143" s="16">
        <f>IF($W143="","",IFERROR(INDEX(FormData,$W143,f_Region)&amp;"",""))</f>
        <v/>
      </c>
      <c r="H143" s="16">
        <f>IF($W143="","",IFERROR(IF(SUMPRODUCT(MAX((SitKW&lt;&gt;"")*ISNUMBER(SEARCH(SitKW,INDEX(FormData,$W143,f_Sit)&amp;""))*(ROW(SitKW)-MIN(ROW(SitKW))+1)))=0,"",INDEX(SitVal,SUMPRODUCT(MAX((SitKW&lt;&gt;"")*ISNUMBER(SEARCH(SitKW,INDEX(FormData,$W143,f_Sit)&amp;""))*(ROW(SitKW)-MIN(ROW(SitKW))+1))))),""))</f>
        <v/>
      </c>
      <c r="I143" s="14">
        <f>IF($W143="","",IFERROR(INDEX(FormData,$W143,f_Appr)&amp;"",""))</f>
        <v/>
      </c>
      <c r="J143" s="16">
        <f>IF($W143="","",IFERROR(INDEX(FormData,$W143,f_Trade)&amp;"",""))</f>
        <v/>
      </c>
      <c r="K143" s="16" t="n"/>
      <c r="L143" s="17" t="n"/>
      <c r="M143" s="16" t="n"/>
      <c r="N143" s="17" t="n"/>
      <c r="O143" s="14" t="n"/>
      <c r="P143" s="14" t="n"/>
      <c r="Q143" s="18" t="n"/>
      <c r="R143" s="18" t="n"/>
      <c r="S143" s="13">
        <f>IF($P143&lt;&gt;"✓","",IF($R143&lt;&gt;"","Done",IF($Q143="","Open — no date",IF($Q143&lt;TODAY(),"Overdue",IF($Q143-TODAY()&lt;=DueSoon,"Due soon","Scheduled")))))</f>
        <v/>
      </c>
      <c r="T143" s="14">
        <f>IF($W143="","",IFERROR(IF(INDEX(FormData,$W143,f_Consent)&amp;""="","",IF(ISNUMBER(SEARCH("yes",INDEX(FormData,$W143,f_Consent))),"Yes","No")),""))</f>
        <v/>
      </c>
      <c r="U143" s="14" t="n"/>
      <c r="V143" s="13">
        <f>IF($U143="","",IF($W143="","not found","✓"))</f>
        <v/>
      </c>
      <c r="W143">
        <f>IF($U143="","",IFERROR(MATCH($U143,INDEX(FormData,0,f_Id),0),IFERROR(MATCH(--$U143,INDEX(FormData,0,f_Id),0),IFERROR(MATCH($U143&amp;"",INDEX(FormData,0,f_Id),0),""))))</f>
        <v/>
      </c>
      <c r="X143">
        <f>IF(AND($B143&lt;&gt;"",$B143='Event Report'!$C$3),ROW(),"")</f>
        <v/>
      </c>
      <c r="Y143">
        <f>IF(AND($P143="✓",$R143=""),IF($Q143="",90000,$Q143)+ROW()/100000,"")</f>
        <v/>
      </c>
      <c r="Z143">
        <f>IF(OR($U143&lt;&gt;"",$D143&lt;&gt;"",$E143&lt;&gt;"",$N143&lt;&gt;""),1,"")</f>
        <v/>
      </c>
    </row>
    <row r="144">
      <c r="A144" s="13" t="inlineStr">
        <is>
          <t>P-0140</t>
        </is>
      </c>
      <c r="B144" s="14">
        <f>IF(AND($U144="",$C144=""),"",IFERROR(INDEX(EvID,MATCH(INDEX(FormData,$W144,f_Event),EvID,0)),IFERROR(INDEX(EvID,MATCH(INDEX(FormData,$W144,f_Event),EvName,0)),IFERROR(INDEX(EvID,MATCH(INT($C144),EvDate,0)),""))))</f>
        <v/>
      </c>
      <c r="C144" s="15">
        <f>IF($W144="","",INDEX(FormData,$W144,f_Time))</f>
        <v/>
      </c>
      <c r="D144" s="14">
        <f>IF($W144="","",IFERROR(UPPER(LEFT(TRIM(INDEX(FormData,$W144,f_Name)),1)&amp;IFERROR(MID(TRIM(INDEX(FormData,$W144,f_Name)),FIND("^",SUBSTITUTE(TRIM(INDEX(FormData,$W144,f_Name))," ","^",LEN(TRIM(INDEX(FormData,$W144,f_Name)))-LEN(SUBSTITUTE(TRIM(INDEX(FormData,$W144,f_Name))," ",""))))+1,1),"")),""))</f>
        <v/>
      </c>
      <c r="E144" s="16">
        <f>IF($W144="","",IFERROR(IF(SUMPRODUCT(MAX((WhoKW&lt;&gt;"")*ISNUMBER(SEARCH(WhoKW,INDEX(FormData,$W144,f_Who)&amp;""))*(ROW(WhoKW)-MIN(ROW(WhoKW))+1)))=0,"",INDEX(WhoVal,SUMPRODUCT(MAX((WhoKW&lt;&gt;"")*ISNUMBER(SEARCH(WhoKW,INDEX(FormData,$W144,f_Who)&amp;""))*(ROW(WhoKW)-MIN(ROW(WhoKW))+1))))),""))</f>
        <v/>
      </c>
      <c r="F144" s="17">
        <f>IF($W144="","",TRIM(IFERROR(INDEX(FormData,$W144,f_Org1)&amp;"","")&amp;" "&amp;IFERROR(INDEX(FormData,$W144,f_Org2)&amp;"","")))</f>
        <v/>
      </c>
      <c r="G144" s="16">
        <f>IF($W144="","",IFERROR(INDEX(FormData,$W144,f_Region)&amp;"",""))</f>
        <v/>
      </c>
      <c r="H144" s="16">
        <f>IF($W144="","",IFERROR(IF(SUMPRODUCT(MAX((SitKW&lt;&gt;"")*ISNUMBER(SEARCH(SitKW,INDEX(FormData,$W144,f_Sit)&amp;""))*(ROW(SitKW)-MIN(ROW(SitKW))+1)))=0,"",INDEX(SitVal,SUMPRODUCT(MAX((SitKW&lt;&gt;"")*ISNUMBER(SEARCH(SitKW,INDEX(FormData,$W144,f_Sit)&amp;""))*(ROW(SitKW)-MIN(ROW(SitKW))+1))))),""))</f>
        <v/>
      </c>
      <c r="I144" s="14">
        <f>IF($W144="","",IFERROR(INDEX(FormData,$W144,f_Appr)&amp;"",""))</f>
        <v/>
      </c>
      <c r="J144" s="16">
        <f>IF($W144="","",IFERROR(INDEX(FormData,$W144,f_Trade)&amp;"",""))</f>
        <v/>
      </c>
      <c r="K144" s="16" t="n"/>
      <c r="L144" s="17" t="n"/>
      <c r="M144" s="16" t="n"/>
      <c r="N144" s="17" t="n"/>
      <c r="O144" s="14" t="n"/>
      <c r="P144" s="14" t="n"/>
      <c r="Q144" s="18" t="n"/>
      <c r="R144" s="18" t="n"/>
      <c r="S144" s="13">
        <f>IF($P144&lt;&gt;"✓","",IF($R144&lt;&gt;"","Done",IF($Q144="","Open — no date",IF($Q144&lt;TODAY(),"Overdue",IF($Q144-TODAY()&lt;=DueSoon,"Due soon","Scheduled")))))</f>
        <v/>
      </c>
      <c r="T144" s="14">
        <f>IF($W144="","",IFERROR(IF(INDEX(FormData,$W144,f_Consent)&amp;""="","",IF(ISNUMBER(SEARCH("yes",INDEX(FormData,$W144,f_Consent))),"Yes","No")),""))</f>
        <v/>
      </c>
      <c r="U144" s="14" t="n"/>
      <c r="V144" s="13">
        <f>IF($U144="","",IF($W144="","not found","✓"))</f>
        <v/>
      </c>
      <c r="W144">
        <f>IF($U144="","",IFERROR(MATCH($U144,INDEX(FormData,0,f_Id),0),IFERROR(MATCH(--$U144,INDEX(FormData,0,f_Id),0),IFERROR(MATCH($U144&amp;"",INDEX(FormData,0,f_Id),0),""))))</f>
        <v/>
      </c>
      <c r="X144">
        <f>IF(AND($B144&lt;&gt;"",$B144='Event Report'!$C$3),ROW(),"")</f>
        <v/>
      </c>
      <c r="Y144">
        <f>IF(AND($P144="✓",$R144=""),IF($Q144="",90000,$Q144)+ROW()/100000,"")</f>
        <v/>
      </c>
      <c r="Z144">
        <f>IF(OR($U144&lt;&gt;"",$D144&lt;&gt;"",$E144&lt;&gt;"",$N144&lt;&gt;""),1,"")</f>
        <v/>
      </c>
    </row>
    <row r="145">
      <c r="A145" s="13" t="inlineStr">
        <is>
          <t>P-0141</t>
        </is>
      </c>
      <c r="B145" s="14">
        <f>IF(AND($U145="",$C145=""),"",IFERROR(INDEX(EvID,MATCH(INDEX(FormData,$W145,f_Event),EvID,0)),IFERROR(INDEX(EvID,MATCH(INDEX(FormData,$W145,f_Event),EvName,0)),IFERROR(INDEX(EvID,MATCH(INT($C145),EvDate,0)),""))))</f>
        <v/>
      </c>
      <c r="C145" s="15">
        <f>IF($W145="","",INDEX(FormData,$W145,f_Time))</f>
        <v/>
      </c>
      <c r="D145" s="14">
        <f>IF($W145="","",IFERROR(UPPER(LEFT(TRIM(INDEX(FormData,$W145,f_Name)),1)&amp;IFERROR(MID(TRIM(INDEX(FormData,$W145,f_Name)),FIND("^",SUBSTITUTE(TRIM(INDEX(FormData,$W145,f_Name))," ","^",LEN(TRIM(INDEX(FormData,$W145,f_Name)))-LEN(SUBSTITUTE(TRIM(INDEX(FormData,$W145,f_Name))," ",""))))+1,1),"")),""))</f>
        <v/>
      </c>
      <c r="E145" s="16">
        <f>IF($W145="","",IFERROR(IF(SUMPRODUCT(MAX((WhoKW&lt;&gt;"")*ISNUMBER(SEARCH(WhoKW,INDEX(FormData,$W145,f_Who)&amp;""))*(ROW(WhoKW)-MIN(ROW(WhoKW))+1)))=0,"",INDEX(WhoVal,SUMPRODUCT(MAX((WhoKW&lt;&gt;"")*ISNUMBER(SEARCH(WhoKW,INDEX(FormData,$W145,f_Who)&amp;""))*(ROW(WhoKW)-MIN(ROW(WhoKW))+1))))),""))</f>
        <v/>
      </c>
      <c r="F145" s="17">
        <f>IF($W145="","",TRIM(IFERROR(INDEX(FormData,$W145,f_Org1)&amp;"","")&amp;" "&amp;IFERROR(INDEX(FormData,$W145,f_Org2)&amp;"","")))</f>
        <v/>
      </c>
      <c r="G145" s="16">
        <f>IF($W145="","",IFERROR(INDEX(FormData,$W145,f_Region)&amp;"",""))</f>
        <v/>
      </c>
      <c r="H145" s="16">
        <f>IF($W145="","",IFERROR(IF(SUMPRODUCT(MAX((SitKW&lt;&gt;"")*ISNUMBER(SEARCH(SitKW,INDEX(FormData,$W145,f_Sit)&amp;""))*(ROW(SitKW)-MIN(ROW(SitKW))+1)))=0,"",INDEX(SitVal,SUMPRODUCT(MAX((SitKW&lt;&gt;"")*ISNUMBER(SEARCH(SitKW,INDEX(FormData,$W145,f_Sit)&amp;""))*(ROW(SitKW)-MIN(ROW(SitKW))+1))))),""))</f>
        <v/>
      </c>
      <c r="I145" s="14">
        <f>IF($W145="","",IFERROR(INDEX(FormData,$W145,f_Appr)&amp;"",""))</f>
        <v/>
      </c>
      <c r="J145" s="16">
        <f>IF($W145="","",IFERROR(INDEX(FormData,$W145,f_Trade)&amp;"",""))</f>
        <v/>
      </c>
      <c r="K145" s="16" t="n"/>
      <c r="L145" s="17" t="n"/>
      <c r="M145" s="16" t="n"/>
      <c r="N145" s="17" t="n"/>
      <c r="O145" s="14" t="n"/>
      <c r="P145" s="14" t="n"/>
      <c r="Q145" s="18" t="n"/>
      <c r="R145" s="18" t="n"/>
      <c r="S145" s="13">
        <f>IF($P145&lt;&gt;"✓","",IF($R145&lt;&gt;"","Done",IF($Q145="","Open — no date",IF($Q145&lt;TODAY(),"Overdue",IF($Q145-TODAY()&lt;=DueSoon,"Due soon","Scheduled")))))</f>
        <v/>
      </c>
      <c r="T145" s="14">
        <f>IF($W145="","",IFERROR(IF(INDEX(FormData,$W145,f_Consent)&amp;""="","",IF(ISNUMBER(SEARCH("yes",INDEX(FormData,$W145,f_Consent))),"Yes","No")),""))</f>
        <v/>
      </c>
      <c r="U145" s="14" t="n"/>
      <c r="V145" s="13">
        <f>IF($U145="","",IF($W145="","not found","✓"))</f>
        <v/>
      </c>
      <c r="W145">
        <f>IF($U145="","",IFERROR(MATCH($U145,INDEX(FormData,0,f_Id),0),IFERROR(MATCH(--$U145,INDEX(FormData,0,f_Id),0),IFERROR(MATCH($U145&amp;"",INDEX(FormData,0,f_Id),0),""))))</f>
        <v/>
      </c>
      <c r="X145">
        <f>IF(AND($B145&lt;&gt;"",$B145='Event Report'!$C$3),ROW(),"")</f>
        <v/>
      </c>
      <c r="Y145">
        <f>IF(AND($P145="✓",$R145=""),IF($Q145="",90000,$Q145)+ROW()/100000,"")</f>
        <v/>
      </c>
      <c r="Z145">
        <f>IF(OR($U145&lt;&gt;"",$D145&lt;&gt;"",$E145&lt;&gt;"",$N145&lt;&gt;""),1,"")</f>
        <v/>
      </c>
    </row>
    <row r="146">
      <c r="A146" s="13" t="inlineStr">
        <is>
          <t>P-0142</t>
        </is>
      </c>
      <c r="B146" s="14">
        <f>IF(AND($U146="",$C146=""),"",IFERROR(INDEX(EvID,MATCH(INDEX(FormData,$W146,f_Event),EvID,0)),IFERROR(INDEX(EvID,MATCH(INDEX(FormData,$W146,f_Event),EvName,0)),IFERROR(INDEX(EvID,MATCH(INT($C146),EvDate,0)),""))))</f>
        <v/>
      </c>
      <c r="C146" s="15">
        <f>IF($W146="","",INDEX(FormData,$W146,f_Time))</f>
        <v/>
      </c>
      <c r="D146" s="14">
        <f>IF($W146="","",IFERROR(UPPER(LEFT(TRIM(INDEX(FormData,$W146,f_Name)),1)&amp;IFERROR(MID(TRIM(INDEX(FormData,$W146,f_Name)),FIND("^",SUBSTITUTE(TRIM(INDEX(FormData,$W146,f_Name))," ","^",LEN(TRIM(INDEX(FormData,$W146,f_Name)))-LEN(SUBSTITUTE(TRIM(INDEX(FormData,$W146,f_Name))," ",""))))+1,1),"")),""))</f>
        <v/>
      </c>
      <c r="E146" s="16">
        <f>IF($W146="","",IFERROR(IF(SUMPRODUCT(MAX((WhoKW&lt;&gt;"")*ISNUMBER(SEARCH(WhoKW,INDEX(FormData,$W146,f_Who)&amp;""))*(ROW(WhoKW)-MIN(ROW(WhoKW))+1)))=0,"",INDEX(WhoVal,SUMPRODUCT(MAX((WhoKW&lt;&gt;"")*ISNUMBER(SEARCH(WhoKW,INDEX(FormData,$W146,f_Who)&amp;""))*(ROW(WhoKW)-MIN(ROW(WhoKW))+1))))),""))</f>
        <v/>
      </c>
      <c r="F146" s="17">
        <f>IF($W146="","",TRIM(IFERROR(INDEX(FormData,$W146,f_Org1)&amp;"","")&amp;" "&amp;IFERROR(INDEX(FormData,$W146,f_Org2)&amp;"","")))</f>
        <v/>
      </c>
      <c r="G146" s="16">
        <f>IF($W146="","",IFERROR(INDEX(FormData,$W146,f_Region)&amp;"",""))</f>
        <v/>
      </c>
      <c r="H146" s="16">
        <f>IF($W146="","",IFERROR(IF(SUMPRODUCT(MAX((SitKW&lt;&gt;"")*ISNUMBER(SEARCH(SitKW,INDEX(FormData,$W146,f_Sit)&amp;""))*(ROW(SitKW)-MIN(ROW(SitKW))+1)))=0,"",INDEX(SitVal,SUMPRODUCT(MAX((SitKW&lt;&gt;"")*ISNUMBER(SEARCH(SitKW,INDEX(FormData,$W146,f_Sit)&amp;""))*(ROW(SitKW)-MIN(ROW(SitKW))+1))))),""))</f>
        <v/>
      </c>
      <c r="I146" s="14">
        <f>IF($W146="","",IFERROR(INDEX(FormData,$W146,f_Appr)&amp;"",""))</f>
        <v/>
      </c>
      <c r="J146" s="16">
        <f>IF($W146="","",IFERROR(INDEX(FormData,$W146,f_Trade)&amp;"",""))</f>
        <v/>
      </c>
      <c r="K146" s="16" t="n"/>
      <c r="L146" s="17" t="n"/>
      <c r="M146" s="16" t="n"/>
      <c r="N146" s="17" t="n"/>
      <c r="O146" s="14" t="n"/>
      <c r="P146" s="14" t="n"/>
      <c r="Q146" s="18" t="n"/>
      <c r="R146" s="18" t="n"/>
      <c r="S146" s="13">
        <f>IF($P146&lt;&gt;"✓","",IF($R146&lt;&gt;"","Done",IF($Q146="","Open — no date",IF($Q146&lt;TODAY(),"Overdue",IF($Q146-TODAY()&lt;=DueSoon,"Due soon","Scheduled")))))</f>
        <v/>
      </c>
      <c r="T146" s="14">
        <f>IF($W146="","",IFERROR(IF(INDEX(FormData,$W146,f_Consent)&amp;""="","",IF(ISNUMBER(SEARCH("yes",INDEX(FormData,$W146,f_Consent))),"Yes","No")),""))</f>
        <v/>
      </c>
      <c r="U146" s="14" t="n"/>
      <c r="V146" s="13">
        <f>IF($U146="","",IF($W146="","not found","✓"))</f>
        <v/>
      </c>
      <c r="W146">
        <f>IF($U146="","",IFERROR(MATCH($U146,INDEX(FormData,0,f_Id),0),IFERROR(MATCH(--$U146,INDEX(FormData,0,f_Id),0),IFERROR(MATCH($U146&amp;"",INDEX(FormData,0,f_Id),0),""))))</f>
        <v/>
      </c>
      <c r="X146">
        <f>IF(AND($B146&lt;&gt;"",$B146='Event Report'!$C$3),ROW(),"")</f>
        <v/>
      </c>
      <c r="Y146">
        <f>IF(AND($P146="✓",$R146=""),IF($Q146="",90000,$Q146)+ROW()/100000,"")</f>
        <v/>
      </c>
      <c r="Z146">
        <f>IF(OR($U146&lt;&gt;"",$D146&lt;&gt;"",$E146&lt;&gt;"",$N146&lt;&gt;""),1,"")</f>
        <v/>
      </c>
    </row>
    <row r="147">
      <c r="A147" s="13" t="inlineStr">
        <is>
          <t>P-0143</t>
        </is>
      </c>
      <c r="B147" s="14">
        <f>IF(AND($U147="",$C147=""),"",IFERROR(INDEX(EvID,MATCH(INDEX(FormData,$W147,f_Event),EvID,0)),IFERROR(INDEX(EvID,MATCH(INDEX(FormData,$W147,f_Event),EvName,0)),IFERROR(INDEX(EvID,MATCH(INT($C147),EvDate,0)),""))))</f>
        <v/>
      </c>
      <c r="C147" s="15">
        <f>IF($W147="","",INDEX(FormData,$W147,f_Time))</f>
        <v/>
      </c>
      <c r="D147" s="14">
        <f>IF($W147="","",IFERROR(UPPER(LEFT(TRIM(INDEX(FormData,$W147,f_Name)),1)&amp;IFERROR(MID(TRIM(INDEX(FormData,$W147,f_Name)),FIND("^",SUBSTITUTE(TRIM(INDEX(FormData,$W147,f_Name))," ","^",LEN(TRIM(INDEX(FormData,$W147,f_Name)))-LEN(SUBSTITUTE(TRIM(INDEX(FormData,$W147,f_Name))," ",""))))+1,1),"")),""))</f>
        <v/>
      </c>
      <c r="E147" s="16">
        <f>IF($W147="","",IFERROR(IF(SUMPRODUCT(MAX((WhoKW&lt;&gt;"")*ISNUMBER(SEARCH(WhoKW,INDEX(FormData,$W147,f_Who)&amp;""))*(ROW(WhoKW)-MIN(ROW(WhoKW))+1)))=0,"",INDEX(WhoVal,SUMPRODUCT(MAX((WhoKW&lt;&gt;"")*ISNUMBER(SEARCH(WhoKW,INDEX(FormData,$W147,f_Who)&amp;""))*(ROW(WhoKW)-MIN(ROW(WhoKW))+1))))),""))</f>
        <v/>
      </c>
      <c r="F147" s="17">
        <f>IF($W147="","",TRIM(IFERROR(INDEX(FormData,$W147,f_Org1)&amp;"","")&amp;" "&amp;IFERROR(INDEX(FormData,$W147,f_Org2)&amp;"","")))</f>
        <v/>
      </c>
      <c r="G147" s="16">
        <f>IF($W147="","",IFERROR(INDEX(FormData,$W147,f_Region)&amp;"",""))</f>
        <v/>
      </c>
      <c r="H147" s="16">
        <f>IF($W147="","",IFERROR(IF(SUMPRODUCT(MAX((SitKW&lt;&gt;"")*ISNUMBER(SEARCH(SitKW,INDEX(FormData,$W147,f_Sit)&amp;""))*(ROW(SitKW)-MIN(ROW(SitKW))+1)))=0,"",INDEX(SitVal,SUMPRODUCT(MAX((SitKW&lt;&gt;"")*ISNUMBER(SEARCH(SitKW,INDEX(FormData,$W147,f_Sit)&amp;""))*(ROW(SitKW)-MIN(ROW(SitKW))+1))))),""))</f>
        <v/>
      </c>
      <c r="I147" s="14">
        <f>IF($W147="","",IFERROR(INDEX(FormData,$W147,f_Appr)&amp;"",""))</f>
        <v/>
      </c>
      <c r="J147" s="16">
        <f>IF($W147="","",IFERROR(INDEX(FormData,$W147,f_Trade)&amp;"",""))</f>
        <v/>
      </c>
      <c r="K147" s="16" t="n"/>
      <c r="L147" s="17" t="n"/>
      <c r="M147" s="16" t="n"/>
      <c r="N147" s="17" t="n"/>
      <c r="O147" s="14" t="n"/>
      <c r="P147" s="14" t="n"/>
      <c r="Q147" s="18" t="n"/>
      <c r="R147" s="18" t="n"/>
      <c r="S147" s="13">
        <f>IF($P147&lt;&gt;"✓","",IF($R147&lt;&gt;"","Done",IF($Q147="","Open — no date",IF($Q147&lt;TODAY(),"Overdue",IF($Q147-TODAY()&lt;=DueSoon,"Due soon","Scheduled")))))</f>
        <v/>
      </c>
      <c r="T147" s="14">
        <f>IF($W147="","",IFERROR(IF(INDEX(FormData,$W147,f_Consent)&amp;""="","",IF(ISNUMBER(SEARCH("yes",INDEX(FormData,$W147,f_Consent))),"Yes","No")),""))</f>
        <v/>
      </c>
      <c r="U147" s="14" t="n"/>
      <c r="V147" s="13">
        <f>IF($U147="","",IF($W147="","not found","✓"))</f>
        <v/>
      </c>
      <c r="W147">
        <f>IF($U147="","",IFERROR(MATCH($U147,INDEX(FormData,0,f_Id),0),IFERROR(MATCH(--$U147,INDEX(FormData,0,f_Id),0),IFERROR(MATCH($U147&amp;"",INDEX(FormData,0,f_Id),0),""))))</f>
        <v/>
      </c>
      <c r="X147">
        <f>IF(AND($B147&lt;&gt;"",$B147='Event Report'!$C$3),ROW(),"")</f>
        <v/>
      </c>
      <c r="Y147">
        <f>IF(AND($P147="✓",$R147=""),IF($Q147="",90000,$Q147)+ROW()/100000,"")</f>
        <v/>
      </c>
      <c r="Z147">
        <f>IF(OR($U147&lt;&gt;"",$D147&lt;&gt;"",$E147&lt;&gt;"",$N147&lt;&gt;""),1,"")</f>
        <v/>
      </c>
    </row>
    <row r="148">
      <c r="A148" s="13" t="inlineStr">
        <is>
          <t>P-0144</t>
        </is>
      </c>
      <c r="B148" s="14">
        <f>IF(AND($U148="",$C148=""),"",IFERROR(INDEX(EvID,MATCH(INDEX(FormData,$W148,f_Event),EvID,0)),IFERROR(INDEX(EvID,MATCH(INDEX(FormData,$W148,f_Event),EvName,0)),IFERROR(INDEX(EvID,MATCH(INT($C148),EvDate,0)),""))))</f>
        <v/>
      </c>
      <c r="C148" s="15">
        <f>IF($W148="","",INDEX(FormData,$W148,f_Time))</f>
        <v/>
      </c>
      <c r="D148" s="14">
        <f>IF($W148="","",IFERROR(UPPER(LEFT(TRIM(INDEX(FormData,$W148,f_Name)),1)&amp;IFERROR(MID(TRIM(INDEX(FormData,$W148,f_Name)),FIND("^",SUBSTITUTE(TRIM(INDEX(FormData,$W148,f_Name))," ","^",LEN(TRIM(INDEX(FormData,$W148,f_Name)))-LEN(SUBSTITUTE(TRIM(INDEX(FormData,$W148,f_Name))," ",""))))+1,1),"")),""))</f>
        <v/>
      </c>
      <c r="E148" s="16">
        <f>IF($W148="","",IFERROR(IF(SUMPRODUCT(MAX((WhoKW&lt;&gt;"")*ISNUMBER(SEARCH(WhoKW,INDEX(FormData,$W148,f_Who)&amp;""))*(ROW(WhoKW)-MIN(ROW(WhoKW))+1)))=0,"",INDEX(WhoVal,SUMPRODUCT(MAX((WhoKW&lt;&gt;"")*ISNUMBER(SEARCH(WhoKW,INDEX(FormData,$W148,f_Who)&amp;""))*(ROW(WhoKW)-MIN(ROW(WhoKW))+1))))),""))</f>
        <v/>
      </c>
      <c r="F148" s="17">
        <f>IF($W148="","",TRIM(IFERROR(INDEX(FormData,$W148,f_Org1)&amp;"","")&amp;" "&amp;IFERROR(INDEX(FormData,$W148,f_Org2)&amp;"","")))</f>
        <v/>
      </c>
      <c r="G148" s="16">
        <f>IF($W148="","",IFERROR(INDEX(FormData,$W148,f_Region)&amp;"",""))</f>
        <v/>
      </c>
      <c r="H148" s="16">
        <f>IF($W148="","",IFERROR(IF(SUMPRODUCT(MAX((SitKW&lt;&gt;"")*ISNUMBER(SEARCH(SitKW,INDEX(FormData,$W148,f_Sit)&amp;""))*(ROW(SitKW)-MIN(ROW(SitKW))+1)))=0,"",INDEX(SitVal,SUMPRODUCT(MAX((SitKW&lt;&gt;"")*ISNUMBER(SEARCH(SitKW,INDEX(FormData,$W148,f_Sit)&amp;""))*(ROW(SitKW)-MIN(ROW(SitKW))+1))))),""))</f>
        <v/>
      </c>
      <c r="I148" s="14">
        <f>IF($W148="","",IFERROR(INDEX(FormData,$W148,f_Appr)&amp;"",""))</f>
        <v/>
      </c>
      <c r="J148" s="16">
        <f>IF($W148="","",IFERROR(INDEX(FormData,$W148,f_Trade)&amp;"",""))</f>
        <v/>
      </c>
      <c r="K148" s="16" t="n"/>
      <c r="L148" s="17" t="n"/>
      <c r="M148" s="16" t="n"/>
      <c r="N148" s="17" t="n"/>
      <c r="O148" s="14" t="n"/>
      <c r="P148" s="14" t="n"/>
      <c r="Q148" s="18" t="n"/>
      <c r="R148" s="18" t="n"/>
      <c r="S148" s="13">
        <f>IF($P148&lt;&gt;"✓","",IF($R148&lt;&gt;"","Done",IF($Q148="","Open — no date",IF($Q148&lt;TODAY(),"Overdue",IF($Q148-TODAY()&lt;=DueSoon,"Due soon","Scheduled")))))</f>
        <v/>
      </c>
      <c r="T148" s="14">
        <f>IF($W148="","",IFERROR(IF(INDEX(FormData,$W148,f_Consent)&amp;""="","",IF(ISNUMBER(SEARCH("yes",INDEX(FormData,$W148,f_Consent))),"Yes","No")),""))</f>
        <v/>
      </c>
      <c r="U148" s="14" t="n"/>
      <c r="V148" s="13">
        <f>IF($U148="","",IF($W148="","not found","✓"))</f>
        <v/>
      </c>
      <c r="W148">
        <f>IF($U148="","",IFERROR(MATCH($U148,INDEX(FormData,0,f_Id),0),IFERROR(MATCH(--$U148,INDEX(FormData,0,f_Id),0),IFERROR(MATCH($U148&amp;"",INDEX(FormData,0,f_Id),0),""))))</f>
        <v/>
      </c>
      <c r="X148">
        <f>IF(AND($B148&lt;&gt;"",$B148='Event Report'!$C$3),ROW(),"")</f>
        <v/>
      </c>
      <c r="Y148">
        <f>IF(AND($P148="✓",$R148=""),IF($Q148="",90000,$Q148)+ROW()/100000,"")</f>
        <v/>
      </c>
      <c r="Z148">
        <f>IF(OR($U148&lt;&gt;"",$D148&lt;&gt;"",$E148&lt;&gt;"",$N148&lt;&gt;""),1,"")</f>
        <v/>
      </c>
    </row>
    <row r="149">
      <c r="A149" s="13" t="inlineStr">
        <is>
          <t>P-0145</t>
        </is>
      </c>
      <c r="B149" s="14">
        <f>IF(AND($U149="",$C149=""),"",IFERROR(INDEX(EvID,MATCH(INDEX(FormData,$W149,f_Event),EvID,0)),IFERROR(INDEX(EvID,MATCH(INDEX(FormData,$W149,f_Event),EvName,0)),IFERROR(INDEX(EvID,MATCH(INT($C149),EvDate,0)),""))))</f>
        <v/>
      </c>
      <c r="C149" s="15">
        <f>IF($W149="","",INDEX(FormData,$W149,f_Time))</f>
        <v/>
      </c>
      <c r="D149" s="14">
        <f>IF($W149="","",IFERROR(UPPER(LEFT(TRIM(INDEX(FormData,$W149,f_Name)),1)&amp;IFERROR(MID(TRIM(INDEX(FormData,$W149,f_Name)),FIND("^",SUBSTITUTE(TRIM(INDEX(FormData,$W149,f_Name))," ","^",LEN(TRIM(INDEX(FormData,$W149,f_Name)))-LEN(SUBSTITUTE(TRIM(INDEX(FormData,$W149,f_Name))," ",""))))+1,1),"")),""))</f>
        <v/>
      </c>
      <c r="E149" s="16">
        <f>IF($W149="","",IFERROR(IF(SUMPRODUCT(MAX((WhoKW&lt;&gt;"")*ISNUMBER(SEARCH(WhoKW,INDEX(FormData,$W149,f_Who)&amp;""))*(ROW(WhoKW)-MIN(ROW(WhoKW))+1)))=0,"",INDEX(WhoVal,SUMPRODUCT(MAX((WhoKW&lt;&gt;"")*ISNUMBER(SEARCH(WhoKW,INDEX(FormData,$W149,f_Who)&amp;""))*(ROW(WhoKW)-MIN(ROW(WhoKW))+1))))),""))</f>
        <v/>
      </c>
      <c r="F149" s="17">
        <f>IF($W149="","",TRIM(IFERROR(INDEX(FormData,$W149,f_Org1)&amp;"","")&amp;" "&amp;IFERROR(INDEX(FormData,$W149,f_Org2)&amp;"","")))</f>
        <v/>
      </c>
      <c r="G149" s="16">
        <f>IF($W149="","",IFERROR(INDEX(FormData,$W149,f_Region)&amp;"",""))</f>
        <v/>
      </c>
      <c r="H149" s="16">
        <f>IF($W149="","",IFERROR(IF(SUMPRODUCT(MAX((SitKW&lt;&gt;"")*ISNUMBER(SEARCH(SitKW,INDEX(FormData,$W149,f_Sit)&amp;""))*(ROW(SitKW)-MIN(ROW(SitKW))+1)))=0,"",INDEX(SitVal,SUMPRODUCT(MAX((SitKW&lt;&gt;"")*ISNUMBER(SEARCH(SitKW,INDEX(FormData,$W149,f_Sit)&amp;""))*(ROW(SitKW)-MIN(ROW(SitKW))+1))))),""))</f>
        <v/>
      </c>
      <c r="I149" s="14">
        <f>IF($W149="","",IFERROR(INDEX(FormData,$W149,f_Appr)&amp;"",""))</f>
        <v/>
      </c>
      <c r="J149" s="16">
        <f>IF($W149="","",IFERROR(INDEX(FormData,$W149,f_Trade)&amp;"",""))</f>
        <v/>
      </c>
      <c r="K149" s="16" t="n"/>
      <c r="L149" s="17" t="n"/>
      <c r="M149" s="16" t="n"/>
      <c r="N149" s="17" t="n"/>
      <c r="O149" s="14" t="n"/>
      <c r="P149" s="14" t="n"/>
      <c r="Q149" s="18" t="n"/>
      <c r="R149" s="18" t="n"/>
      <c r="S149" s="13">
        <f>IF($P149&lt;&gt;"✓","",IF($R149&lt;&gt;"","Done",IF($Q149="","Open — no date",IF($Q149&lt;TODAY(),"Overdue",IF($Q149-TODAY()&lt;=DueSoon,"Due soon","Scheduled")))))</f>
        <v/>
      </c>
      <c r="T149" s="14">
        <f>IF($W149="","",IFERROR(IF(INDEX(FormData,$W149,f_Consent)&amp;""="","",IF(ISNUMBER(SEARCH("yes",INDEX(FormData,$W149,f_Consent))),"Yes","No")),""))</f>
        <v/>
      </c>
      <c r="U149" s="14" t="n"/>
      <c r="V149" s="13">
        <f>IF($U149="","",IF($W149="","not found","✓"))</f>
        <v/>
      </c>
      <c r="W149">
        <f>IF($U149="","",IFERROR(MATCH($U149,INDEX(FormData,0,f_Id),0),IFERROR(MATCH(--$U149,INDEX(FormData,0,f_Id),0),IFERROR(MATCH($U149&amp;"",INDEX(FormData,0,f_Id),0),""))))</f>
        <v/>
      </c>
      <c r="X149">
        <f>IF(AND($B149&lt;&gt;"",$B149='Event Report'!$C$3),ROW(),"")</f>
        <v/>
      </c>
      <c r="Y149">
        <f>IF(AND($P149="✓",$R149=""),IF($Q149="",90000,$Q149)+ROW()/100000,"")</f>
        <v/>
      </c>
      <c r="Z149">
        <f>IF(OR($U149&lt;&gt;"",$D149&lt;&gt;"",$E149&lt;&gt;"",$N149&lt;&gt;""),1,"")</f>
        <v/>
      </c>
    </row>
    <row r="150">
      <c r="A150" s="13" t="inlineStr">
        <is>
          <t>P-0146</t>
        </is>
      </c>
      <c r="B150" s="14">
        <f>IF(AND($U150="",$C150=""),"",IFERROR(INDEX(EvID,MATCH(INDEX(FormData,$W150,f_Event),EvID,0)),IFERROR(INDEX(EvID,MATCH(INDEX(FormData,$W150,f_Event),EvName,0)),IFERROR(INDEX(EvID,MATCH(INT($C150),EvDate,0)),""))))</f>
        <v/>
      </c>
      <c r="C150" s="15">
        <f>IF($W150="","",INDEX(FormData,$W150,f_Time))</f>
        <v/>
      </c>
      <c r="D150" s="14">
        <f>IF($W150="","",IFERROR(UPPER(LEFT(TRIM(INDEX(FormData,$W150,f_Name)),1)&amp;IFERROR(MID(TRIM(INDEX(FormData,$W150,f_Name)),FIND("^",SUBSTITUTE(TRIM(INDEX(FormData,$W150,f_Name))," ","^",LEN(TRIM(INDEX(FormData,$W150,f_Name)))-LEN(SUBSTITUTE(TRIM(INDEX(FormData,$W150,f_Name))," ",""))))+1,1),"")),""))</f>
        <v/>
      </c>
      <c r="E150" s="16">
        <f>IF($W150="","",IFERROR(IF(SUMPRODUCT(MAX((WhoKW&lt;&gt;"")*ISNUMBER(SEARCH(WhoKW,INDEX(FormData,$W150,f_Who)&amp;""))*(ROW(WhoKW)-MIN(ROW(WhoKW))+1)))=0,"",INDEX(WhoVal,SUMPRODUCT(MAX((WhoKW&lt;&gt;"")*ISNUMBER(SEARCH(WhoKW,INDEX(FormData,$W150,f_Who)&amp;""))*(ROW(WhoKW)-MIN(ROW(WhoKW))+1))))),""))</f>
        <v/>
      </c>
      <c r="F150" s="17">
        <f>IF($W150="","",TRIM(IFERROR(INDEX(FormData,$W150,f_Org1)&amp;"","")&amp;" "&amp;IFERROR(INDEX(FormData,$W150,f_Org2)&amp;"","")))</f>
        <v/>
      </c>
      <c r="G150" s="16">
        <f>IF($W150="","",IFERROR(INDEX(FormData,$W150,f_Region)&amp;"",""))</f>
        <v/>
      </c>
      <c r="H150" s="16">
        <f>IF($W150="","",IFERROR(IF(SUMPRODUCT(MAX((SitKW&lt;&gt;"")*ISNUMBER(SEARCH(SitKW,INDEX(FormData,$W150,f_Sit)&amp;""))*(ROW(SitKW)-MIN(ROW(SitKW))+1)))=0,"",INDEX(SitVal,SUMPRODUCT(MAX((SitKW&lt;&gt;"")*ISNUMBER(SEARCH(SitKW,INDEX(FormData,$W150,f_Sit)&amp;""))*(ROW(SitKW)-MIN(ROW(SitKW))+1))))),""))</f>
        <v/>
      </c>
      <c r="I150" s="14">
        <f>IF($W150="","",IFERROR(INDEX(FormData,$W150,f_Appr)&amp;"",""))</f>
        <v/>
      </c>
      <c r="J150" s="16">
        <f>IF($W150="","",IFERROR(INDEX(FormData,$W150,f_Trade)&amp;"",""))</f>
        <v/>
      </c>
      <c r="K150" s="16" t="n"/>
      <c r="L150" s="17" t="n"/>
      <c r="M150" s="16" t="n"/>
      <c r="N150" s="17" t="n"/>
      <c r="O150" s="14" t="n"/>
      <c r="P150" s="14" t="n"/>
      <c r="Q150" s="18" t="n"/>
      <c r="R150" s="18" t="n"/>
      <c r="S150" s="13">
        <f>IF($P150&lt;&gt;"✓","",IF($R150&lt;&gt;"","Done",IF($Q150="","Open — no date",IF($Q150&lt;TODAY(),"Overdue",IF($Q150-TODAY()&lt;=DueSoon,"Due soon","Scheduled")))))</f>
        <v/>
      </c>
      <c r="T150" s="14">
        <f>IF($W150="","",IFERROR(IF(INDEX(FormData,$W150,f_Consent)&amp;""="","",IF(ISNUMBER(SEARCH("yes",INDEX(FormData,$W150,f_Consent))),"Yes","No")),""))</f>
        <v/>
      </c>
      <c r="U150" s="14" t="n"/>
      <c r="V150" s="13">
        <f>IF($U150="","",IF($W150="","not found","✓"))</f>
        <v/>
      </c>
      <c r="W150">
        <f>IF($U150="","",IFERROR(MATCH($U150,INDEX(FormData,0,f_Id),0),IFERROR(MATCH(--$U150,INDEX(FormData,0,f_Id),0),IFERROR(MATCH($U150&amp;"",INDEX(FormData,0,f_Id),0),""))))</f>
        <v/>
      </c>
      <c r="X150">
        <f>IF(AND($B150&lt;&gt;"",$B150='Event Report'!$C$3),ROW(),"")</f>
        <v/>
      </c>
      <c r="Y150">
        <f>IF(AND($P150="✓",$R150=""),IF($Q150="",90000,$Q150)+ROW()/100000,"")</f>
        <v/>
      </c>
      <c r="Z150">
        <f>IF(OR($U150&lt;&gt;"",$D150&lt;&gt;"",$E150&lt;&gt;"",$N150&lt;&gt;""),1,"")</f>
        <v/>
      </c>
    </row>
    <row r="151">
      <c r="A151" s="13" t="inlineStr">
        <is>
          <t>P-0147</t>
        </is>
      </c>
      <c r="B151" s="14">
        <f>IF(AND($U151="",$C151=""),"",IFERROR(INDEX(EvID,MATCH(INDEX(FormData,$W151,f_Event),EvID,0)),IFERROR(INDEX(EvID,MATCH(INDEX(FormData,$W151,f_Event),EvName,0)),IFERROR(INDEX(EvID,MATCH(INT($C151),EvDate,0)),""))))</f>
        <v/>
      </c>
      <c r="C151" s="15">
        <f>IF($W151="","",INDEX(FormData,$W151,f_Time))</f>
        <v/>
      </c>
      <c r="D151" s="14">
        <f>IF($W151="","",IFERROR(UPPER(LEFT(TRIM(INDEX(FormData,$W151,f_Name)),1)&amp;IFERROR(MID(TRIM(INDEX(FormData,$W151,f_Name)),FIND("^",SUBSTITUTE(TRIM(INDEX(FormData,$W151,f_Name))," ","^",LEN(TRIM(INDEX(FormData,$W151,f_Name)))-LEN(SUBSTITUTE(TRIM(INDEX(FormData,$W151,f_Name))," ",""))))+1,1),"")),""))</f>
        <v/>
      </c>
      <c r="E151" s="16">
        <f>IF($W151="","",IFERROR(IF(SUMPRODUCT(MAX((WhoKW&lt;&gt;"")*ISNUMBER(SEARCH(WhoKW,INDEX(FormData,$W151,f_Who)&amp;""))*(ROW(WhoKW)-MIN(ROW(WhoKW))+1)))=0,"",INDEX(WhoVal,SUMPRODUCT(MAX((WhoKW&lt;&gt;"")*ISNUMBER(SEARCH(WhoKW,INDEX(FormData,$W151,f_Who)&amp;""))*(ROW(WhoKW)-MIN(ROW(WhoKW))+1))))),""))</f>
        <v/>
      </c>
      <c r="F151" s="17">
        <f>IF($W151="","",TRIM(IFERROR(INDEX(FormData,$W151,f_Org1)&amp;"","")&amp;" "&amp;IFERROR(INDEX(FormData,$W151,f_Org2)&amp;"","")))</f>
        <v/>
      </c>
      <c r="G151" s="16">
        <f>IF($W151="","",IFERROR(INDEX(FormData,$W151,f_Region)&amp;"",""))</f>
        <v/>
      </c>
      <c r="H151" s="16">
        <f>IF($W151="","",IFERROR(IF(SUMPRODUCT(MAX((SitKW&lt;&gt;"")*ISNUMBER(SEARCH(SitKW,INDEX(FormData,$W151,f_Sit)&amp;""))*(ROW(SitKW)-MIN(ROW(SitKW))+1)))=0,"",INDEX(SitVal,SUMPRODUCT(MAX((SitKW&lt;&gt;"")*ISNUMBER(SEARCH(SitKW,INDEX(FormData,$W151,f_Sit)&amp;""))*(ROW(SitKW)-MIN(ROW(SitKW))+1))))),""))</f>
        <v/>
      </c>
      <c r="I151" s="14">
        <f>IF($W151="","",IFERROR(INDEX(FormData,$W151,f_Appr)&amp;"",""))</f>
        <v/>
      </c>
      <c r="J151" s="16">
        <f>IF($W151="","",IFERROR(INDEX(FormData,$W151,f_Trade)&amp;"",""))</f>
        <v/>
      </c>
      <c r="K151" s="16" t="n"/>
      <c r="L151" s="17" t="n"/>
      <c r="M151" s="16" t="n"/>
      <c r="N151" s="17" t="n"/>
      <c r="O151" s="14" t="n"/>
      <c r="P151" s="14" t="n"/>
      <c r="Q151" s="18" t="n"/>
      <c r="R151" s="18" t="n"/>
      <c r="S151" s="13">
        <f>IF($P151&lt;&gt;"✓","",IF($R151&lt;&gt;"","Done",IF($Q151="","Open — no date",IF($Q151&lt;TODAY(),"Overdue",IF($Q151-TODAY()&lt;=DueSoon,"Due soon","Scheduled")))))</f>
        <v/>
      </c>
      <c r="T151" s="14">
        <f>IF($W151="","",IFERROR(IF(INDEX(FormData,$W151,f_Consent)&amp;""="","",IF(ISNUMBER(SEARCH("yes",INDEX(FormData,$W151,f_Consent))),"Yes","No")),""))</f>
        <v/>
      </c>
      <c r="U151" s="14" t="n"/>
      <c r="V151" s="13">
        <f>IF($U151="","",IF($W151="","not found","✓"))</f>
        <v/>
      </c>
      <c r="W151">
        <f>IF($U151="","",IFERROR(MATCH($U151,INDEX(FormData,0,f_Id),0),IFERROR(MATCH(--$U151,INDEX(FormData,0,f_Id),0),IFERROR(MATCH($U151&amp;"",INDEX(FormData,0,f_Id),0),""))))</f>
        <v/>
      </c>
      <c r="X151">
        <f>IF(AND($B151&lt;&gt;"",$B151='Event Report'!$C$3),ROW(),"")</f>
        <v/>
      </c>
      <c r="Y151">
        <f>IF(AND($P151="✓",$R151=""),IF($Q151="",90000,$Q151)+ROW()/100000,"")</f>
        <v/>
      </c>
      <c r="Z151">
        <f>IF(OR($U151&lt;&gt;"",$D151&lt;&gt;"",$E151&lt;&gt;"",$N151&lt;&gt;""),1,"")</f>
        <v/>
      </c>
    </row>
    <row r="152">
      <c r="A152" s="13" t="inlineStr">
        <is>
          <t>P-0148</t>
        </is>
      </c>
      <c r="B152" s="14">
        <f>IF(AND($U152="",$C152=""),"",IFERROR(INDEX(EvID,MATCH(INDEX(FormData,$W152,f_Event),EvID,0)),IFERROR(INDEX(EvID,MATCH(INDEX(FormData,$W152,f_Event),EvName,0)),IFERROR(INDEX(EvID,MATCH(INT($C152),EvDate,0)),""))))</f>
        <v/>
      </c>
      <c r="C152" s="15">
        <f>IF($W152="","",INDEX(FormData,$W152,f_Time))</f>
        <v/>
      </c>
      <c r="D152" s="14">
        <f>IF($W152="","",IFERROR(UPPER(LEFT(TRIM(INDEX(FormData,$W152,f_Name)),1)&amp;IFERROR(MID(TRIM(INDEX(FormData,$W152,f_Name)),FIND("^",SUBSTITUTE(TRIM(INDEX(FormData,$W152,f_Name))," ","^",LEN(TRIM(INDEX(FormData,$W152,f_Name)))-LEN(SUBSTITUTE(TRIM(INDEX(FormData,$W152,f_Name))," ",""))))+1,1),"")),""))</f>
        <v/>
      </c>
      <c r="E152" s="16">
        <f>IF($W152="","",IFERROR(IF(SUMPRODUCT(MAX((WhoKW&lt;&gt;"")*ISNUMBER(SEARCH(WhoKW,INDEX(FormData,$W152,f_Who)&amp;""))*(ROW(WhoKW)-MIN(ROW(WhoKW))+1)))=0,"",INDEX(WhoVal,SUMPRODUCT(MAX((WhoKW&lt;&gt;"")*ISNUMBER(SEARCH(WhoKW,INDEX(FormData,$W152,f_Who)&amp;""))*(ROW(WhoKW)-MIN(ROW(WhoKW))+1))))),""))</f>
        <v/>
      </c>
      <c r="F152" s="17">
        <f>IF($W152="","",TRIM(IFERROR(INDEX(FormData,$W152,f_Org1)&amp;"","")&amp;" "&amp;IFERROR(INDEX(FormData,$W152,f_Org2)&amp;"","")))</f>
        <v/>
      </c>
      <c r="G152" s="16">
        <f>IF($W152="","",IFERROR(INDEX(FormData,$W152,f_Region)&amp;"",""))</f>
        <v/>
      </c>
      <c r="H152" s="16">
        <f>IF($W152="","",IFERROR(IF(SUMPRODUCT(MAX((SitKW&lt;&gt;"")*ISNUMBER(SEARCH(SitKW,INDEX(FormData,$W152,f_Sit)&amp;""))*(ROW(SitKW)-MIN(ROW(SitKW))+1)))=0,"",INDEX(SitVal,SUMPRODUCT(MAX((SitKW&lt;&gt;"")*ISNUMBER(SEARCH(SitKW,INDEX(FormData,$W152,f_Sit)&amp;""))*(ROW(SitKW)-MIN(ROW(SitKW))+1))))),""))</f>
        <v/>
      </c>
      <c r="I152" s="14">
        <f>IF($W152="","",IFERROR(INDEX(FormData,$W152,f_Appr)&amp;"",""))</f>
        <v/>
      </c>
      <c r="J152" s="16">
        <f>IF($W152="","",IFERROR(INDEX(FormData,$W152,f_Trade)&amp;"",""))</f>
        <v/>
      </c>
      <c r="K152" s="16" t="n"/>
      <c r="L152" s="17" t="n"/>
      <c r="M152" s="16" t="n"/>
      <c r="N152" s="17" t="n"/>
      <c r="O152" s="14" t="n"/>
      <c r="P152" s="14" t="n"/>
      <c r="Q152" s="18" t="n"/>
      <c r="R152" s="18" t="n"/>
      <c r="S152" s="13">
        <f>IF($P152&lt;&gt;"✓","",IF($R152&lt;&gt;"","Done",IF($Q152="","Open — no date",IF($Q152&lt;TODAY(),"Overdue",IF($Q152-TODAY()&lt;=DueSoon,"Due soon","Scheduled")))))</f>
        <v/>
      </c>
      <c r="T152" s="14">
        <f>IF($W152="","",IFERROR(IF(INDEX(FormData,$W152,f_Consent)&amp;""="","",IF(ISNUMBER(SEARCH("yes",INDEX(FormData,$W152,f_Consent))),"Yes","No")),""))</f>
        <v/>
      </c>
      <c r="U152" s="14" t="n"/>
      <c r="V152" s="13">
        <f>IF($U152="","",IF($W152="","not found","✓"))</f>
        <v/>
      </c>
      <c r="W152">
        <f>IF($U152="","",IFERROR(MATCH($U152,INDEX(FormData,0,f_Id),0),IFERROR(MATCH(--$U152,INDEX(FormData,0,f_Id),0),IFERROR(MATCH($U152&amp;"",INDEX(FormData,0,f_Id),0),""))))</f>
        <v/>
      </c>
      <c r="X152">
        <f>IF(AND($B152&lt;&gt;"",$B152='Event Report'!$C$3),ROW(),"")</f>
        <v/>
      </c>
      <c r="Y152">
        <f>IF(AND($P152="✓",$R152=""),IF($Q152="",90000,$Q152)+ROW()/100000,"")</f>
        <v/>
      </c>
      <c r="Z152">
        <f>IF(OR($U152&lt;&gt;"",$D152&lt;&gt;"",$E152&lt;&gt;"",$N152&lt;&gt;""),1,"")</f>
        <v/>
      </c>
    </row>
    <row r="153">
      <c r="A153" s="13" t="inlineStr">
        <is>
          <t>P-0149</t>
        </is>
      </c>
      <c r="B153" s="14">
        <f>IF(AND($U153="",$C153=""),"",IFERROR(INDEX(EvID,MATCH(INDEX(FormData,$W153,f_Event),EvID,0)),IFERROR(INDEX(EvID,MATCH(INDEX(FormData,$W153,f_Event),EvName,0)),IFERROR(INDEX(EvID,MATCH(INT($C153),EvDate,0)),""))))</f>
        <v/>
      </c>
      <c r="C153" s="15">
        <f>IF($W153="","",INDEX(FormData,$W153,f_Time))</f>
        <v/>
      </c>
      <c r="D153" s="14">
        <f>IF($W153="","",IFERROR(UPPER(LEFT(TRIM(INDEX(FormData,$W153,f_Name)),1)&amp;IFERROR(MID(TRIM(INDEX(FormData,$W153,f_Name)),FIND("^",SUBSTITUTE(TRIM(INDEX(FormData,$W153,f_Name))," ","^",LEN(TRIM(INDEX(FormData,$W153,f_Name)))-LEN(SUBSTITUTE(TRIM(INDEX(FormData,$W153,f_Name))," ",""))))+1,1),"")),""))</f>
        <v/>
      </c>
      <c r="E153" s="16">
        <f>IF($W153="","",IFERROR(IF(SUMPRODUCT(MAX((WhoKW&lt;&gt;"")*ISNUMBER(SEARCH(WhoKW,INDEX(FormData,$W153,f_Who)&amp;""))*(ROW(WhoKW)-MIN(ROW(WhoKW))+1)))=0,"",INDEX(WhoVal,SUMPRODUCT(MAX((WhoKW&lt;&gt;"")*ISNUMBER(SEARCH(WhoKW,INDEX(FormData,$W153,f_Who)&amp;""))*(ROW(WhoKW)-MIN(ROW(WhoKW))+1))))),""))</f>
        <v/>
      </c>
      <c r="F153" s="17">
        <f>IF($W153="","",TRIM(IFERROR(INDEX(FormData,$W153,f_Org1)&amp;"","")&amp;" "&amp;IFERROR(INDEX(FormData,$W153,f_Org2)&amp;"","")))</f>
        <v/>
      </c>
      <c r="G153" s="16">
        <f>IF($W153="","",IFERROR(INDEX(FormData,$W153,f_Region)&amp;"",""))</f>
        <v/>
      </c>
      <c r="H153" s="16">
        <f>IF($W153="","",IFERROR(IF(SUMPRODUCT(MAX((SitKW&lt;&gt;"")*ISNUMBER(SEARCH(SitKW,INDEX(FormData,$W153,f_Sit)&amp;""))*(ROW(SitKW)-MIN(ROW(SitKW))+1)))=0,"",INDEX(SitVal,SUMPRODUCT(MAX((SitKW&lt;&gt;"")*ISNUMBER(SEARCH(SitKW,INDEX(FormData,$W153,f_Sit)&amp;""))*(ROW(SitKW)-MIN(ROW(SitKW))+1))))),""))</f>
        <v/>
      </c>
      <c r="I153" s="14">
        <f>IF($W153="","",IFERROR(INDEX(FormData,$W153,f_Appr)&amp;"",""))</f>
        <v/>
      </c>
      <c r="J153" s="16">
        <f>IF($W153="","",IFERROR(INDEX(FormData,$W153,f_Trade)&amp;"",""))</f>
        <v/>
      </c>
      <c r="K153" s="16" t="n"/>
      <c r="L153" s="17" t="n"/>
      <c r="M153" s="16" t="n"/>
      <c r="N153" s="17" t="n"/>
      <c r="O153" s="14" t="n"/>
      <c r="P153" s="14" t="n"/>
      <c r="Q153" s="18" t="n"/>
      <c r="R153" s="18" t="n"/>
      <c r="S153" s="13">
        <f>IF($P153&lt;&gt;"✓","",IF($R153&lt;&gt;"","Done",IF($Q153="","Open — no date",IF($Q153&lt;TODAY(),"Overdue",IF($Q153-TODAY()&lt;=DueSoon,"Due soon","Scheduled")))))</f>
        <v/>
      </c>
      <c r="T153" s="14">
        <f>IF($W153="","",IFERROR(IF(INDEX(FormData,$W153,f_Consent)&amp;""="","",IF(ISNUMBER(SEARCH("yes",INDEX(FormData,$W153,f_Consent))),"Yes","No")),""))</f>
        <v/>
      </c>
      <c r="U153" s="14" t="n"/>
      <c r="V153" s="13">
        <f>IF($U153="","",IF($W153="","not found","✓"))</f>
        <v/>
      </c>
      <c r="W153">
        <f>IF($U153="","",IFERROR(MATCH($U153,INDEX(FormData,0,f_Id),0),IFERROR(MATCH(--$U153,INDEX(FormData,0,f_Id),0),IFERROR(MATCH($U153&amp;"",INDEX(FormData,0,f_Id),0),""))))</f>
        <v/>
      </c>
      <c r="X153">
        <f>IF(AND($B153&lt;&gt;"",$B153='Event Report'!$C$3),ROW(),"")</f>
        <v/>
      </c>
      <c r="Y153">
        <f>IF(AND($P153="✓",$R153=""),IF($Q153="",90000,$Q153)+ROW()/100000,"")</f>
        <v/>
      </c>
      <c r="Z153">
        <f>IF(OR($U153&lt;&gt;"",$D153&lt;&gt;"",$E153&lt;&gt;"",$N153&lt;&gt;""),1,"")</f>
        <v/>
      </c>
    </row>
    <row r="154">
      <c r="A154" s="13" t="inlineStr">
        <is>
          <t>P-0150</t>
        </is>
      </c>
      <c r="B154" s="14">
        <f>IF(AND($U154="",$C154=""),"",IFERROR(INDEX(EvID,MATCH(INDEX(FormData,$W154,f_Event),EvID,0)),IFERROR(INDEX(EvID,MATCH(INDEX(FormData,$W154,f_Event),EvName,0)),IFERROR(INDEX(EvID,MATCH(INT($C154),EvDate,0)),""))))</f>
        <v/>
      </c>
      <c r="C154" s="15">
        <f>IF($W154="","",INDEX(FormData,$W154,f_Time))</f>
        <v/>
      </c>
      <c r="D154" s="14">
        <f>IF($W154="","",IFERROR(UPPER(LEFT(TRIM(INDEX(FormData,$W154,f_Name)),1)&amp;IFERROR(MID(TRIM(INDEX(FormData,$W154,f_Name)),FIND("^",SUBSTITUTE(TRIM(INDEX(FormData,$W154,f_Name))," ","^",LEN(TRIM(INDEX(FormData,$W154,f_Name)))-LEN(SUBSTITUTE(TRIM(INDEX(FormData,$W154,f_Name))," ",""))))+1,1),"")),""))</f>
        <v/>
      </c>
      <c r="E154" s="16">
        <f>IF($W154="","",IFERROR(IF(SUMPRODUCT(MAX((WhoKW&lt;&gt;"")*ISNUMBER(SEARCH(WhoKW,INDEX(FormData,$W154,f_Who)&amp;""))*(ROW(WhoKW)-MIN(ROW(WhoKW))+1)))=0,"",INDEX(WhoVal,SUMPRODUCT(MAX((WhoKW&lt;&gt;"")*ISNUMBER(SEARCH(WhoKW,INDEX(FormData,$W154,f_Who)&amp;""))*(ROW(WhoKW)-MIN(ROW(WhoKW))+1))))),""))</f>
        <v/>
      </c>
      <c r="F154" s="17">
        <f>IF($W154="","",TRIM(IFERROR(INDEX(FormData,$W154,f_Org1)&amp;"","")&amp;" "&amp;IFERROR(INDEX(FormData,$W154,f_Org2)&amp;"","")))</f>
        <v/>
      </c>
      <c r="G154" s="16">
        <f>IF($W154="","",IFERROR(INDEX(FormData,$W154,f_Region)&amp;"",""))</f>
        <v/>
      </c>
      <c r="H154" s="16">
        <f>IF($W154="","",IFERROR(IF(SUMPRODUCT(MAX((SitKW&lt;&gt;"")*ISNUMBER(SEARCH(SitKW,INDEX(FormData,$W154,f_Sit)&amp;""))*(ROW(SitKW)-MIN(ROW(SitKW))+1)))=0,"",INDEX(SitVal,SUMPRODUCT(MAX((SitKW&lt;&gt;"")*ISNUMBER(SEARCH(SitKW,INDEX(FormData,$W154,f_Sit)&amp;""))*(ROW(SitKW)-MIN(ROW(SitKW))+1))))),""))</f>
        <v/>
      </c>
      <c r="I154" s="14">
        <f>IF($W154="","",IFERROR(INDEX(FormData,$W154,f_Appr)&amp;"",""))</f>
        <v/>
      </c>
      <c r="J154" s="16">
        <f>IF($W154="","",IFERROR(INDEX(FormData,$W154,f_Trade)&amp;"",""))</f>
        <v/>
      </c>
      <c r="K154" s="16" t="n"/>
      <c r="L154" s="17" t="n"/>
      <c r="M154" s="16" t="n"/>
      <c r="N154" s="17" t="n"/>
      <c r="O154" s="14" t="n"/>
      <c r="P154" s="14" t="n"/>
      <c r="Q154" s="18" t="n"/>
      <c r="R154" s="18" t="n"/>
      <c r="S154" s="13">
        <f>IF($P154&lt;&gt;"✓","",IF($R154&lt;&gt;"","Done",IF($Q154="","Open — no date",IF($Q154&lt;TODAY(),"Overdue",IF($Q154-TODAY()&lt;=DueSoon,"Due soon","Scheduled")))))</f>
        <v/>
      </c>
      <c r="T154" s="14">
        <f>IF($W154="","",IFERROR(IF(INDEX(FormData,$W154,f_Consent)&amp;""="","",IF(ISNUMBER(SEARCH("yes",INDEX(FormData,$W154,f_Consent))),"Yes","No")),""))</f>
        <v/>
      </c>
      <c r="U154" s="14" t="n"/>
      <c r="V154" s="13">
        <f>IF($U154="","",IF($W154="","not found","✓"))</f>
        <v/>
      </c>
      <c r="W154">
        <f>IF($U154="","",IFERROR(MATCH($U154,INDEX(FormData,0,f_Id),0),IFERROR(MATCH(--$U154,INDEX(FormData,0,f_Id),0),IFERROR(MATCH($U154&amp;"",INDEX(FormData,0,f_Id),0),""))))</f>
        <v/>
      </c>
      <c r="X154">
        <f>IF(AND($B154&lt;&gt;"",$B154='Event Report'!$C$3),ROW(),"")</f>
        <v/>
      </c>
      <c r="Y154">
        <f>IF(AND($P154="✓",$R154=""),IF($Q154="",90000,$Q154)+ROW()/100000,"")</f>
        <v/>
      </c>
      <c r="Z154">
        <f>IF(OR($U154&lt;&gt;"",$D154&lt;&gt;"",$E154&lt;&gt;"",$N154&lt;&gt;""),1,"")</f>
        <v/>
      </c>
    </row>
    <row r="155">
      <c r="A155" s="13" t="inlineStr">
        <is>
          <t>P-0151</t>
        </is>
      </c>
      <c r="B155" s="14">
        <f>IF(AND($U155="",$C155=""),"",IFERROR(INDEX(EvID,MATCH(INDEX(FormData,$W155,f_Event),EvID,0)),IFERROR(INDEX(EvID,MATCH(INDEX(FormData,$W155,f_Event),EvName,0)),IFERROR(INDEX(EvID,MATCH(INT($C155),EvDate,0)),""))))</f>
        <v/>
      </c>
      <c r="C155" s="15">
        <f>IF($W155="","",INDEX(FormData,$W155,f_Time))</f>
        <v/>
      </c>
      <c r="D155" s="14">
        <f>IF($W155="","",IFERROR(UPPER(LEFT(TRIM(INDEX(FormData,$W155,f_Name)),1)&amp;IFERROR(MID(TRIM(INDEX(FormData,$W155,f_Name)),FIND("^",SUBSTITUTE(TRIM(INDEX(FormData,$W155,f_Name))," ","^",LEN(TRIM(INDEX(FormData,$W155,f_Name)))-LEN(SUBSTITUTE(TRIM(INDEX(FormData,$W155,f_Name))," ",""))))+1,1),"")),""))</f>
        <v/>
      </c>
      <c r="E155" s="16">
        <f>IF($W155="","",IFERROR(IF(SUMPRODUCT(MAX((WhoKW&lt;&gt;"")*ISNUMBER(SEARCH(WhoKW,INDEX(FormData,$W155,f_Who)&amp;""))*(ROW(WhoKW)-MIN(ROW(WhoKW))+1)))=0,"",INDEX(WhoVal,SUMPRODUCT(MAX((WhoKW&lt;&gt;"")*ISNUMBER(SEARCH(WhoKW,INDEX(FormData,$W155,f_Who)&amp;""))*(ROW(WhoKW)-MIN(ROW(WhoKW))+1))))),""))</f>
        <v/>
      </c>
      <c r="F155" s="17">
        <f>IF($W155="","",TRIM(IFERROR(INDEX(FormData,$W155,f_Org1)&amp;"","")&amp;" "&amp;IFERROR(INDEX(FormData,$W155,f_Org2)&amp;"","")))</f>
        <v/>
      </c>
      <c r="G155" s="16">
        <f>IF($W155="","",IFERROR(INDEX(FormData,$W155,f_Region)&amp;"",""))</f>
        <v/>
      </c>
      <c r="H155" s="16">
        <f>IF($W155="","",IFERROR(IF(SUMPRODUCT(MAX((SitKW&lt;&gt;"")*ISNUMBER(SEARCH(SitKW,INDEX(FormData,$W155,f_Sit)&amp;""))*(ROW(SitKW)-MIN(ROW(SitKW))+1)))=0,"",INDEX(SitVal,SUMPRODUCT(MAX((SitKW&lt;&gt;"")*ISNUMBER(SEARCH(SitKW,INDEX(FormData,$W155,f_Sit)&amp;""))*(ROW(SitKW)-MIN(ROW(SitKW))+1))))),""))</f>
        <v/>
      </c>
      <c r="I155" s="14">
        <f>IF($W155="","",IFERROR(INDEX(FormData,$W155,f_Appr)&amp;"",""))</f>
        <v/>
      </c>
      <c r="J155" s="16">
        <f>IF($W155="","",IFERROR(INDEX(FormData,$W155,f_Trade)&amp;"",""))</f>
        <v/>
      </c>
      <c r="K155" s="16" t="n"/>
      <c r="L155" s="17" t="n"/>
      <c r="M155" s="16" t="n"/>
      <c r="N155" s="17" t="n"/>
      <c r="O155" s="14" t="n"/>
      <c r="P155" s="14" t="n"/>
      <c r="Q155" s="18" t="n"/>
      <c r="R155" s="18" t="n"/>
      <c r="S155" s="13">
        <f>IF($P155&lt;&gt;"✓","",IF($R155&lt;&gt;"","Done",IF($Q155="","Open — no date",IF($Q155&lt;TODAY(),"Overdue",IF($Q155-TODAY()&lt;=DueSoon,"Due soon","Scheduled")))))</f>
        <v/>
      </c>
      <c r="T155" s="14">
        <f>IF($W155="","",IFERROR(IF(INDEX(FormData,$W155,f_Consent)&amp;""="","",IF(ISNUMBER(SEARCH("yes",INDEX(FormData,$W155,f_Consent))),"Yes","No")),""))</f>
        <v/>
      </c>
      <c r="U155" s="14" t="n"/>
      <c r="V155" s="13">
        <f>IF($U155="","",IF($W155="","not found","✓"))</f>
        <v/>
      </c>
      <c r="W155">
        <f>IF($U155="","",IFERROR(MATCH($U155,INDEX(FormData,0,f_Id),0),IFERROR(MATCH(--$U155,INDEX(FormData,0,f_Id),0),IFERROR(MATCH($U155&amp;"",INDEX(FormData,0,f_Id),0),""))))</f>
        <v/>
      </c>
      <c r="X155">
        <f>IF(AND($B155&lt;&gt;"",$B155='Event Report'!$C$3),ROW(),"")</f>
        <v/>
      </c>
      <c r="Y155">
        <f>IF(AND($P155="✓",$R155=""),IF($Q155="",90000,$Q155)+ROW()/100000,"")</f>
        <v/>
      </c>
      <c r="Z155">
        <f>IF(OR($U155&lt;&gt;"",$D155&lt;&gt;"",$E155&lt;&gt;"",$N155&lt;&gt;""),1,"")</f>
        <v/>
      </c>
    </row>
    <row r="156">
      <c r="A156" s="13" t="inlineStr">
        <is>
          <t>P-0152</t>
        </is>
      </c>
      <c r="B156" s="14">
        <f>IF(AND($U156="",$C156=""),"",IFERROR(INDEX(EvID,MATCH(INDEX(FormData,$W156,f_Event),EvID,0)),IFERROR(INDEX(EvID,MATCH(INDEX(FormData,$W156,f_Event),EvName,0)),IFERROR(INDEX(EvID,MATCH(INT($C156),EvDate,0)),""))))</f>
        <v/>
      </c>
      <c r="C156" s="15">
        <f>IF($W156="","",INDEX(FormData,$W156,f_Time))</f>
        <v/>
      </c>
      <c r="D156" s="14">
        <f>IF($W156="","",IFERROR(UPPER(LEFT(TRIM(INDEX(FormData,$W156,f_Name)),1)&amp;IFERROR(MID(TRIM(INDEX(FormData,$W156,f_Name)),FIND("^",SUBSTITUTE(TRIM(INDEX(FormData,$W156,f_Name))," ","^",LEN(TRIM(INDEX(FormData,$W156,f_Name)))-LEN(SUBSTITUTE(TRIM(INDEX(FormData,$W156,f_Name))," ",""))))+1,1),"")),""))</f>
        <v/>
      </c>
      <c r="E156" s="16">
        <f>IF($W156="","",IFERROR(IF(SUMPRODUCT(MAX((WhoKW&lt;&gt;"")*ISNUMBER(SEARCH(WhoKW,INDEX(FormData,$W156,f_Who)&amp;""))*(ROW(WhoKW)-MIN(ROW(WhoKW))+1)))=0,"",INDEX(WhoVal,SUMPRODUCT(MAX((WhoKW&lt;&gt;"")*ISNUMBER(SEARCH(WhoKW,INDEX(FormData,$W156,f_Who)&amp;""))*(ROW(WhoKW)-MIN(ROW(WhoKW))+1))))),""))</f>
        <v/>
      </c>
      <c r="F156" s="17">
        <f>IF($W156="","",TRIM(IFERROR(INDEX(FormData,$W156,f_Org1)&amp;"","")&amp;" "&amp;IFERROR(INDEX(FormData,$W156,f_Org2)&amp;"","")))</f>
        <v/>
      </c>
      <c r="G156" s="16">
        <f>IF($W156="","",IFERROR(INDEX(FormData,$W156,f_Region)&amp;"",""))</f>
        <v/>
      </c>
      <c r="H156" s="16">
        <f>IF($W156="","",IFERROR(IF(SUMPRODUCT(MAX((SitKW&lt;&gt;"")*ISNUMBER(SEARCH(SitKW,INDEX(FormData,$W156,f_Sit)&amp;""))*(ROW(SitKW)-MIN(ROW(SitKW))+1)))=0,"",INDEX(SitVal,SUMPRODUCT(MAX((SitKW&lt;&gt;"")*ISNUMBER(SEARCH(SitKW,INDEX(FormData,$W156,f_Sit)&amp;""))*(ROW(SitKW)-MIN(ROW(SitKW))+1))))),""))</f>
        <v/>
      </c>
      <c r="I156" s="14">
        <f>IF($W156="","",IFERROR(INDEX(FormData,$W156,f_Appr)&amp;"",""))</f>
        <v/>
      </c>
      <c r="J156" s="16">
        <f>IF($W156="","",IFERROR(INDEX(FormData,$W156,f_Trade)&amp;"",""))</f>
        <v/>
      </c>
      <c r="K156" s="16" t="n"/>
      <c r="L156" s="17" t="n"/>
      <c r="M156" s="16" t="n"/>
      <c r="N156" s="17" t="n"/>
      <c r="O156" s="14" t="n"/>
      <c r="P156" s="14" t="n"/>
      <c r="Q156" s="18" t="n"/>
      <c r="R156" s="18" t="n"/>
      <c r="S156" s="13">
        <f>IF($P156&lt;&gt;"✓","",IF($R156&lt;&gt;"","Done",IF($Q156="","Open — no date",IF($Q156&lt;TODAY(),"Overdue",IF($Q156-TODAY()&lt;=DueSoon,"Due soon","Scheduled")))))</f>
        <v/>
      </c>
      <c r="T156" s="14">
        <f>IF($W156="","",IFERROR(IF(INDEX(FormData,$W156,f_Consent)&amp;""="","",IF(ISNUMBER(SEARCH("yes",INDEX(FormData,$W156,f_Consent))),"Yes","No")),""))</f>
        <v/>
      </c>
      <c r="U156" s="14" t="n"/>
      <c r="V156" s="13">
        <f>IF($U156="","",IF($W156="","not found","✓"))</f>
        <v/>
      </c>
      <c r="W156">
        <f>IF($U156="","",IFERROR(MATCH($U156,INDEX(FormData,0,f_Id),0),IFERROR(MATCH(--$U156,INDEX(FormData,0,f_Id),0),IFERROR(MATCH($U156&amp;"",INDEX(FormData,0,f_Id),0),""))))</f>
        <v/>
      </c>
      <c r="X156">
        <f>IF(AND($B156&lt;&gt;"",$B156='Event Report'!$C$3),ROW(),"")</f>
        <v/>
      </c>
      <c r="Y156">
        <f>IF(AND($P156="✓",$R156=""),IF($Q156="",90000,$Q156)+ROW()/100000,"")</f>
        <v/>
      </c>
      <c r="Z156">
        <f>IF(OR($U156&lt;&gt;"",$D156&lt;&gt;"",$E156&lt;&gt;"",$N156&lt;&gt;""),1,"")</f>
        <v/>
      </c>
    </row>
    <row r="157">
      <c r="A157" s="13" t="inlineStr">
        <is>
          <t>P-0153</t>
        </is>
      </c>
      <c r="B157" s="14">
        <f>IF(AND($U157="",$C157=""),"",IFERROR(INDEX(EvID,MATCH(INDEX(FormData,$W157,f_Event),EvID,0)),IFERROR(INDEX(EvID,MATCH(INDEX(FormData,$W157,f_Event),EvName,0)),IFERROR(INDEX(EvID,MATCH(INT($C157),EvDate,0)),""))))</f>
        <v/>
      </c>
      <c r="C157" s="15">
        <f>IF($W157="","",INDEX(FormData,$W157,f_Time))</f>
        <v/>
      </c>
      <c r="D157" s="14">
        <f>IF($W157="","",IFERROR(UPPER(LEFT(TRIM(INDEX(FormData,$W157,f_Name)),1)&amp;IFERROR(MID(TRIM(INDEX(FormData,$W157,f_Name)),FIND("^",SUBSTITUTE(TRIM(INDEX(FormData,$W157,f_Name))," ","^",LEN(TRIM(INDEX(FormData,$W157,f_Name)))-LEN(SUBSTITUTE(TRIM(INDEX(FormData,$W157,f_Name))," ",""))))+1,1),"")),""))</f>
        <v/>
      </c>
      <c r="E157" s="16">
        <f>IF($W157="","",IFERROR(IF(SUMPRODUCT(MAX((WhoKW&lt;&gt;"")*ISNUMBER(SEARCH(WhoKW,INDEX(FormData,$W157,f_Who)&amp;""))*(ROW(WhoKW)-MIN(ROW(WhoKW))+1)))=0,"",INDEX(WhoVal,SUMPRODUCT(MAX((WhoKW&lt;&gt;"")*ISNUMBER(SEARCH(WhoKW,INDEX(FormData,$W157,f_Who)&amp;""))*(ROW(WhoKW)-MIN(ROW(WhoKW))+1))))),""))</f>
        <v/>
      </c>
      <c r="F157" s="17">
        <f>IF($W157="","",TRIM(IFERROR(INDEX(FormData,$W157,f_Org1)&amp;"","")&amp;" "&amp;IFERROR(INDEX(FormData,$W157,f_Org2)&amp;"","")))</f>
        <v/>
      </c>
      <c r="G157" s="16">
        <f>IF($W157="","",IFERROR(INDEX(FormData,$W157,f_Region)&amp;"",""))</f>
        <v/>
      </c>
      <c r="H157" s="16">
        <f>IF($W157="","",IFERROR(IF(SUMPRODUCT(MAX((SitKW&lt;&gt;"")*ISNUMBER(SEARCH(SitKW,INDEX(FormData,$W157,f_Sit)&amp;""))*(ROW(SitKW)-MIN(ROW(SitKW))+1)))=0,"",INDEX(SitVal,SUMPRODUCT(MAX((SitKW&lt;&gt;"")*ISNUMBER(SEARCH(SitKW,INDEX(FormData,$W157,f_Sit)&amp;""))*(ROW(SitKW)-MIN(ROW(SitKW))+1))))),""))</f>
        <v/>
      </c>
      <c r="I157" s="14">
        <f>IF($W157="","",IFERROR(INDEX(FormData,$W157,f_Appr)&amp;"",""))</f>
        <v/>
      </c>
      <c r="J157" s="16">
        <f>IF($W157="","",IFERROR(INDEX(FormData,$W157,f_Trade)&amp;"",""))</f>
        <v/>
      </c>
      <c r="K157" s="16" t="n"/>
      <c r="L157" s="17" t="n"/>
      <c r="M157" s="16" t="n"/>
      <c r="N157" s="17" t="n"/>
      <c r="O157" s="14" t="n"/>
      <c r="P157" s="14" t="n"/>
      <c r="Q157" s="18" t="n"/>
      <c r="R157" s="18" t="n"/>
      <c r="S157" s="13">
        <f>IF($P157&lt;&gt;"✓","",IF($R157&lt;&gt;"","Done",IF($Q157="","Open — no date",IF($Q157&lt;TODAY(),"Overdue",IF($Q157-TODAY()&lt;=DueSoon,"Due soon","Scheduled")))))</f>
        <v/>
      </c>
      <c r="T157" s="14">
        <f>IF($W157="","",IFERROR(IF(INDEX(FormData,$W157,f_Consent)&amp;""="","",IF(ISNUMBER(SEARCH("yes",INDEX(FormData,$W157,f_Consent))),"Yes","No")),""))</f>
        <v/>
      </c>
      <c r="U157" s="14" t="n"/>
      <c r="V157" s="13">
        <f>IF($U157="","",IF($W157="","not found","✓"))</f>
        <v/>
      </c>
      <c r="W157">
        <f>IF($U157="","",IFERROR(MATCH($U157,INDEX(FormData,0,f_Id),0),IFERROR(MATCH(--$U157,INDEX(FormData,0,f_Id),0),IFERROR(MATCH($U157&amp;"",INDEX(FormData,0,f_Id),0),""))))</f>
        <v/>
      </c>
      <c r="X157">
        <f>IF(AND($B157&lt;&gt;"",$B157='Event Report'!$C$3),ROW(),"")</f>
        <v/>
      </c>
      <c r="Y157">
        <f>IF(AND($P157="✓",$R157=""),IF($Q157="",90000,$Q157)+ROW()/100000,"")</f>
        <v/>
      </c>
      <c r="Z157">
        <f>IF(OR($U157&lt;&gt;"",$D157&lt;&gt;"",$E157&lt;&gt;"",$N157&lt;&gt;""),1,"")</f>
        <v/>
      </c>
    </row>
    <row r="158">
      <c r="A158" s="13" t="inlineStr">
        <is>
          <t>P-0154</t>
        </is>
      </c>
      <c r="B158" s="14">
        <f>IF(AND($U158="",$C158=""),"",IFERROR(INDEX(EvID,MATCH(INDEX(FormData,$W158,f_Event),EvID,0)),IFERROR(INDEX(EvID,MATCH(INDEX(FormData,$W158,f_Event),EvName,0)),IFERROR(INDEX(EvID,MATCH(INT($C158),EvDate,0)),""))))</f>
        <v/>
      </c>
      <c r="C158" s="15">
        <f>IF($W158="","",INDEX(FormData,$W158,f_Time))</f>
        <v/>
      </c>
      <c r="D158" s="14">
        <f>IF($W158="","",IFERROR(UPPER(LEFT(TRIM(INDEX(FormData,$W158,f_Name)),1)&amp;IFERROR(MID(TRIM(INDEX(FormData,$W158,f_Name)),FIND("^",SUBSTITUTE(TRIM(INDEX(FormData,$W158,f_Name))," ","^",LEN(TRIM(INDEX(FormData,$W158,f_Name)))-LEN(SUBSTITUTE(TRIM(INDEX(FormData,$W158,f_Name))," ",""))))+1,1),"")),""))</f>
        <v/>
      </c>
      <c r="E158" s="16">
        <f>IF($W158="","",IFERROR(IF(SUMPRODUCT(MAX((WhoKW&lt;&gt;"")*ISNUMBER(SEARCH(WhoKW,INDEX(FormData,$W158,f_Who)&amp;""))*(ROW(WhoKW)-MIN(ROW(WhoKW))+1)))=0,"",INDEX(WhoVal,SUMPRODUCT(MAX((WhoKW&lt;&gt;"")*ISNUMBER(SEARCH(WhoKW,INDEX(FormData,$W158,f_Who)&amp;""))*(ROW(WhoKW)-MIN(ROW(WhoKW))+1))))),""))</f>
        <v/>
      </c>
      <c r="F158" s="17">
        <f>IF($W158="","",TRIM(IFERROR(INDEX(FormData,$W158,f_Org1)&amp;"","")&amp;" "&amp;IFERROR(INDEX(FormData,$W158,f_Org2)&amp;"","")))</f>
        <v/>
      </c>
      <c r="G158" s="16">
        <f>IF($W158="","",IFERROR(INDEX(FormData,$W158,f_Region)&amp;"",""))</f>
        <v/>
      </c>
      <c r="H158" s="16">
        <f>IF($W158="","",IFERROR(IF(SUMPRODUCT(MAX((SitKW&lt;&gt;"")*ISNUMBER(SEARCH(SitKW,INDEX(FormData,$W158,f_Sit)&amp;""))*(ROW(SitKW)-MIN(ROW(SitKW))+1)))=0,"",INDEX(SitVal,SUMPRODUCT(MAX((SitKW&lt;&gt;"")*ISNUMBER(SEARCH(SitKW,INDEX(FormData,$W158,f_Sit)&amp;""))*(ROW(SitKW)-MIN(ROW(SitKW))+1))))),""))</f>
        <v/>
      </c>
      <c r="I158" s="14">
        <f>IF($W158="","",IFERROR(INDEX(FormData,$W158,f_Appr)&amp;"",""))</f>
        <v/>
      </c>
      <c r="J158" s="16">
        <f>IF($W158="","",IFERROR(INDEX(FormData,$W158,f_Trade)&amp;"",""))</f>
        <v/>
      </c>
      <c r="K158" s="16" t="n"/>
      <c r="L158" s="17" t="n"/>
      <c r="M158" s="16" t="n"/>
      <c r="N158" s="17" t="n"/>
      <c r="O158" s="14" t="n"/>
      <c r="P158" s="14" t="n"/>
      <c r="Q158" s="18" t="n"/>
      <c r="R158" s="18" t="n"/>
      <c r="S158" s="13">
        <f>IF($P158&lt;&gt;"✓","",IF($R158&lt;&gt;"","Done",IF($Q158="","Open — no date",IF($Q158&lt;TODAY(),"Overdue",IF($Q158-TODAY()&lt;=DueSoon,"Due soon","Scheduled")))))</f>
        <v/>
      </c>
      <c r="T158" s="14">
        <f>IF($W158="","",IFERROR(IF(INDEX(FormData,$W158,f_Consent)&amp;""="","",IF(ISNUMBER(SEARCH("yes",INDEX(FormData,$W158,f_Consent))),"Yes","No")),""))</f>
        <v/>
      </c>
      <c r="U158" s="14" t="n"/>
      <c r="V158" s="13">
        <f>IF($U158="","",IF($W158="","not found","✓"))</f>
        <v/>
      </c>
      <c r="W158">
        <f>IF($U158="","",IFERROR(MATCH($U158,INDEX(FormData,0,f_Id),0),IFERROR(MATCH(--$U158,INDEX(FormData,0,f_Id),0),IFERROR(MATCH($U158&amp;"",INDEX(FormData,0,f_Id),0),""))))</f>
        <v/>
      </c>
      <c r="X158">
        <f>IF(AND($B158&lt;&gt;"",$B158='Event Report'!$C$3),ROW(),"")</f>
        <v/>
      </c>
      <c r="Y158">
        <f>IF(AND($P158="✓",$R158=""),IF($Q158="",90000,$Q158)+ROW()/100000,"")</f>
        <v/>
      </c>
      <c r="Z158">
        <f>IF(OR($U158&lt;&gt;"",$D158&lt;&gt;"",$E158&lt;&gt;"",$N158&lt;&gt;""),1,"")</f>
        <v/>
      </c>
    </row>
    <row r="159">
      <c r="A159" s="13" t="inlineStr">
        <is>
          <t>P-0155</t>
        </is>
      </c>
      <c r="B159" s="14">
        <f>IF(AND($U159="",$C159=""),"",IFERROR(INDEX(EvID,MATCH(INDEX(FormData,$W159,f_Event),EvID,0)),IFERROR(INDEX(EvID,MATCH(INDEX(FormData,$W159,f_Event),EvName,0)),IFERROR(INDEX(EvID,MATCH(INT($C159),EvDate,0)),""))))</f>
        <v/>
      </c>
      <c r="C159" s="15">
        <f>IF($W159="","",INDEX(FormData,$W159,f_Time))</f>
        <v/>
      </c>
      <c r="D159" s="14">
        <f>IF($W159="","",IFERROR(UPPER(LEFT(TRIM(INDEX(FormData,$W159,f_Name)),1)&amp;IFERROR(MID(TRIM(INDEX(FormData,$W159,f_Name)),FIND("^",SUBSTITUTE(TRIM(INDEX(FormData,$W159,f_Name))," ","^",LEN(TRIM(INDEX(FormData,$W159,f_Name)))-LEN(SUBSTITUTE(TRIM(INDEX(FormData,$W159,f_Name))," ",""))))+1,1),"")),""))</f>
        <v/>
      </c>
      <c r="E159" s="16">
        <f>IF($W159="","",IFERROR(IF(SUMPRODUCT(MAX((WhoKW&lt;&gt;"")*ISNUMBER(SEARCH(WhoKW,INDEX(FormData,$W159,f_Who)&amp;""))*(ROW(WhoKW)-MIN(ROW(WhoKW))+1)))=0,"",INDEX(WhoVal,SUMPRODUCT(MAX((WhoKW&lt;&gt;"")*ISNUMBER(SEARCH(WhoKW,INDEX(FormData,$W159,f_Who)&amp;""))*(ROW(WhoKW)-MIN(ROW(WhoKW))+1))))),""))</f>
        <v/>
      </c>
      <c r="F159" s="17">
        <f>IF($W159="","",TRIM(IFERROR(INDEX(FormData,$W159,f_Org1)&amp;"","")&amp;" "&amp;IFERROR(INDEX(FormData,$W159,f_Org2)&amp;"","")))</f>
        <v/>
      </c>
      <c r="G159" s="16">
        <f>IF($W159="","",IFERROR(INDEX(FormData,$W159,f_Region)&amp;"",""))</f>
        <v/>
      </c>
      <c r="H159" s="16">
        <f>IF($W159="","",IFERROR(IF(SUMPRODUCT(MAX((SitKW&lt;&gt;"")*ISNUMBER(SEARCH(SitKW,INDEX(FormData,$W159,f_Sit)&amp;""))*(ROW(SitKW)-MIN(ROW(SitKW))+1)))=0,"",INDEX(SitVal,SUMPRODUCT(MAX((SitKW&lt;&gt;"")*ISNUMBER(SEARCH(SitKW,INDEX(FormData,$W159,f_Sit)&amp;""))*(ROW(SitKW)-MIN(ROW(SitKW))+1))))),""))</f>
        <v/>
      </c>
      <c r="I159" s="14">
        <f>IF($W159="","",IFERROR(INDEX(FormData,$W159,f_Appr)&amp;"",""))</f>
        <v/>
      </c>
      <c r="J159" s="16">
        <f>IF($W159="","",IFERROR(INDEX(FormData,$W159,f_Trade)&amp;"",""))</f>
        <v/>
      </c>
      <c r="K159" s="16" t="n"/>
      <c r="L159" s="17" t="n"/>
      <c r="M159" s="16" t="n"/>
      <c r="N159" s="17" t="n"/>
      <c r="O159" s="14" t="n"/>
      <c r="P159" s="14" t="n"/>
      <c r="Q159" s="18" t="n"/>
      <c r="R159" s="18" t="n"/>
      <c r="S159" s="13">
        <f>IF($P159&lt;&gt;"✓","",IF($R159&lt;&gt;"","Done",IF($Q159="","Open — no date",IF($Q159&lt;TODAY(),"Overdue",IF($Q159-TODAY()&lt;=DueSoon,"Due soon","Scheduled")))))</f>
        <v/>
      </c>
      <c r="T159" s="14">
        <f>IF($W159="","",IFERROR(IF(INDEX(FormData,$W159,f_Consent)&amp;""="","",IF(ISNUMBER(SEARCH("yes",INDEX(FormData,$W159,f_Consent))),"Yes","No")),""))</f>
        <v/>
      </c>
      <c r="U159" s="14" t="n"/>
      <c r="V159" s="13">
        <f>IF($U159="","",IF($W159="","not found","✓"))</f>
        <v/>
      </c>
      <c r="W159">
        <f>IF($U159="","",IFERROR(MATCH($U159,INDEX(FormData,0,f_Id),0),IFERROR(MATCH(--$U159,INDEX(FormData,0,f_Id),0),IFERROR(MATCH($U159&amp;"",INDEX(FormData,0,f_Id),0),""))))</f>
        <v/>
      </c>
      <c r="X159">
        <f>IF(AND($B159&lt;&gt;"",$B159='Event Report'!$C$3),ROW(),"")</f>
        <v/>
      </c>
      <c r="Y159">
        <f>IF(AND($P159="✓",$R159=""),IF($Q159="",90000,$Q159)+ROW()/100000,"")</f>
        <v/>
      </c>
      <c r="Z159">
        <f>IF(OR($U159&lt;&gt;"",$D159&lt;&gt;"",$E159&lt;&gt;"",$N159&lt;&gt;""),1,"")</f>
        <v/>
      </c>
    </row>
    <row r="160">
      <c r="A160" s="13" t="inlineStr">
        <is>
          <t>P-0156</t>
        </is>
      </c>
      <c r="B160" s="14">
        <f>IF(AND($U160="",$C160=""),"",IFERROR(INDEX(EvID,MATCH(INDEX(FormData,$W160,f_Event),EvID,0)),IFERROR(INDEX(EvID,MATCH(INDEX(FormData,$W160,f_Event),EvName,0)),IFERROR(INDEX(EvID,MATCH(INT($C160),EvDate,0)),""))))</f>
        <v/>
      </c>
      <c r="C160" s="15">
        <f>IF($W160="","",INDEX(FormData,$W160,f_Time))</f>
        <v/>
      </c>
      <c r="D160" s="14">
        <f>IF($W160="","",IFERROR(UPPER(LEFT(TRIM(INDEX(FormData,$W160,f_Name)),1)&amp;IFERROR(MID(TRIM(INDEX(FormData,$W160,f_Name)),FIND("^",SUBSTITUTE(TRIM(INDEX(FormData,$W160,f_Name))," ","^",LEN(TRIM(INDEX(FormData,$W160,f_Name)))-LEN(SUBSTITUTE(TRIM(INDEX(FormData,$W160,f_Name))," ",""))))+1,1),"")),""))</f>
        <v/>
      </c>
      <c r="E160" s="16">
        <f>IF($W160="","",IFERROR(IF(SUMPRODUCT(MAX((WhoKW&lt;&gt;"")*ISNUMBER(SEARCH(WhoKW,INDEX(FormData,$W160,f_Who)&amp;""))*(ROW(WhoKW)-MIN(ROW(WhoKW))+1)))=0,"",INDEX(WhoVal,SUMPRODUCT(MAX((WhoKW&lt;&gt;"")*ISNUMBER(SEARCH(WhoKW,INDEX(FormData,$W160,f_Who)&amp;""))*(ROW(WhoKW)-MIN(ROW(WhoKW))+1))))),""))</f>
        <v/>
      </c>
      <c r="F160" s="17">
        <f>IF($W160="","",TRIM(IFERROR(INDEX(FormData,$W160,f_Org1)&amp;"","")&amp;" "&amp;IFERROR(INDEX(FormData,$W160,f_Org2)&amp;"","")))</f>
        <v/>
      </c>
      <c r="G160" s="16">
        <f>IF($W160="","",IFERROR(INDEX(FormData,$W160,f_Region)&amp;"",""))</f>
        <v/>
      </c>
      <c r="H160" s="16">
        <f>IF($W160="","",IFERROR(IF(SUMPRODUCT(MAX((SitKW&lt;&gt;"")*ISNUMBER(SEARCH(SitKW,INDEX(FormData,$W160,f_Sit)&amp;""))*(ROW(SitKW)-MIN(ROW(SitKW))+1)))=0,"",INDEX(SitVal,SUMPRODUCT(MAX((SitKW&lt;&gt;"")*ISNUMBER(SEARCH(SitKW,INDEX(FormData,$W160,f_Sit)&amp;""))*(ROW(SitKW)-MIN(ROW(SitKW))+1))))),""))</f>
        <v/>
      </c>
      <c r="I160" s="14">
        <f>IF($W160="","",IFERROR(INDEX(FormData,$W160,f_Appr)&amp;"",""))</f>
        <v/>
      </c>
      <c r="J160" s="16">
        <f>IF($W160="","",IFERROR(INDEX(FormData,$W160,f_Trade)&amp;"",""))</f>
        <v/>
      </c>
      <c r="K160" s="16" t="n"/>
      <c r="L160" s="17" t="n"/>
      <c r="M160" s="16" t="n"/>
      <c r="N160" s="17" t="n"/>
      <c r="O160" s="14" t="n"/>
      <c r="P160" s="14" t="n"/>
      <c r="Q160" s="18" t="n"/>
      <c r="R160" s="18" t="n"/>
      <c r="S160" s="13">
        <f>IF($P160&lt;&gt;"✓","",IF($R160&lt;&gt;"","Done",IF($Q160="","Open — no date",IF($Q160&lt;TODAY(),"Overdue",IF($Q160-TODAY()&lt;=DueSoon,"Due soon","Scheduled")))))</f>
        <v/>
      </c>
      <c r="T160" s="14">
        <f>IF($W160="","",IFERROR(IF(INDEX(FormData,$W160,f_Consent)&amp;""="","",IF(ISNUMBER(SEARCH("yes",INDEX(FormData,$W160,f_Consent))),"Yes","No")),""))</f>
        <v/>
      </c>
      <c r="U160" s="14" t="n"/>
      <c r="V160" s="13">
        <f>IF($U160="","",IF($W160="","not found","✓"))</f>
        <v/>
      </c>
      <c r="W160">
        <f>IF($U160="","",IFERROR(MATCH($U160,INDEX(FormData,0,f_Id),0),IFERROR(MATCH(--$U160,INDEX(FormData,0,f_Id),0),IFERROR(MATCH($U160&amp;"",INDEX(FormData,0,f_Id),0),""))))</f>
        <v/>
      </c>
      <c r="X160">
        <f>IF(AND($B160&lt;&gt;"",$B160='Event Report'!$C$3),ROW(),"")</f>
        <v/>
      </c>
      <c r="Y160">
        <f>IF(AND($P160="✓",$R160=""),IF($Q160="",90000,$Q160)+ROW()/100000,"")</f>
        <v/>
      </c>
      <c r="Z160">
        <f>IF(OR($U160&lt;&gt;"",$D160&lt;&gt;"",$E160&lt;&gt;"",$N160&lt;&gt;""),1,"")</f>
        <v/>
      </c>
    </row>
    <row r="161">
      <c r="A161" s="13" t="inlineStr">
        <is>
          <t>P-0157</t>
        </is>
      </c>
      <c r="B161" s="14">
        <f>IF(AND($U161="",$C161=""),"",IFERROR(INDEX(EvID,MATCH(INDEX(FormData,$W161,f_Event),EvID,0)),IFERROR(INDEX(EvID,MATCH(INDEX(FormData,$W161,f_Event),EvName,0)),IFERROR(INDEX(EvID,MATCH(INT($C161),EvDate,0)),""))))</f>
        <v/>
      </c>
      <c r="C161" s="15">
        <f>IF($W161="","",INDEX(FormData,$W161,f_Time))</f>
        <v/>
      </c>
      <c r="D161" s="14">
        <f>IF($W161="","",IFERROR(UPPER(LEFT(TRIM(INDEX(FormData,$W161,f_Name)),1)&amp;IFERROR(MID(TRIM(INDEX(FormData,$W161,f_Name)),FIND("^",SUBSTITUTE(TRIM(INDEX(FormData,$W161,f_Name))," ","^",LEN(TRIM(INDEX(FormData,$W161,f_Name)))-LEN(SUBSTITUTE(TRIM(INDEX(FormData,$W161,f_Name))," ",""))))+1,1),"")),""))</f>
        <v/>
      </c>
      <c r="E161" s="16">
        <f>IF($W161="","",IFERROR(IF(SUMPRODUCT(MAX((WhoKW&lt;&gt;"")*ISNUMBER(SEARCH(WhoKW,INDEX(FormData,$W161,f_Who)&amp;""))*(ROW(WhoKW)-MIN(ROW(WhoKW))+1)))=0,"",INDEX(WhoVal,SUMPRODUCT(MAX((WhoKW&lt;&gt;"")*ISNUMBER(SEARCH(WhoKW,INDEX(FormData,$W161,f_Who)&amp;""))*(ROW(WhoKW)-MIN(ROW(WhoKW))+1))))),""))</f>
        <v/>
      </c>
      <c r="F161" s="17">
        <f>IF($W161="","",TRIM(IFERROR(INDEX(FormData,$W161,f_Org1)&amp;"","")&amp;" "&amp;IFERROR(INDEX(FormData,$W161,f_Org2)&amp;"","")))</f>
        <v/>
      </c>
      <c r="G161" s="16">
        <f>IF($W161="","",IFERROR(INDEX(FormData,$W161,f_Region)&amp;"",""))</f>
        <v/>
      </c>
      <c r="H161" s="16">
        <f>IF($W161="","",IFERROR(IF(SUMPRODUCT(MAX((SitKW&lt;&gt;"")*ISNUMBER(SEARCH(SitKW,INDEX(FormData,$W161,f_Sit)&amp;""))*(ROW(SitKW)-MIN(ROW(SitKW))+1)))=0,"",INDEX(SitVal,SUMPRODUCT(MAX((SitKW&lt;&gt;"")*ISNUMBER(SEARCH(SitKW,INDEX(FormData,$W161,f_Sit)&amp;""))*(ROW(SitKW)-MIN(ROW(SitKW))+1))))),""))</f>
        <v/>
      </c>
      <c r="I161" s="14">
        <f>IF($W161="","",IFERROR(INDEX(FormData,$W161,f_Appr)&amp;"",""))</f>
        <v/>
      </c>
      <c r="J161" s="16">
        <f>IF($W161="","",IFERROR(INDEX(FormData,$W161,f_Trade)&amp;"",""))</f>
        <v/>
      </c>
      <c r="K161" s="16" t="n"/>
      <c r="L161" s="17" t="n"/>
      <c r="M161" s="16" t="n"/>
      <c r="N161" s="17" t="n"/>
      <c r="O161" s="14" t="n"/>
      <c r="P161" s="14" t="n"/>
      <c r="Q161" s="18" t="n"/>
      <c r="R161" s="18" t="n"/>
      <c r="S161" s="13">
        <f>IF($P161&lt;&gt;"✓","",IF($R161&lt;&gt;"","Done",IF($Q161="","Open — no date",IF($Q161&lt;TODAY(),"Overdue",IF($Q161-TODAY()&lt;=DueSoon,"Due soon","Scheduled")))))</f>
        <v/>
      </c>
      <c r="T161" s="14">
        <f>IF($W161="","",IFERROR(IF(INDEX(FormData,$W161,f_Consent)&amp;""="","",IF(ISNUMBER(SEARCH("yes",INDEX(FormData,$W161,f_Consent))),"Yes","No")),""))</f>
        <v/>
      </c>
      <c r="U161" s="14" t="n"/>
      <c r="V161" s="13">
        <f>IF($U161="","",IF($W161="","not found","✓"))</f>
        <v/>
      </c>
      <c r="W161">
        <f>IF($U161="","",IFERROR(MATCH($U161,INDEX(FormData,0,f_Id),0),IFERROR(MATCH(--$U161,INDEX(FormData,0,f_Id),0),IFERROR(MATCH($U161&amp;"",INDEX(FormData,0,f_Id),0),""))))</f>
        <v/>
      </c>
      <c r="X161">
        <f>IF(AND($B161&lt;&gt;"",$B161='Event Report'!$C$3),ROW(),"")</f>
        <v/>
      </c>
      <c r="Y161">
        <f>IF(AND($P161="✓",$R161=""),IF($Q161="",90000,$Q161)+ROW()/100000,"")</f>
        <v/>
      </c>
      <c r="Z161">
        <f>IF(OR($U161&lt;&gt;"",$D161&lt;&gt;"",$E161&lt;&gt;"",$N161&lt;&gt;""),1,"")</f>
        <v/>
      </c>
    </row>
    <row r="162">
      <c r="A162" s="13" t="inlineStr">
        <is>
          <t>P-0158</t>
        </is>
      </c>
      <c r="B162" s="14">
        <f>IF(AND($U162="",$C162=""),"",IFERROR(INDEX(EvID,MATCH(INDEX(FormData,$W162,f_Event),EvID,0)),IFERROR(INDEX(EvID,MATCH(INDEX(FormData,$W162,f_Event),EvName,0)),IFERROR(INDEX(EvID,MATCH(INT($C162),EvDate,0)),""))))</f>
        <v/>
      </c>
      <c r="C162" s="15">
        <f>IF($W162="","",INDEX(FormData,$W162,f_Time))</f>
        <v/>
      </c>
      <c r="D162" s="14">
        <f>IF($W162="","",IFERROR(UPPER(LEFT(TRIM(INDEX(FormData,$W162,f_Name)),1)&amp;IFERROR(MID(TRIM(INDEX(FormData,$W162,f_Name)),FIND("^",SUBSTITUTE(TRIM(INDEX(FormData,$W162,f_Name))," ","^",LEN(TRIM(INDEX(FormData,$W162,f_Name)))-LEN(SUBSTITUTE(TRIM(INDEX(FormData,$W162,f_Name))," ",""))))+1,1),"")),""))</f>
        <v/>
      </c>
      <c r="E162" s="16">
        <f>IF($W162="","",IFERROR(IF(SUMPRODUCT(MAX((WhoKW&lt;&gt;"")*ISNUMBER(SEARCH(WhoKW,INDEX(FormData,$W162,f_Who)&amp;""))*(ROW(WhoKW)-MIN(ROW(WhoKW))+1)))=0,"",INDEX(WhoVal,SUMPRODUCT(MAX((WhoKW&lt;&gt;"")*ISNUMBER(SEARCH(WhoKW,INDEX(FormData,$W162,f_Who)&amp;""))*(ROW(WhoKW)-MIN(ROW(WhoKW))+1))))),""))</f>
        <v/>
      </c>
      <c r="F162" s="17">
        <f>IF($W162="","",TRIM(IFERROR(INDEX(FormData,$W162,f_Org1)&amp;"","")&amp;" "&amp;IFERROR(INDEX(FormData,$W162,f_Org2)&amp;"","")))</f>
        <v/>
      </c>
      <c r="G162" s="16">
        <f>IF($W162="","",IFERROR(INDEX(FormData,$W162,f_Region)&amp;"",""))</f>
        <v/>
      </c>
      <c r="H162" s="16">
        <f>IF($W162="","",IFERROR(IF(SUMPRODUCT(MAX((SitKW&lt;&gt;"")*ISNUMBER(SEARCH(SitKW,INDEX(FormData,$W162,f_Sit)&amp;""))*(ROW(SitKW)-MIN(ROW(SitKW))+1)))=0,"",INDEX(SitVal,SUMPRODUCT(MAX((SitKW&lt;&gt;"")*ISNUMBER(SEARCH(SitKW,INDEX(FormData,$W162,f_Sit)&amp;""))*(ROW(SitKW)-MIN(ROW(SitKW))+1))))),""))</f>
        <v/>
      </c>
      <c r="I162" s="14">
        <f>IF($W162="","",IFERROR(INDEX(FormData,$W162,f_Appr)&amp;"",""))</f>
        <v/>
      </c>
      <c r="J162" s="16">
        <f>IF($W162="","",IFERROR(INDEX(FormData,$W162,f_Trade)&amp;"",""))</f>
        <v/>
      </c>
      <c r="K162" s="16" t="n"/>
      <c r="L162" s="17" t="n"/>
      <c r="M162" s="16" t="n"/>
      <c r="N162" s="17" t="n"/>
      <c r="O162" s="14" t="n"/>
      <c r="P162" s="14" t="n"/>
      <c r="Q162" s="18" t="n"/>
      <c r="R162" s="18" t="n"/>
      <c r="S162" s="13">
        <f>IF($P162&lt;&gt;"✓","",IF($R162&lt;&gt;"","Done",IF($Q162="","Open — no date",IF($Q162&lt;TODAY(),"Overdue",IF($Q162-TODAY()&lt;=DueSoon,"Due soon","Scheduled")))))</f>
        <v/>
      </c>
      <c r="T162" s="14">
        <f>IF($W162="","",IFERROR(IF(INDEX(FormData,$W162,f_Consent)&amp;""="","",IF(ISNUMBER(SEARCH("yes",INDEX(FormData,$W162,f_Consent))),"Yes","No")),""))</f>
        <v/>
      </c>
      <c r="U162" s="14" t="n"/>
      <c r="V162" s="13">
        <f>IF($U162="","",IF($W162="","not found","✓"))</f>
        <v/>
      </c>
      <c r="W162">
        <f>IF($U162="","",IFERROR(MATCH($U162,INDEX(FormData,0,f_Id),0),IFERROR(MATCH(--$U162,INDEX(FormData,0,f_Id),0),IFERROR(MATCH($U162&amp;"",INDEX(FormData,0,f_Id),0),""))))</f>
        <v/>
      </c>
      <c r="X162">
        <f>IF(AND($B162&lt;&gt;"",$B162='Event Report'!$C$3),ROW(),"")</f>
        <v/>
      </c>
      <c r="Y162">
        <f>IF(AND($P162="✓",$R162=""),IF($Q162="",90000,$Q162)+ROW()/100000,"")</f>
        <v/>
      </c>
      <c r="Z162">
        <f>IF(OR($U162&lt;&gt;"",$D162&lt;&gt;"",$E162&lt;&gt;"",$N162&lt;&gt;""),1,"")</f>
        <v/>
      </c>
    </row>
    <row r="163">
      <c r="A163" s="13" t="inlineStr">
        <is>
          <t>P-0159</t>
        </is>
      </c>
      <c r="B163" s="14">
        <f>IF(AND($U163="",$C163=""),"",IFERROR(INDEX(EvID,MATCH(INDEX(FormData,$W163,f_Event),EvID,0)),IFERROR(INDEX(EvID,MATCH(INDEX(FormData,$W163,f_Event),EvName,0)),IFERROR(INDEX(EvID,MATCH(INT($C163),EvDate,0)),""))))</f>
        <v/>
      </c>
      <c r="C163" s="15">
        <f>IF($W163="","",INDEX(FormData,$W163,f_Time))</f>
        <v/>
      </c>
      <c r="D163" s="14">
        <f>IF($W163="","",IFERROR(UPPER(LEFT(TRIM(INDEX(FormData,$W163,f_Name)),1)&amp;IFERROR(MID(TRIM(INDEX(FormData,$W163,f_Name)),FIND("^",SUBSTITUTE(TRIM(INDEX(FormData,$W163,f_Name))," ","^",LEN(TRIM(INDEX(FormData,$W163,f_Name)))-LEN(SUBSTITUTE(TRIM(INDEX(FormData,$W163,f_Name))," ",""))))+1,1),"")),""))</f>
        <v/>
      </c>
      <c r="E163" s="16">
        <f>IF($W163="","",IFERROR(IF(SUMPRODUCT(MAX((WhoKW&lt;&gt;"")*ISNUMBER(SEARCH(WhoKW,INDEX(FormData,$W163,f_Who)&amp;""))*(ROW(WhoKW)-MIN(ROW(WhoKW))+1)))=0,"",INDEX(WhoVal,SUMPRODUCT(MAX((WhoKW&lt;&gt;"")*ISNUMBER(SEARCH(WhoKW,INDEX(FormData,$W163,f_Who)&amp;""))*(ROW(WhoKW)-MIN(ROW(WhoKW))+1))))),""))</f>
        <v/>
      </c>
      <c r="F163" s="17">
        <f>IF($W163="","",TRIM(IFERROR(INDEX(FormData,$W163,f_Org1)&amp;"","")&amp;" "&amp;IFERROR(INDEX(FormData,$W163,f_Org2)&amp;"","")))</f>
        <v/>
      </c>
      <c r="G163" s="16">
        <f>IF($W163="","",IFERROR(INDEX(FormData,$W163,f_Region)&amp;"",""))</f>
        <v/>
      </c>
      <c r="H163" s="16">
        <f>IF($W163="","",IFERROR(IF(SUMPRODUCT(MAX((SitKW&lt;&gt;"")*ISNUMBER(SEARCH(SitKW,INDEX(FormData,$W163,f_Sit)&amp;""))*(ROW(SitKW)-MIN(ROW(SitKW))+1)))=0,"",INDEX(SitVal,SUMPRODUCT(MAX((SitKW&lt;&gt;"")*ISNUMBER(SEARCH(SitKW,INDEX(FormData,$W163,f_Sit)&amp;""))*(ROW(SitKW)-MIN(ROW(SitKW))+1))))),""))</f>
        <v/>
      </c>
      <c r="I163" s="14">
        <f>IF($W163="","",IFERROR(INDEX(FormData,$W163,f_Appr)&amp;"",""))</f>
        <v/>
      </c>
      <c r="J163" s="16">
        <f>IF($W163="","",IFERROR(INDEX(FormData,$W163,f_Trade)&amp;"",""))</f>
        <v/>
      </c>
      <c r="K163" s="16" t="n"/>
      <c r="L163" s="17" t="n"/>
      <c r="M163" s="16" t="n"/>
      <c r="N163" s="17" t="n"/>
      <c r="O163" s="14" t="n"/>
      <c r="P163" s="14" t="n"/>
      <c r="Q163" s="18" t="n"/>
      <c r="R163" s="18" t="n"/>
      <c r="S163" s="13">
        <f>IF($P163&lt;&gt;"✓","",IF($R163&lt;&gt;"","Done",IF($Q163="","Open — no date",IF($Q163&lt;TODAY(),"Overdue",IF($Q163-TODAY()&lt;=DueSoon,"Due soon","Scheduled")))))</f>
        <v/>
      </c>
      <c r="T163" s="14">
        <f>IF($W163="","",IFERROR(IF(INDEX(FormData,$W163,f_Consent)&amp;""="","",IF(ISNUMBER(SEARCH("yes",INDEX(FormData,$W163,f_Consent))),"Yes","No")),""))</f>
        <v/>
      </c>
      <c r="U163" s="14" t="n"/>
      <c r="V163" s="13">
        <f>IF($U163="","",IF($W163="","not found","✓"))</f>
        <v/>
      </c>
      <c r="W163">
        <f>IF($U163="","",IFERROR(MATCH($U163,INDEX(FormData,0,f_Id),0),IFERROR(MATCH(--$U163,INDEX(FormData,0,f_Id),0),IFERROR(MATCH($U163&amp;"",INDEX(FormData,0,f_Id),0),""))))</f>
        <v/>
      </c>
      <c r="X163">
        <f>IF(AND($B163&lt;&gt;"",$B163='Event Report'!$C$3),ROW(),"")</f>
        <v/>
      </c>
      <c r="Y163">
        <f>IF(AND($P163="✓",$R163=""),IF($Q163="",90000,$Q163)+ROW()/100000,"")</f>
        <v/>
      </c>
      <c r="Z163">
        <f>IF(OR($U163&lt;&gt;"",$D163&lt;&gt;"",$E163&lt;&gt;"",$N163&lt;&gt;""),1,"")</f>
        <v/>
      </c>
    </row>
    <row r="164">
      <c r="A164" s="13" t="inlineStr">
        <is>
          <t>P-0160</t>
        </is>
      </c>
      <c r="B164" s="14">
        <f>IF(AND($U164="",$C164=""),"",IFERROR(INDEX(EvID,MATCH(INDEX(FormData,$W164,f_Event),EvID,0)),IFERROR(INDEX(EvID,MATCH(INDEX(FormData,$W164,f_Event),EvName,0)),IFERROR(INDEX(EvID,MATCH(INT($C164),EvDate,0)),""))))</f>
        <v/>
      </c>
      <c r="C164" s="15">
        <f>IF($W164="","",INDEX(FormData,$W164,f_Time))</f>
        <v/>
      </c>
      <c r="D164" s="14">
        <f>IF($W164="","",IFERROR(UPPER(LEFT(TRIM(INDEX(FormData,$W164,f_Name)),1)&amp;IFERROR(MID(TRIM(INDEX(FormData,$W164,f_Name)),FIND("^",SUBSTITUTE(TRIM(INDEX(FormData,$W164,f_Name))," ","^",LEN(TRIM(INDEX(FormData,$W164,f_Name)))-LEN(SUBSTITUTE(TRIM(INDEX(FormData,$W164,f_Name))," ",""))))+1,1),"")),""))</f>
        <v/>
      </c>
      <c r="E164" s="16">
        <f>IF($W164="","",IFERROR(IF(SUMPRODUCT(MAX((WhoKW&lt;&gt;"")*ISNUMBER(SEARCH(WhoKW,INDEX(FormData,$W164,f_Who)&amp;""))*(ROW(WhoKW)-MIN(ROW(WhoKW))+1)))=0,"",INDEX(WhoVal,SUMPRODUCT(MAX((WhoKW&lt;&gt;"")*ISNUMBER(SEARCH(WhoKW,INDEX(FormData,$W164,f_Who)&amp;""))*(ROW(WhoKW)-MIN(ROW(WhoKW))+1))))),""))</f>
        <v/>
      </c>
      <c r="F164" s="17">
        <f>IF($W164="","",TRIM(IFERROR(INDEX(FormData,$W164,f_Org1)&amp;"","")&amp;" "&amp;IFERROR(INDEX(FormData,$W164,f_Org2)&amp;"","")))</f>
        <v/>
      </c>
      <c r="G164" s="16">
        <f>IF($W164="","",IFERROR(INDEX(FormData,$W164,f_Region)&amp;"",""))</f>
        <v/>
      </c>
      <c r="H164" s="16">
        <f>IF($W164="","",IFERROR(IF(SUMPRODUCT(MAX((SitKW&lt;&gt;"")*ISNUMBER(SEARCH(SitKW,INDEX(FormData,$W164,f_Sit)&amp;""))*(ROW(SitKW)-MIN(ROW(SitKW))+1)))=0,"",INDEX(SitVal,SUMPRODUCT(MAX((SitKW&lt;&gt;"")*ISNUMBER(SEARCH(SitKW,INDEX(FormData,$W164,f_Sit)&amp;""))*(ROW(SitKW)-MIN(ROW(SitKW))+1))))),""))</f>
        <v/>
      </c>
      <c r="I164" s="14">
        <f>IF($W164="","",IFERROR(INDEX(FormData,$W164,f_Appr)&amp;"",""))</f>
        <v/>
      </c>
      <c r="J164" s="16">
        <f>IF($W164="","",IFERROR(INDEX(FormData,$W164,f_Trade)&amp;"",""))</f>
        <v/>
      </c>
      <c r="K164" s="16" t="n"/>
      <c r="L164" s="17" t="n"/>
      <c r="M164" s="16" t="n"/>
      <c r="N164" s="17" t="n"/>
      <c r="O164" s="14" t="n"/>
      <c r="P164" s="14" t="n"/>
      <c r="Q164" s="18" t="n"/>
      <c r="R164" s="18" t="n"/>
      <c r="S164" s="13">
        <f>IF($P164&lt;&gt;"✓","",IF($R164&lt;&gt;"","Done",IF($Q164="","Open — no date",IF($Q164&lt;TODAY(),"Overdue",IF($Q164-TODAY()&lt;=DueSoon,"Due soon","Scheduled")))))</f>
        <v/>
      </c>
      <c r="T164" s="14">
        <f>IF($W164="","",IFERROR(IF(INDEX(FormData,$W164,f_Consent)&amp;""="","",IF(ISNUMBER(SEARCH("yes",INDEX(FormData,$W164,f_Consent))),"Yes","No")),""))</f>
        <v/>
      </c>
      <c r="U164" s="14" t="n"/>
      <c r="V164" s="13">
        <f>IF($U164="","",IF($W164="","not found","✓"))</f>
        <v/>
      </c>
      <c r="W164">
        <f>IF($U164="","",IFERROR(MATCH($U164,INDEX(FormData,0,f_Id),0),IFERROR(MATCH(--$U164,INDEX(FormData,0,f_Id),0),IFERROR(MATCH($U164&amp;"",INDEX(FormData,0,f_Id),0),""))))</f>
        <v/>
      </c>
      <c r="X164">
        <f>IF(AND($B164&lt;&gt;"",$B164='Event Report'!$C$3),ROW(),"")</f>
        <v/>
      </c>
      <c r="Y164">
        <f>IF(AND($P164="✓",$R164=""),IF($Q164="",90000,$Q164)+ROW()/100000,"")</f>
        <v/>
      </c>
      <c r="Z164">
        <f>IF(OR($U164&lt;&gt;"",$D164&lt;&gt;"",$E164&lt;&gt;"",$N164&lt;&gt;""),1,"")</f>
        <v/>
      </c>
    </row>
    <row r="165">
      <c r="A165" s="13" t="inlineStr">
        <is>
          <t>P-0161</t>
        </is>
      </c>
      <c r="B165" s="14">
        <f>IF(AND($U165="",$C165=""),"",IFERROR(INDEX(EvID,MATCH(INDEX(FormData,$W165,f_Event),EvID,0)),IFERROR(INDEX(EvID,MATCH(INDEX(FormData,$W165,f_Event),EvName,0)),IFERROR(INDEX(EvID,MATCH(INT($C165),EvDate,0)),""))))</f>
        <v/>
      </c>
      <c r="C165" s="15">
        <f>IF($W165="","",INDEX(FormData,$W165,f_Time))</f>
        <v/>
      </c>
      <c r="D165" s="14">
        <f>IF($W165="","",IFERROR(UPPER(LEFT(TRIM(INDEX(FormData,$W165,f_Name)),1)&amp;IFERROR(MID(TRIM(INDEX(FormData,$W165,f_Name)),FIND("^",SUBSTITUTE(TRIM(INDEX(FormData,$W165,f_Name))," ","^",LEN(TRIM(INDEX(FormData,$W165,f_Name)))-LEN(SUBSTITUTE(TRIM(INDEX(FormData,$W165,f_Name))," ",""))))+1,1),"")),""))</f>
        <v/>
      </c>
      <c r="E165" s="16">
        <f>IF($W165="","",IFERROR(IF(SUMPRODUCT(MAX((WhoKW&lt;&gt;"")*ISNUMBER(SEARCH(WhoKW,INDEX(FormData,$W165,f_Who)&amp;""))*(ROW(WhoKW)-MIN(ROW(WhoKW))+1)))=0,"",INDEX(WhoVal,SUMPRODUCT(MAX((WhoKW&lt;&gt;"")*ISNUMBER(SEARCH(WhoKW,INDEX(FormData,$W165,f_Who)&amp;""))*(ROW(WhoKW)-MIN(ROW(WhoKW))+1))))),""))</f>
        <v/>
      </c>
      <c r="F165" s="17">
        <f>IF($W165="","",TRIM(IFERROR(INDEX(FormData,$W165,f_Org1)&amp;"","")&amp;" "&amp;IFERROR(INDEX(FormData,$W165,f_Org2)&amp;"","")))</f>
        <v/>
      </c>
      <c r="G165" s="16">
        <f>IF($W165="","",IFERROR(INDEX(FormData,$W165,f_Region)&amp;"",""))</f>
        <v/>
      </c>
      <c r="H165" s="16">
        <f>IF($W165="","",IFERROR(IF(SUMPRODUCT(MAX((SitKW&lt;&gt;"")*ISNUMBER(SEARCH(SitKW,INDEX(FormData,$W165,f_Sit)&amp;""))*(ROW(SitKW)-MIN(ROW(SitKW))+1)))=0,"",INDEX(SitVal,SUMPRODUCT(MAX((SitKW&lt;&gt;"")*ISNUMBER(SEARCH(SitKW,INDEX(FormData,$W165,f_Sit)&amp;""))*(ROW(SitKW)-MIN(ROW(SitKW))+1))))),""))</f>
        <v/>
      </c>
      <c r="I165" s="14">
        <f>IF($W165="","",IFERROR(INDEX(FormData,$W165,f_Appr)&amp;"",""))</f>
        <v/>
      </c>
      <c r="J165" s="16">
        <f>IF($W165="","",IFERROR(INDEX(FormData,$W165,f_Trade)&amp;"",""))</f>
        <v/>
      </c>
      <c r="K165" s="16" t="n"/>
      <c r="L165" s="17" t="n"/>
      <c r="M165" s="16" t="n"/>
      <c r="N165" s="17" t="n"/>
      <c r="O165" s="14" t="n"/>
      <c r="P165" s="14" t="n"/>
      <c r="Q165" s="18" t="n"/>
      <c r="R165" s="18" t="n"/>
      <c r="S165" s="13">
        <f>IF($P165&lt;&gt;"✓","",IF($R165&lt;&gt;"","Done",IF($Q165="","Open — no date",IF($Q165&lt;TODAY(),"Overdue",IF($Q165-TODAY()&lt;=DueSoon,"Due soon","Scheduled")))))</f>
        <v/>
      </c>
      <c r="T165" s="14">
        <f>IF($W165="","",IFERROR(IF(INDEX(FormData,$W165,f_Consent)&amp;""="","",IF(ISNUMBER(SEARCH("yes",INDEX(FormData,$W165,f_Consent))),"Yes","No")),""))</f>
        <v/>
      </c>
      <c r="U165" s="14" t="n"/>
      <c r="V165" s="13">
        <f>IF($U165="","",IF($W165="","not found","✓"))</f>
        <v/>
      </c>
      <c r="W165">
        <f>IF($U165="","",IFERROR(MATCH($U165,INDEX(FormData,0,f_Id),0),IFERROR(MATCH(--$U165,INDEX(FormData,0,f_Id),0),IFERROR(MATCH($U165&amp;"",INDEX(FormData,0,f_Id),0),""))))</f>
        <v/>
      </c>
      <c r="X165">
        <f>IF(AND($B165&lt;&gt;"",$B165='Event Report'!$C$3),ROW(),"")</f>
        <v/>
      </c>
      <c r="Y165">
        <f>IF(AND($P165="✓",$R165=""),IF($Q165="",90000,$Q165)+ROW()/100000,"")</f>
        <v/>
      </c>
      <c r="Z165">
        <f>IF(OR($U165&lt;&gt;"",$D165&lt;&gt;"",$E165&lt;&gt;"",$N165&lt;&gt;""),1,"")</f>
        <v/>
      </c>
    </row>
    <row r="166">
      <c r="A166" s="13" t="inlineStr">
        <is>
          <t>P-0162</t>
        </is>
      </c>
      <c r="B166" s="14">
        <f>IF(AND($U166="",$C166=""),"",IFERROR(INDEX(EvID,MATCH(INDEX(FormData,$W166,f_Event),EvID,0)),IFERROR(INDEX(EvID,MATCH(INDEX(FormData,$W166,f_Event),EvName,0)),IFERROR(INDEX(EvID,MATCH(INT($C166),EvDate,0)),""))))</f>
        <v/>
      </c>
      <c r="C166" s="15">
        <f>IF($W166="","",INDEX(FormData,$W166,f_Time))</f>
        <v/>
      </c>
      <c r="D166" s="14">
        <f>IF($W166="","",IFERROR(UPPER(LEFT(TRIM(INDEX(FormData,$W166,f_Name)),1)&amp;IFERROR(MID(TRIM(INDEX(FormData,$W166,f_Name)),FIND("^",SUBSTITUTE(TRIM(INDEX(FormData,$W166,f_Name))," ","^",LEN(TRIM(INDEX(FormData,$W166,f_Name)))-LEN(SUBSTITUTE(TRIM(INDEX(FormData,$W166,f_Name))," ",""))))+1,1),"")),""))</f>
        <v/>
      </c>
      <c r="E166" s="16">
        <f>IF($W166="","",IFERROR(IF(SUMPRODUCT(MAX((WhoKW&lt;&gt;"")*ISNUMBER(SEARCH(WhoKW,INDEX(FormData,$W166,f_Who)&amp;""))*(ROW(WhoKW)-MIN(ROW(WhoKW))+1)))=0,"",INDEX(WhoVal,SUMPRODUCT(MAX((WhoKW&lt;&gt;"")*ISNUMBER(SEARCH(WhoKW,INDEX(FormData,$W166,f_Who)&amp;""))*(ROW(WhoKW)-MIN(ROW(WhoKW))+1))))),""))</f>
        <v/>
      </c>
      <c r="F166" s="17">
        <f>IF($W166="","",TRIM(IFERROR(INDEX(FormData,$W166,f_Org1)&amp;"","")&amp;" "&amp;IFERROR(INDEX(FormData,$W166,f_Org2)&amp;"","")))</f>
        <v/>
      </c>
      <c r="G166" s="16">
        <f>IF($W166="","",IFERROR(INDEX(FormData,$W166,f_Region)&amp;"",""))</f>
        <v/>
      </c>
      <c r="H166" s="16">
        <f>IF($W166="","",IFERROR(IF(SUMPRODUCT(MAX((SitKW&lt;&gt;"")*ISNUMBER(SEARCH(SitKW,INDEX(FormData,$W166,f_Sit)&amp;""))*(ROW(SitKW)-MIN(ROW(SitKW))+1)))=0,"",INDEX(SitVal,SUMPRODUCT(MAX((SitKW&lt;&gt;"")*ISNUMBER(SEARCH(SitKW,INDEX(FormData,$W166,f_Sit)&amp;""))*(ROW(SitKW)-MIN(ROW(SitKW))+1))))),""))</f>
        <v/>
      </c>
      <c r="I166" s="14">
        <f>IF($W166="","",IFERROR(INDEX(FormData,$W166,f_Appr)&amp;"",""))</f>
        <v/>
      </c>
      <c r="J166" s="16">
        <f>IF($W166="","",IFERROR(INDEX(FormData,$W166,f_Trade)&amp;"",""))</f>
        <v/>
      </c>
      <c r="K166" s="16" t="n"/>
      <c r="L166" s="17" t="n"/>
      <c r="M166" s="16" t="n"/>
      <c r="N166" s="17" t="n"/>
      <c r="O166" s="14" t="n"/>
      <c r="P166" s="14" t="n"/>
      <c r="Q166" s="18" t="n"/>
      <c r="R166" s="18" t="n"/>
      <c r="S166" s="13">
        <f>IF($P166&lt;&gt;"✓","",IF($R166&lt;&gt;"","Done",IF($Q166="","Open — no date",IF($Q166&lt;TODAY(),"Overdue",IF($Q166-TODAY()&lt;=DueSoon,"Due soon","Scheduled")))))</f>
        <v/>
      </c>
      <c r="T166" s="14">
        <f>IF($W166="","",IFERROR(IF(INDEX(FormData,$W166,f_Consent)&amp;""="","",IF(ISNUMBER(SEARCH("yes",INDEX(FormData,$W166,f_Consent))),"Yes","No")),""))</f>
        <v/>
      </c>
      <c r="U166" s="14" t="n"/>
      <c r="V166" s="13">
        <f>IF($U166="","",IF($W166="","not found","✓"))</f>
        <v/>
      </c>
      <c r="W166">
        <f>IF($U166="","",IFERROR(MATCH($U166,INDEX(FormData,0,f_Id),0),IFERROR(MATCH(--$U166,INDEX(FormData,0,f_Id),0),IFERROR(MATCH($U166&amp;"",INDEX(FormData,0,f_Id),0),""))))</f>
        <v/>
      </c>
      <c r="X166">
        <f>IF(AND($B166&lt;&gt;"",$B166='Event Report'!$C$3),ROW(),"")</f>
        <v/>
      </c>
      <c r="Y166">
        <f>IF(AND($P166="✓",$R166=""),IF($Q166="",90000,$Q166)+ROW()/100000,"")</f>
        <v/>
      </c>
      <c r="Z166">
        <f>IF(OR($U166&lt;&gt;"",$D166&lt;&gt;"",$E166&lt;&gt;"",$N166&lt;&gt;""),1,"")</f>
        <v/>
      </c>
    </row>
    <row r="167">
      <c r="A167" s="13" t="inlineStr">
        <is>
          <t>P-0163</t>
        </is>
      </c>
      <c r="B167" s="14">
        <f>IF(AND($U167="",$C167=""),"",IFERROR(INDEX(EvID,MATCH(INDEX(FormData,$W167,f_Event),EvID,0)),IFERROR(INDEX(EvID,MATCH(INDEX(FormData,$W167,f_Event),EvName,0)),IFERROR(INDEX(EvID,MATCH(INT($C167),EvDate,0)),""))))</f>
        <v/>
      </c>
      <c r="C167" s="15">
        <f>IF($W167="","",INDEX(FormData,$W167,f_Time))</f>
        <v/>
      </c>
      <c r="D167" s="14">
        <f>IF($W167="","",IFERROR(UPPER(LEFT(TRIM(INDEX(FormData,$W167,f_Name)),1)&amp;IFERROR(MID(TRIM(INDEX(FormData,$W167,f_Name)),FIND("^",SUBSTITUTE(TRIM(INDEX(FormData,$W167,f_Name))," ","^",LEN(TRIM(INDEX(FormData,$W167,f_Name)))-LEN(SUBSTITUTE(TRIM(INDEX(FormData,$W167,f_Name))," ",""))))+1,1),"")),""))</f>
        <v/>
      </c>
      <c r="E167" s="16">
        <f>IF($W167="","",IFERROR(IF(SUMPRODUCT(MAX((WhoKW&lt;&gt;"")*ISNUMBER(SEARCH(WhoKW,INDEX(FormData,$W167,f_Who)&amp;""))*(ROW(WhoKW)-MIN(ROW(WhoKW))+1)))=0,"",INDEX(WhoVal,SUMPRODUCT(MAX((WhoKW&lt;&gt;"")*ISNUMBER(SEARCH(WhoKW,INDEX(FormData,$W167,f_Who)&amp;""))*(ROW(WhoKW)-MIN(ROW(WhoKW))+1))))),""))</f>
        <v/>
      </c>
      <c r="F167" s="17">
        <f>IF($W167="","",TRIM(IFERROR(INDEX(FormData,$W167,f_Org1)&amp;"","")&amp;" "&amp;IFERROR(INDEX(FormData,$W167,f_Org2)&amp;"","")))</f>
        <v/>
      </c>
      <c r="G167" s="16">
        <f>IF($W167="","",IFERROR(INDEX(FormData,$W167,f_Region)&amp;"",""))</f>
        <v/>
      </c>
      <c r="H167" s="16">
        <f>IF($W167="","",IFERROR(IF(SUMPRODUCT(MAX((SitKW&lt;&gt;"")*ISNUMBER(SEARCH(SitKW,INDEX(FormData,$W167,f_Sit)&amp;""))*(ROW(SitKW)-MIN(ROW(SitKW))+1)))=0,"",INDEX(SitVal,SUMPRODUCT(MAX((SitKW&lt;&gt;"")*ISNUMBER(SEARCH(SitKW,INDEX(FormData,$W167,f_Sit)&amp;""))*(ROW(SitKW)-MIN(ROW(SitKW))+1))))),""))</f>
        <v/>
      </c>
      <c r="I167" s="14">
        <f>IF($W167="","",IFERROR(INDEX(FormData,$W167,f_Appr)&amp;"",""))</f>
        <v/>
      </c>
      <c r="J167" s="16">
        <f>IF($W167="","",IFERROR(INDEX(FormData,$W167,f_Trade)&amp;"",""))</f>
        <v/>
      </c>
      <c r="K167" s="16" t="n"/>
      <c r="L167" s="17" t="n"/>
      <c r="M167" s="16" t="n"/>
      <c r="N167" s="17" t="n"/>
      <c r="O167" s="14" t="n"/>
      <c r="P167" s="14" t="n"/>
      <c r="Q167" s="18" t="n"/>
      <c r="R167" s="18" t="n"/>
      <c r="S167" s="13">
        <f>IF($P167&lt;&gt;"✓","",IF($R167&lt;&gt;"","Done",IF($Q167="","Open — no date",IF($Q167&lt;TODAY(),"Overdue",IF($Q167-TODAY()&lt;=DueSoon,"Due soon","Scheduled")))))</f>
        <v/>
      </c>
      <c r="T167" s="14">
        <f>IF($W167="","",IFERROR(IF(INDEX(FormData,$W167,f_Consent)&amp;""="","",IF(ISNUMBER(SEARCH("yes",INDEX(FormData,$W167,f_Consent))),"Yes","No")),""))</f>
        <v/>
      </c>
      <c r="U167" s="14" t="n"/>
      <c r="V167" s="13">
        <f>IF($U167="","",IF($W167="","not found","✓"))</f>
        <v/>
      </c>
      <c r="W167">
        <f>IF($U167="","",IFERROR(MATCH($U167,INDEX(FormData,0,f_Id),0),IFERROR(MATCH(--$U167,INDEX(FormData,0,f_Id),0),IFERROR(MATCH($U167&amp;"",INDEX(FormData,0,f_Id),0),""))))</f>
        <v/>
      </c>
      <c r="X167">
        <f>IF(AND($B167&lt;&gt;"",$B167='Event Report'!$C$3),ROW(),"")</f>
        <v/>
      </c>
      <c r="Y167">
        <f>IF(AND($P167="✓",$R167=""),IF($Q167="",90000,$Q167)+ROW()/100000,"")</f>
        <v/>
      </c>
      <c r="Z167">
        <f>IF(OR($U167&lt;&gt;"",$D167&lt;&gt;"",$E167&lt;&gt;"",$N167&lt;&gt;""),1,"")</f>
        <v/>
      </c>
    </row>
    <row r="168">
      <c r="A168" s="13" t="inlineStr">
        <is>
          <t>P-0164</t>
        </is>
      </c>
      <c r="B168" s="14">
        <f>IF(AND($U168="",$C168=""),"",IFERROR(INDEX(EvID,MATCH(INDEX(FormData,$W168,f_Event),EvID,0)),IFERROR(INDEX(EvID,MATCH(INDEX(FormData,$W168,f_Event),EvName,0)),IFERROR(INDEX(EvID,MATCH(INT($C168),EvDate,0)),""))))</f>
        <v/>
      </c>
      <c r="C168" s="15">
        <f>IF($W168="","",INDEX(FormData,$W168,f_Time))</f>
        <v/>
      </c>
      <c r="D168" s="14">
        <f>IF($W168="","",IFERROR(UPPER(LEFT(TRIM(INDEX(FormData,$W168,f_Name)),1)&amp;IFERROR(MID(TRIM(INDEX(FormData,$W168,f_Name)),FIND("^",SUBSTITUTE(TRIM(INDEX(FormData,$W168,f_Name))," ","^",LEN(TRIM(INDEX(FormData,$W168,f_Name)))-LEN(SUBSTITUTE(TRIM(INDEX(FormData,$W168,f_Name))," ",""))))+1,1),"")),""))</f>
        <v/>
      </c>
      <c r="E168" s="16">
        <f>IF($W168="","",IFERROR(IF(SUMPRODUCT(MAX((WhoKW&lt;&gt;"")*ISNUMBER(SEARCH(WhoKW,INDEX(FormData,$W168,f_Who)&amp;""))*(ROW(WhoKW)-MIN(ROW(WhoKW))+1)))=0,"",INDEX(WhoVal,SUMPRODUCT(MAX((WhoKW&lt;&gt;"")*ISNUMBER(SEARCH(WhoKW,INDEX(FormData,$W168,f_Who)&amp;""))*(ROW(WhoKW)-MIN(ROW(WhoKW))+1))))),""))</f>
        <v/>
      </c>
      <c r="F168" s="17">
        <f>IF($W168="","",TRIM(IFERROR(INDEX(FormData,$W168,f_Org1)&amp;"","")&amp;" "&amp;IFERROR(INDEX(FormData,$W168,f_Org2)&amp;"","")))</f>
        <v/>
      </c>
      <c r="G168" s="16">
        <f>IF($W168="","",IFERROR(INDEX(FormData,$W168,f_Region)&amp;"",""))</f>
        <v/>
      </c>
      <c r="H168" s="16">
        <f>IF($W168="","",IFERROR(IF(SUMPRODUCT(MAX((SitKW&lt;&gt;"")*ISNUMBER(SEARCH(SitKW,INDEX(FormData,$W168,f_Sit)&amp;""))*(ROW(SitKW)-MIN(ROW(SitKW))+1)))=0,"",INDEX(SitVal,SUMPRODUCT(MAX((SitKW&lt;&gt;"")*ISNUMBER(SEARCH(SitKW,INDEX(FormData,$W168,f_Sit)&amp;""))*(ROW(SitKW)-MIN(ROW(SitKW))+1))))),""))</f>
        <v/>
      </c>
      <c r="I168" s="14">
        <f>IF($W168="","",IFERROR(INDEX(FormData,$W168,f_Appr)&amp;"",""))</f>
        <v/>
      </c>
      <c r="J168" s="16">
        <f>IF($W168="","",IFERROR(INDEX(FormData,$W168,f_Trade)&amp;"",""))</f>
        <v/>
      </c>
      <c r="K168" s="16" t="n"/>
      <c r="L168" s="17" t="n"/>
      <c r="M168" s="16" t="n"/>
      <c r="N168" s="17" t="n"/>
      <c r="O168" s="14" t="n"/>
      <c r="P168" s="14" t="n"/>
      <c r="Q168" s="18" t="n"/>
      <c r="R168" s="18" t="n"/>
      <c r="S168" s="13">
        <f>IF($P168&lt;&gt;"✓","",IF($R168&lt;&gt;"","Done",IF($Q168="","Open — no date",IF($Q168&lt;TODAY(),"Overdue",IF($Q168-TODAY()&lt;=DueSoon,"Due soon","Scheduled")))))</f>
        <v/>
      </c>
      <c r="T168" s="14">
        <f>IF($W168="","",IFERROR(IF(INDEX(FormData,$W168,f_Consent)&amp;""="","",IF(ISNUMBER(SEARCH("yes",INDEX(FormData,$W168,f_Consent))),"Yes","No")),""))</f>
        <v/>
      </c>
      <c r="U168" s="14" t="n"/>
      <c r="V168" s="13">
        <f>IF($U168="","",IF($W168="","not found","✓"))</f>
        <v/>
      </c>
      <c r="W168">
        <f>IF($U168="","",IFERROR(MATCH($U168,INDEX(FormData,0,f_Id),0),IFERROR(MATCH(--$U168,INDEX(FormData,0,f_Id),0),IFERROR(MATCH($U168&amp;"",INDEX(FormData,0,f_Id),0),""))))</f>
        <v/>
      </c>
      <c r="X168">
        <f>IF(AND($B168&lt;&gt;"",$B168='Event Report'!$C$3),ROW(),"")</f>
        <v/>
      </c>
      <c r="Y168">
        <f>IF(AND($P168="✓",$R168=""),IF($Q168="",90000,$Q168)+ROW()/100000,"")</f>
        <v/>
      </c>
      <c r="Z168">
        <f>IF(OR($U168&lt;&gt;"",$D168&lt;&gt;"",$E168&lt;&gt;"",$N168&lt;&gt;""),1,"")</f>
        <v/>
      </c>
    </row>
    <row r="169">
      <c r="A169" s="13" t="inlineStr">
        <is>
          <t>P-0165</t>
        </is>
      </c>
      <c r="B169" s="14">
        <f>IF(AND($U169="",$C169=""),"",IFERROR(INDEX(EvID,MATCH(INDEX(FormData,$W169,f_Event),EvID,0)),IFERROR(INDEX(EvID,MATCH(INDEX(FormData,$W169,f_Event),EvName,0)),IFERROR(INDEX(EvID,MATCH(INT($C169),EvDate,0)),""))))</f>
        <v/>
      </c>
      <c r="C169" s="15">
        <f>IF($W169="","",INDEX(FormData,$W169,f_Time))</f>
        <v/>
      </c>
      <c r="D169" s="14">
        <f>IF($W169="","",IFERROR(UPPER(LEFT(TRIM(INDEX(FormData,$W169,f_Name)),1)&amp;IFERROR(MID(TRIM(INDEX(FormData,$W169,f_Name)),FIND("^",SUBSTITUTE(TRIM(INDEX(FormData,$W169,f_Name))," ","^",LEN(TRIM(INDEX(FormData,$W169,f_Name)))-LEN(SUBSTITUTE(TRIM(INDEX(FormData,$W169,f_Name))," ",""))))+1,1),"")),""))</f>
        <v/>
      </c>
      <c r="E169" s="16">
        <f>IF($W169="","",IFERROR(IF(SUMPRODUCT(MAX((WhoKW&lt;&gt;"")*ISNUMBER(SEARCH(WhoKW,INDEX(FormData,$W169,f_Who)&amp;""))*(ROW(WhoKW)-MIN(ROW(WhoKW))+1)))=0,"",INDEX(WhoVal,SUMPRODUCT(MAX((WhoKW&lt;&gt;"")*ISNUMBER(SEARCH(WhoKW,INDEX(FormData,$W169,f_Who)&amp;""))*(ROW(WhoKW)-MIN(ROW(WhoKW))+1))))),""))</f>
        <v/>
      </c>
      <c r="F169" s="17">
        <f>IF($W169="","",TRIM(IFERROR(INDEX(FormData,$W169,f_Org1)&amp;"","")&amp;" "&amp;IFERROR(INDEX(FormData,$W169,f_Org2)&amp;"","")))</f>
        <v/>
      </c>
      <c r="G169" s="16">
        <f>IF($W169="","",IFERROR(INDEX(FormData,$W169,f_Region)&amp;"",""))</f>
        <v/>
      </c>
      <c r="H169" s="16">
        <f>IF($W169="","",IFERROR(IF(SUMPRODUCT(MAX((SitKW&lt;&gt;"")*ISNUMBER(SEARCH(SitKW,INDEX(FormData,$W169,f_Sit)&amp;""))*(ROW(SitKW)-MIN(ROW(SitKW))+1)))=0,"",INDEX(SitVal,SUMPRODUCT(MAX((SitKW&lt;&gt;"")*ISNUMBER(SEARCH(SitKW,INDEX(FormData,$W169,f_Sit)&amp;""))*(ROW(SitKW)-MIN(ROW(SitKW))+1))))),""))</f>
        <v/>
      </c>
      <c r="I169" s="14">
        <f>IF($W169="","",IFERROR(INDEX(FormData,$W169,f_Appr)&amp;"",""))</f>
        <v/>
      </c>
      <c r="J169" s="16">
        <f>IF($W169="","",IFERROR(INDEX(FormData,$W169,f_Trade)&amp;"",""))</f>
        <v/>
      </c>
      <c r="K169" s="16" t="n"/>
      <c r="L169" s="17" t="n"/>
      <c r="M169" s="16" t="n"/>
      <c r="N169" s="17" t="n"/>
      <c r="O169" s="14" t="n"/>
      <c r="P169" s="14" t="n"/>
      <c r="Q169" s="18" t="n"/>
      <c r="R169" s="18" t="n"/>
      <c r="S169" s="13">
        <f>IF($P169&lt;&gt;"✓","",IF($R169&lt;&gt;"","Done",IF($Q169="","Open — no date",IF($Q169&lt;TODAY(),"Overdue",IF($Q169-TODAY()&lt;=DueSoon,"Due soon","Scheduled")))))</f>
        <v/>
      </c>
      <c r="T169" s="14">
        <f>IF($W169="","",IFERROR(IF(INDEX(FormData,$W169,f_Consent)&amp;""="","",IF(ISNUMBER(SEARCH("yes",INDEX(FormData,$W169,f_Consent))),"Yes","No")),""))</f>
        <v/>
      </c>
      <c r="U169" s="14" t="n"/>
      <c r="V169" s="13">
        <f>IF($U169="","",IF($W169="","not found","✓"))</f>
        <v/>
      </c>
      <c r="W169">
        <f>IF($U169="","",IFERROR(MATCH($U169,INDEX(FormData,0,f_Id),0),IFERROR(MATCH(--$U169,INDEX(FormData,0,f_Id),0),IFERROR(MATCH($U169&amp;"",INDEX(FormData,0,f_Id),0),""))))</f>
        <v/>
      </c>
      <c r="X169">
        <f>IF(AND($B169&lt;&gt;"",$B169='Event Report'!$C$3),ROW(),"")</f>
        <v/>
      </c>
      <c r="Y169">
        <f>IF(AND($P169="✓",$R169=""),IF($Q169="",90000,$Q169)+ROW()/100000,"")</f>
        <v/>
      </c>
      <c r="Z169">
        <f>IF(OR($U169&lt;&gt;"",$D169&lt;&gt;"",$E169&lt;&gt;"",$N169&lt;&gt;""),1,"")</f>
        <v/>
      </c>
    </row>
    <row r="170">
      <c r="A170" s="13" t="inlineStr">
        <is>
          <t>P-0166</t>
        </is>
      </c>
      <c r="B170" s="14">
        <f>IF(AND($U170="",$C170=""),"",IFERROR(INDEX(EvID,MATCH(INDEX(FormData,$W170,f_Event),EvID,0)),IFERROR(INDEX(EvID,MATCH(INDEX(FormData,$W170,f_Event),EvName,0)),IFERROR(INDEX(EvID,MATCH(INT($C170),EvDate,0)),""))))</f>
        <v/>
      </c>
      <c r="C170" s="15">
        <f>IF($W170="","",INDEX(FormData,$W170,f_Time))</f>
        <v/>
      </c>
      <c r="D170" s="14">
        <f>IF($W170="","",IFERROR(UPPER(LEFT(TRIM(INDEX(FormData,$W170,f_Name)),1)&amp;IFERROR(MID(TRIM(INDEX(FormData,$W170,f_Name)),FIND("^",SUBSTITUTE(TRIM(INDEX(FormData,$W170,f_Name))," ","^",LEN(TRIM(INDEX(FormData,$W170,f_Name)))-LEN(SUBSTITUTE(TRIM(INDEX(FormData,$W170,f_Name))," ",""))))+1,1),"")),""))</f>
        <v/>
      </c>
      <c r="E170" s="16">
        <f>IF($W170="","",IFERROR(IF(SUMPRODUCT(MAX((WhoKW&lt;&gt;"")*ISNUMBER(SEARCH(WhoKW,INDEX(FormData,$W170,f_Who)&amp;""))*(ROW(WhoKW)-MIN(ROW(WhoKW))+1)))=0,"",INDEX(WhoVal,SUMPRODUCT(MAX((WhoKW&lt;&gt;"")*ISNUMBER(SEARCH(WhoKW,INDEX(FormData,$W170,f_Who)&amp;""))*(ROW(WhoKW)-MIN(ROW(WhoKW))+1))))),""))</f>
        <v/>
      </c>
      <c r="F170" s="17">
        <f>IF($W170="","",TRIM(IFERROR(INDEX(FormData,$W170,f_Org1)&amp;"","")&amp;" "&amp;IFERROR(INDEX(FormData,$W170,f_Org2)&amp;"","")))</f>
        <v/>
      </c>
      <c r="G170" s="16">
        <f>IF($W170="","",IFERROR(INDEX(FormData,$W170,f_Region)&amp;"",""))</f>
        <v/>
      </c>
      <c r="H170" s="16">
        <f>IF($W170="","",IFERROR(IF(SUMPRODUCT(MAX((SitKW&lt;&gt;"")*ISNUMBER(SEARCH(SitKW,INDEX(FormData,$W170,f_Sit)&amp;""))*(ROW(SitKW)-MIN(ROW(SitKW))+1)))=0,"",INDEX(SitVal,SUMPRODUCT(MAX((SitKW&lt;&gt;"")*ISNUMBER(SEARCH(SitKW,INDEX(FormData,$W170,f_Sit)&amp;""))*(ROW(SitKW)-MIN(ROW(SitKW))+1))))),""))</f>
        <v/>
      </c>
      <c r="I170" s="14">
        <f>IF($W170="","",IFERROR(INDEX(FormData,$W170,f_Appr)&amp;"",""))</f>
        <v/>
      </c>
      <c r="J170" s="16">
        <f>IF($W170="","",IFERROR(INDEX(FormData,$W170,f_Trade)&amp;"",""))</f>
        <v/>
      </c>
      <c r="K170" s="16" t="n"/>
      <c r="L170" s="17" t="n"/>
      <c r="M170" s="16" t="n"/>
      <c r="N170" s="17" t="n"/>
      <c r="O170" s="14" t="n"/>
      <c r="P170" s="14" t="n"/>
      <c r="Q170" s="18" t="n"/>
      <c r="R170" s="18" t="n"/>
      <c r="S170" s="13">
        <f>IF($P170&lt;&gt;"✓","",IF($R170&lt;&gt;"","Done",IF($Q170="","Open — no date",IF($Q170&lt;TODAY(),"Overdue",IF($Q170-TODAY()&lt;=DueSoon,"Due soon","Scheduled")))))</f>
        <v/>
      </c>
      <c r="T170" s="14">
        <f>IF($W170="","",IFERROR(IF(INDEX(FormData,$W170,f_Consent)&amp;""="","",IF(ISNUMBER(SEARCH("yes",INDEX(FormData,$W170,f_Consent))),"Yes","No")),""))</f>
        <v/>
      </c>
      <c r="U170" s="14" t="n"/>
      <c r="V170" s="13">
        <f>IF($U170="","",IF($W170="","not found","✓"))</f>
        <v/>
      </c>
      <c r="W170">
        <f>IF($U170="","",IFERROR(MATCH($U170,INDEX(FormData,0,f_Id),0),IFERROR(MATCH(--$U170,INDEX(FormData,0,f_Id),0),IFERROR(MATCH($U170&amp;"",INDEX(FormData,0,f_Id),0),""))))</f>
        <v/>
      </c>
      <c r="X170">
        <f>IF(AND($B170&lt;&gt;"",$B170='Event Report'!$C$3),ROW(),"")</f>
        <v/>
      </c>
      <c r="Y170">
        <f>IF(AND($P170="✓",$R170=""),IF($Q170="",90000,$Q170)+ROW()/100000,"")</f>
        <v/>
      </c>
      <c r="Z170">
        <f>IF(OR($U170&lt;&gt;"",$D170&lt;&gt;"",$E170&lt;&gt;"",$N170&lt;&gt;""),1,"")</f>
        <v/>
      </c>
    </row>
    <row r="171">
      <c r="A171" s="13" t="inlineStr">
        <is>
          <t>P-0167</t>
        </is>
      </c>
      <c r="B171" s="14">
        <f>IF(AND($U171="",$C171=""),"",IFERROR(INDEX(EvID,MATCH(INDEX(FormData,$W171,f_Event),EvID,0)),IFERROR(INDEX(EvID,MATCH(INDEX(FormData,$W171,f_Event),EvName,0)),IFERROR(INDEX(EvID,MATCH(INT($C171),EvDate,0)),""))))</f>
        <v/>
      </c>
      <c r="C171" s="15">
        <f>IF($W171="","",INDEX(FormData,$W171,f_Time))</f>
        <v/>
      </c>
      <c r="D171" s="14">
        <f>IF($W171="","",IFERROR(UPPER(LEFT(TRIM(INDEX(FormData,$W171,f_Name)),1)&amp;IFERROR(MID(TRIM(INDEX(FormData,$W171,f_Name)),FIND("^",SUBSTITUTE(TRIM(INDEX(FormData,$W171,f_Name))," ","^",LEN(TRIM(INDEX(FormData,$W171,f_Name)))-LEN(SUBSTITUTE(TRIM(INDEX(FormData,$W171,f_Name))," ",""))))+1,1),"")),""))</f>
        <v/>
      </c>
      <c r="E171" s="16">
        <f>IF($W171="","",IFERROR(IF(SUMPRODUCT(MAX((WhoKW&lt;&gt;"")*ISNUMBER(SEARCH(WhoKW,INDEX(FormData,$W171,f_Who)&amp;""))*(ROW(WhoKW)-MIN(ROW(WhoKW))+1)))=0,"",INDEX(WhoVal,SUMPRODUCT(MAX((WhoKW&lt;&gt;"")*ISNUMBER(SEARCH(WhoKW,INDEX(FormData,$W171,f_Who)&amp;""))*(ROW(WhoKW)-MIN(ROW(WhoKW))+1))))),""))</f>
        <v/>
      </c>
      <c r="F171" s="17">
        <f>IF($W171="","",TRIM(IFERROR(INDEX(FormData,$W171,f_Org1)&amp;"","")&amp;" "&amp;IFERROR(INDEX(FormData,$W171,f_Org2)&amp;"","")))</f>
        <v/>
      </c>
      <c r="G171" s="16">
        <f>IF($W171="","",IFERROR(INDEX(FormData,$W171,f_Region)&amp;"",""))</f>
        <v/>
      </c>
      <c r="H171" s="16">
        <f>IF($W171="","",IFERROR(IF(SUMPRODUCT(MAX((SitKW&lt;&gt;"")*ISNUMBER(SEARCH(SitKW,INDEX(FormData,$W171,f_Sit)&amp;""))*(ROW(SitKW)-MIN(ROW(SitKW))+1)))=0,"",INDEX(SitVal,SUMPRODUCT(MAX((SitKW&lt;&gt;"")*ISNUMBER(SEARCH(SitKW,INDEX(FormData,$W171,f_Sit)&amp;""))*(ROW(SitKW)-MIN(ROW(SitKW))+1))))),""))</f>
        <v/>
      </c>
      <c r="I171" s="14">
        <f>IF($W171="","",IFERROR(INDEX(FormData,$W171,f_Appr)&amp;"",""))</f>
        <v/>
      </c>
      <c r="J171" s="16">
        <f>IF($W171="","",IFERROR(INDEX(FormData,$W171,f_Trade)&amp;"",""))</f>
        <v/>
      </c>
      <c r="K171" s="16" t="n"/>
      <c r="L171" s="17" t="n"/>
      <c r="M171" s="16" t="n"/>
      <c r="N171" s="17" t="n"/>
      <c r="O171" s="14" t="n"/>
      <c r="P171" s="14" t="n"/>
      <c r="Q171" s="18" t="n"/>
      <c r="R171" s="18" t="n"/>
      <c r="S171" s="13">
        <f>IF($P171&lt;&gt;"✓","",IF($R171&lt;&gt;"","Done",IF($Q171="","Open — no date",IF($Q171&lt;TODAY(),"Overdue",IF($Q171-TODAY()&lt;=DueSoon,"Due soon","Scheduled")))))</f>
        <v/>
      </c>
      <c r="T171" s="14">
        <f>IF($W171="","",IFERROR(IF(INDEX(FormData,$W171,f_Consent)&amp;""="","",IF(ISNUMBER(SEARCH("yes",INDEX(FormData,$W171,f_Consent))),"Yes","No")),""))</f>
        <v/>
      </c>
      <c r="U171" s="14" t="n"/>
      <c r="V171" s="13">
        <f>IF($U171="","",IF($W171="","not found","✓"))</f>
        <v/>
      </c>
      <c r="W171">
        <f>IF($U171="","",IFERROR(MATCH($U171,INDEX(FormData,0,f_Id),0),IFERROR(MATCH(--$U171,INDEX(FormData,0,f_Id),0),IFERROR(MATCH($U171&amp;"",INDEX(FormData,0,f_Id),0),""))))</f>
        <v/>
      </c>
      <c r="X171">
        <f>IF(AND($B171&lt;&gt;"",$B171='Event Report'!$C$3),ROW(),"")</f>
        <v/>
      </c>
      <c r="Y171">
        <f>IF(AND($P171="✓",$R171=""),IF($Q171="",90000,$Q171)+ROW()/100000,"")</f>
        <v/>
      </c>
      <c r="Z171">
        <f>IF(OR($U171&lt;&gt;"",$D171&lt;&gt;"",$E171&lt;&gt;"",$N171&lt;&gt;""),1,"")</f>
        <v/>
      </c>
    </row>
    <row r="172">
      <c r="A172" s="13" t="inlineStr">
        <is>
          <t>P-0168</t>
        </is>
      </c>
      <c r="B172" s="14">
        <f>IF(AND($U172="",$C172=""),"",IFERROR(INDEX(EvID,MATCH(INDEX(FormData,$W172,f_Event),EvID,0)),IFERROR(INDEX(EvID,MATCH(INDEX(FormData,$W172,f_Event),EvName,0)),IFERROR(INDEX(EvID,MATCH(INT($C172),EvDate,0)),""))))</f>
        <v/>
      </c>
      <c r="C172" s="15">
        <f>IF($W172="","",INDEX(FormData,$W172,f_Time))</f>
        <v/>
      </c>
      <c r="D172" s="14">
        <f>IF($W172="","",IFERROR(UPPER(LEFT(TRIM(INDEX(FormData,$W172,f_Name)),1)&amp;IFERROR(MID(TRIM(INDEX(FormData,$W172,f_Name)),FIND("^",SUBSTITUTE(TRIM(INDEX(FormData,$W172,f_Name))," ","^",LEN(TRIM(INDEX(FormData,$W172,f_Name)))-LEN(SUBSTITUTE(TRIM(INDEX(FormData,$W172,f_Name))," ",""))))+1,1),"")),""))</f>
        <v/>
      </c>
      <c r="E172" s="16">
        <f>IF($W172="","",IFERROR(IF(SUMPRODUCT(MAX((WhoKW&lt;&gt;"")*ISNUMBER(SEARCH(WhoKW,INDEX(FormData,$W172,f_Who)&amp;""))*(ROW(WhoKW)-MIN(ROW(WhoKW))+1)))=0,"",INDEX(WhoVal,SUMPRODUCT(MAX((WhoKW&lt;&gt;"")*ISNUMBER(SEARCH(WhoKW,INDEX(FormData,$W172,f_Who)&amp;""))*(ROW(WhoKW)-MIN(ROW(WhoKW))+1))))),""))</f>
        <v/>
      </c>
      <c r="F172" s="17">
        <f>IF($W172="","",TRIM(IFERROR(INDEX(FormData,$W172,f_Org1)&amp;"","")&amp;" "&amp;IFERROR(INDEX(FormData,$W172,f_Org2)&amp;"","")))</f>
        <v/>
      </c>
      <c r="G172" s="16">
        <f>IF($W172="","",IFERROR(INDEX(FormData,$W172,f_Region)&amp;"",""))</f>
        <v/>
      </c>
      <c r="H172" s="16">
        <f>IF($W172="","",IFERROR(IF(SUMPRODUCT(MAX((SitKW&lt;&gt;"")*ISNUMBER(SEARCH(SitKW,INDEX(FormData,$W172,f_Sit)&amp;""))*(ROW(SitKW)-MIN(ROW(SitKW))+1)))=0,"",INDEX(SitVal,SUMPRODUCT(MAX((SitKW&lt;&gt;"")*ISNUMBER(SEARCH(SitKW,INDEX(FormData,$W172,f_Sit)&amp;""))*(ROW(SitKW)-MIN(ROW(SitKW))+1))))),""))</f>
        <v/>
      </c>
      <c r="I172" s="14">
        <f>IF($W172="","",IFERROR(INDEX(FormData,$W172,f_Appr)&amp;"",""))</f>
        <v/>
      </c>
      <c r="J172" s="16">
        <f>IF($W172="","",IFERROR(INDEX(FormData,$W172,f_Trade)&amp;"",""))</f>
        <v/>
      </c>
      <c r="K172" s="16" t="n"/>
      <c r="L172" s="17" t="n"/>
      <c r="M172" s="16" t="n"/>
      <c r="N172" s="17" t="n"/>
      <c r="O172" s="14" t="n"/>
      <c r="P172" s="14" t="n"/>
      <c r="Q172" s="18" t="n"/>
      <c r="R172" s="18" t="n"/>
      <c r="S172" s="13">
        <f>IF($P172&lt;&gt;"✓","",IF($R172&lt;&gt;"","Done",IF($Q172="","Open — no date",IF($Q172&lt;TODAY(),"Overdue",IF($Q172-TODAY()&lt;=DueSoon,"Due soon","Scheduled")))))</f>
        <v/>
      </c>
      <c r="T172" s="14">
        <f>IF($W172="","",IFERROR(IF(INDEX(FormData,$W172,f_Consent)&amp;""="","",IF(ISNUMBER(SEARCH("yes",INDEX(FormData,$W172,f_Consent))),"Yes","No")),""))</f>
        <v/>
      </c>
      <c r="U172" s="14" t="n"/>
      <c r="V172" s="13">
        <f>IF($U172="","",IF($W172="","not found","✓"))</f>
        <v/>
      </c>
      <c r="W172">
        <f>IF($U172="","",IFERROR(MATCH($U172,INDEX(FormData,0,f_Id),0),IFERROR(MATCH(--$U172,INDEX(FormData,0,f_Id),0),IFERROR(MATCH($U172&amp;"",INDEX(FormData,0,f_Id),0),""))))</f>
        <v/>
      </c>
      <c r="X172">
        <f>IF(AND($B172&lt;&gt;"",$B172='Event Report'!$C$3),ROW(),"")</f>
        <v/>
      </c>
      <c r="Y172">
        <f>IF(AND($P172="✓",$R172=""),IF($Q172="",90000,$Q172)+ROW()/100000,"")</f>
        <v/>
      </c>
      <c r="Z172">
        <f>IF(OR($U172&lt;&gt;"",$D172&lt;&gt;"",$E172&lt;&gt;"",$N172&lt;&gt;""),1,"")</f>
        <v/>
      </c>
    </row>
    <row r="173">
      <c r="A173" s="13" t="inlineStr">
        <is>
          <t>P-0169</t>
        </is>
      </c>
      <c r="B173" s="14">
        <f>IF(AND($U173="",$C173=""),"",IFERROR(INDEX(EvID,MATCH(INDEX(FormData,$W173,f_Event),EvID,0)),IFERROR(INDEX(EvID,MATCH(INDEX(FormData,$W173,f_Event),EvName,0)),IFERROR(INDEX(EvID,MATCH(INT($C173),EvDate,0)),""))))</f>
        <v/>
      </c>
      <c r="C173" s="15">
        <f>IF($W173="","",INDEX(FormData,$W173,f_Time))</f>
        <v/>
      </c>
      <c r="D173" s="14">
        <f>IF($W173="","",IFERROR(UPPER(LEFT(TRIM(INDEX(FormData,$W173,f_Name)),1)&amp;IFERROR(MID(TRIM(INDEX(FormData,$W173,f_Name)),FIND("^",SUBSTITUTE(TRIM(INDEX(FormData,$W173,f_Name))," ","^",LEN(TRIM(INDEX(FormData,$W173,f_Name)))-LEN(SUBSTITUTE(TRIM(INDEX(FormData,$W173,f_Name))," ",""))))+1,1),"")),""))</f>
        <v/>
      </c>
      <c r="E173" s="16">
        <f>IF($W173="","",IFERROR(IF(SUMPRODUCT(MAX((WhoKW&lt;&gt;"")*ISNUMBER(SEARCH(WhoKW,INDEX(FormData,$W173,f_Who)&amp;""))*(ROW(WhoKW)-MIN(ROW(WhoKW))+1)))=0,"",INDEX(WhoVal,SUMPRODUCT(MAX((WhoKW&lt;&gt;"")*ISNUMBER(SEARCH(WhoKW,INDEX(FormData,$W173,f_Who)&amp;""))*(ROW(WhoKW)-MIN(ROW(WhoKW))+1))))),""))</f>
        <v/>
      </c>
      <c r="F173" s="17">
        <f>IF($W173="","",TRIM(IFERROR(INDEX(FormData,$W173,f_Org1)&amp;"","")&amp;" "&amp;IFERROR(INDEX(FormData,$W173,f_Org2)&amp;"","")))</f>
        <v/>
      </c>
      <c r="G173" s="16">
        <f>IF($W173="","",IFERROR(INDEX(FormData,$W173,f_Region)&amp;"",""))</f>
        <v/>
      </c>
      <c r="H173" s="16">
        <f>IF($W173="","",IFERROR(IF(SUMPRODUCT(MAX((SitKW&lt;&gt;"")*ISNUMBER(SEARCH(SitKW,INDEX(FormData,$W173,f_Sit)&amp;""))*(ROW(SitKW)-MIN(ROW(SitKW))+1)))=0,"",INDEX(SitVal,SUMPRODUCT(MAX((SitKW&lt;&gt;"")*ISNUMBER(SEARCH(SitKW,INDEX(FormData,$W173,f_Sit)&amp;""))*(ROW(SitKW)-MIN(ROW(SitKW))+1))))),""))</f>
        <v/>
      </c>
      <c r="I173" s="14">
        <f>IF($W173="","",IFERROR(INDEX(FormData,$W173,f_Appr)&amp;"",""))</f>
        <v/>
      </c>
      <c r="J173" s="16">
        <f>IF($W173="","",IFERROR(INDEX(FormData,$W173,f_Trade)&amp;"",""))</f>
        <v/>
      </c>
      <c r="K173" s="16" t="n"/>
      <c r="L173" s="17" t="n"/>
      <c r="M173" s="16" t="n"/>
      <c r="N173" s="17" t="n"/>
      <c r="O173" s="14" t="n"/>
      <c r="P173" s="14" t="n"/>
      <c r="Q173" s="18" t="n"/>
      <c r="R173" s="18" t="n"/>
      <c r="S173" s="13">
        <f>IF($P173&lt;&gt;"✓","",IF($R173&lt;&gt;"","Done",IF($Q173="","Open — no date",IF($Q173&lt;TODAY(),"Overdue",IF($Q173-TODAY()&lt;=DueSoon,"Due soon","Scheduled")))))</f>
        <v/>
      </c>
      <c r="T173" s="14">
        <f>IF($W173="","",IFERROR(IF(INDEX(FormData,$W173,f_Consent)&amp;""="","",IF(ISNUMBER(SEARCH("yes",INDEX(FormData,$W173,f_Consent))),"Yes","No")),""))</f>
        <v/>
      </c>
      <c r="U173" s="14" t="n"/>
      <c r="V173" s="13">
        <f>IF($U173="","",IF($W173="","not found","✓"))</f>
        <v/>
      </c>
      <c r="W173">
        <f>IF($U173="","",IFERROR(MATCH($U173,INDEX(FormData,0,f_Id),0),IFERROR(MATCH(--$U173,INDEX(FormData,0,f_Id),0),IFERROR(MATCH($U173&amp;"",INDEX(FormData,0,f_Id),0),""))))</f>
        <v/>
      </c>
      <c r="X173">
        <f>IF(AND($B173&lt;&gt;"",$B173='Event Report'!$C$3),ROW(),"")</f>
        <v/>
      </c>
      <c r="Y173">
        <f>IF(AND($P173="✓",$R173=""),IF($Q173="",90000,$Q173)+ROW()/100000,"")</f>
        <v/>
      </c>
      <c r="Z173">
        <f>IF(OR($U173&lt;&gt;"",$D173&lt;&gt;"",$E173&lt;&gt;"",$N173&lt;&gt;""),1,"")</f>
        <v/>
      </c>
    </row>
    <row r="174">
      <c r="A174" s="13" t="inlineStr">
        <is>
          <t>P-0170</t>
        </is>
      </c>
      <c r="B174" s="14">
        <f>IF(AND($U174="",$C174=""),"",IFERROR(INDEX(EvID,MATCH(INDEX(FormData,$W174,f_Event),EvID,0)),IFERROR(INDEX(EvID,MATCH(INDEX(FormData,$W174,f_Event),EvName,0)),IFERROR(INDEX(EvID,MATCH(INT($C174),EvDate,0)),""))))</f>
        <v/>
      </c>
      <c r="C174" s="15">
        <f>IF($W174="","",INDEX(FormData,$W174,f_Time))</f>
        <v/>
      </c>
      <c r="D174" s="14">
        <f>IF($W174="","",IFERROR(UPPER(LEFT(TRIM(INDEX(FormData,$W174,f_Name)),1)&amp;IFERROR(MID(TRIM(INDEX(FormData,$W174,f_Name)),FIND("^",SUBSTITUTE(TRIM(INDEX(FormData,$W174,f_Name))," ","^",LEN(TRIM(INDEX(FormData,$W174,f_Name)))-LEN(SUBSTITUTE(TRIM(INDEX(FormData,$W174,f_Name))," ",""))))+1,1),"")),""))</f>
        <v/>
      </c>
      <c r="E174" s="16">
        <f>IF($W174="","",IFERROR(IF(SUMPRODUCT(MAX((WhoKW&lt;&gt;"")*ISNUMBER(SEARCH(WhoKW,INDEX(FormData,$W174,f_Who)&amp;""))*(ROW(WhoKW)-MIN(ROW(WhoKW))+1)))=0,"",INDEX(WhoVal,SUMPRODUCT(MAX((WhoKW&lt;&gt;"")*ISNUMBER(SEARCH(WhoKW,INDEX(FormData,$W174,f_Who)&amp;""))*(ROW(WhoKW)-MIN(ROW(WhoKW))+1))))),""))</f>
        <v/>
      </c>
      <c r="F174" s="17">
        <f>IF($W174="","",TRIM(IFERROR(INDEX(FormData,$W174,f_Org1)&amp;"","")&amp;" "&amp;IFERROR(INDEX(FormData,$W174,f_Org2)&amp;"","")))</f>
        <v/>
      </c>
      <c r="G174" s="16">
        <f>IF($W174="","",IFERROR(INDEX(FormData,$W174,f_Region)&amp;"",""))</f>
        <v/>
      </c>
      <c r="H174" s="16">
        <f>IF($W174="","",IFERROR(IF(SUMPRODUCT(MAX((SitKW&lt;&gt;"")*ISNUMBER(SEARCH(SitKW,INDEX(FormData,$W174,f_Sit)&amp;""))*(ROW(SitKW)-MIN(ROW(SitKW))+1)))=0,"",INDEX(SitVal,SUMPRODUCT(MAX((SitKW&lt;&gt;"")*ISNUMBER(SEARCH(SitKW,INDEX(FormData,$W174,f_Sit)&amp;""))*(ROW(SitKW)-MIN(ROW(SitKW))+1))))),""))</f>
        <v/>
      </c>
      <c r="I174" s="14">
        <f>IF($W174="","",IFERROR(INDEX(FormData,$W174,f_Appr)&amp;"",""))</f>
        <v/>
      </c>
      <c r="J174" s="16">
        <f>IF($W174="","",IFERROR(INDEX(FormData,$W174,f_Trade)&amp;"",""))</f>
        <v/>
      </c>
      <c r="K174" s="16" t="n"/>
      <c r="L174" s="17" t="n"/>
      <c r="M174" s="16" t="n"/>
      <c r="N174" s="17" t="n"/>
      <c r="O174" s="14" t="n"/>
      <c r="P174" s="14" t="n"/>
      <c r="Q174" s="18" t="n"/>
      <c r="R174" s="18" t="n"/>
      <c r="S174" s="13">
        <f>IF($P174&lt;&gt;"✓","",IF($R174&lt;&gt;"","Done",IF($Q174="","Open — no date",IF($Q174&lt;TODAY(),"Overdue",IF($Q174-TODAY()&lt;=DueSoon,"Due soon","Scheduled")))))</f>
        <v/>
      </c>
      <c r="T174" s="14">
        <f>IF($W174="","",IFERROR(IF(INDEX(FormData,$W174,f_Consent)&amp;""="","",IF(ISNUMBER(SEARCH("yes",INDEX(FormData,$W174,f_Consent))),"Yes","No")),""))</f>
        <v/>
      </c>
      <c r="U174" s="14" t="n"/>
      <c r="V174" s="13">
        <f>IF($U174="","",IF($W174="","not found","✓"))</f>
        <v/>
      </c>
      <c r="W174">
        <f>IF($U174="","",IFERROR(MATCH($U174,INDEX(FormData,0,f_Id),0),IFERROR(MATCH(--$U174,INDEX(FormData,0,f_Id),0),IFERROR(MATCH($U174&amp;"",INDEX(FormData,0,f_Id),0),""))))</f>
        <v/>
      </c>
      <c r="X174">
        <f>IF(AND($B174&lt;&gt;"",$B174='Event Report'!$C$3),ROW(),"")</f>
        <v/>
      </c>
      <c r="Y174">
        <f>IF(AND($P174="✓",$R174=""),IF($Q174="",90000,$Q174)+ROW()/100000,"")</f>
        <v/>
      </c>
      <c r="Z174">
        <f>IF(OR($U174&lt;&gt;"",$D174&lt;&gt;"",$E174&lt;&gt;"",$N174&lt;&gt;""),1,"")</f>
        <v/>
      </c>
    </row>
    <row r="175">
      <c r="A175" s="13" t="inlineStr">
        <is>
          <t>P-0171</t>
        </is>
      </c>
      <c r="B175" s="14">
        <f>IF(AND($U175="",$C175=""),"",IFERROR(INDEX(EvID,MATCH(INDEX(FormData,$W175,f_Event),EvID,0)),IFERROR(INDEX(EvID,MATCH(INDEX(FormData,$W175,f_Event),EvName,0)),IFERROR(INDEX(EvID,MATCH(INT($C175),EvDate,0)),""))))</f>
        <v/>
      </c>
      <c r="C175" s="15">
        <f>IF($W175="","",INDEX(FormData,$W175,f_Time))</f>
        <v/>
      </c>
      <c r="D175" s="14">
        <f>IF($W175="","",IFERROR(UPPER(LEFT(TRIM(INDEX(FormData,$W175,f_Name)),1)&amp;IFERROR(MID(TRIM(INDEX(FormData,$W175,f_Name)),FIND("^",SUBSTITUTE(TRIM(INDEX(FormData,$W175,f_Name))," ","^",LEN(TRIM(INDEX(FormData,$W175,f_Name)))-LEN(SUBSTITUTE(TRIM(INDEX(FormData,$W175,f_Name))," ",""))))+1,1),"")),""))</f>
        <v/>
      </c>
      <c r="E175" s="16">
        <f>IF($W175="","",IFERROR(IF(SUMPRODUCT(MAX((WhoKW&lt;&gt;"")*ISNUMBER(SEARCH(WhoKW,INDEX(FormData,$W175,f_Who)&amp;""))*(ROW(WhoKW)-MIN(ROW(WhoKW))+1)))=0,"",INDEX(WhoVal,SUMPRODUCT(MAX((WhoKW&lt;&gt;"")*ISNUMBER(SEARCH(WhoKW,INDEX(FormData,$W175,f_Who)&amp;""))*(ROW(WhoKW)-MIN(ROW(WhoKW))+1))))),""))</f>
        <v/>
      </c>
      <c r="F175" s="17">
        <f>IF($W175="","",TRIM(IFERROR(INDEX(FormData,$W175,f_Org1)&amp;"","")&amp;" "&amp;IFERROR(INDEX(FormData,$W175,f_Org2)&amp;"","")))</f>
        <v/>
      </c>
      <c r="G175" s="16">
        <f>IF($W175="","",IFERROR(INDEX(FormData,$W175,f_Region)&amp;"",""))</f>
        <v/>
      </c>
      <c r="H175" s="16">
        <f>IF($W175="","",IFERROR(IF(SUMPRODUCT(MAX((SitKW&lt;&gt;"")*ISNUMBER(SEARCH(SitKW,INDEX(FormData,$W175,f_Sit)&amp;""))*(ROW(SitKW)-MIN(ROW(SitKW))+1)))=0,"",INDEX(SitVal,SUMPRODUCT(MAX((SitKW&lt;&gt;"")*ISNUMBER(SEARCH(SitKW,INDEX(FormData,$W175,f_Sit)&amp;""))*(ROW(SitKW)-MIN(ROW(SitKW))+1))))),""))</f>
        <v/>
      </c>
      <c r="I175" s="14">
        <f>IF($W175="","",IFERROR(INDEX(FormData,$W175,f_Appr)&amp;"",""))</f>
        <v/>
      </c>
      <c r="J175" s="16">
        <f>IF($W175="","",IFERROR(INDEX(FormData,$W175,f_Trade)&amp;"",""))</f>
        <v/>
      </c>
      <c r="K175" s="16" t="n"/>
      <c r="L175" s="17" t="n"/>
      <c r="M175" s="16" t="n"/>
      <c r="N175" s="17" t="n"/>
      <c r="O175" s="14" t="n"/>
      <c r="P175" s="14" t="n"/>
      <c r="Q175" s="18" t="n"/>
      <c r="R175" s="18" t="n"/>
      <c r="S175" s="13">
        <f>IF($P175&lt;&gt;"✓","",IF($R175&lt;&gt;"","Done",IF($Q175="","Open — no date",IF($Q175&lt;TODAY(),"Overdue",IF($Q175-TODAY()&lt;=DueSoon,"Due soon","Scheduled")))))</f>
        <v/>
      </c>
      <c r="T175" s="14">
        <f>IF($W175="","",IFERROR(IF(INDEX(FormData,$W175,f_Consent)&amp;""="","",IF(ISNUMBER(SEARCH("yes",INDEX(FormData,$W175,f_Consent))),"Yes","No")),""))</f>
        <v/>
      </c>
      <c r="U175" s="14" t="n"/>
      <c r="V175" s="13">
        <f>IF($U175="","",IF($W175="","not found","✓"))</f>
        <v/>
      </c>
      <c r="W175">
        <f>IF($U175="","",IFERROR(MATCH($U175,INDEX(FormData,0,f_Id),0),IFERROR(MATCH(--$U175,INDEX(FormData,0,f_Id),0),IFERROR(MATCH($U175&amp;"",INDEX(FormData,0,f_Id),0),""))))</f>
        <v/>
      </c>
      <c r="X175">
        <f>IF(AND($B175&lt;&gt;"",$B175='Event Report'!$C$3),ROW(),"")</f>
        <v/>
      </c>
      <c r="Y175">
        <f>IF(AND($P175="✓",$R175=""),IF($Q175="",90000,$Q175)+ROW()/100000,"")</f>
        <v/>
      </c>
      <c r="Z175">
        <f>IF(OR($U175&lt;&gt;"",$D175&lt;&gt;"",$E175&lt;&gt;"",$N175&lt;&gt;""),1,"")</f>
        <v/>
      </c>
    </row>
    <row r="176">
      <c r="A176" s="13" t="inlineStr">
        <is>
          <t>P-0172</t>
        </is>
      </c>
      <c r="B176" s="14">
        <f>IF(AND($U176="",$C176=""),"",IFERROR(INDEX(EvID,MATCH(INDEX(FormData,$W176,f_Event),EvID,0)),IFERROR(INDEX(EvID,MATCH(INDEX(FormData,$W176,f_Event),EvName,0)),IFERROR(INDEX(EvID,MATCH(INT($C176),EvDate,0)),""))))</f>
        <v/>
      </c>
      <c r="C176" s="15">
        <f>IF($W176="","",INDEX(FormData,$W176,f_Time))</f>
        <v/>
      </c>
      <c r="D176" s="14">
        <f>IF($W176="","",IFERROR(UPPER(LEFT(TRIM(INDEX(FormData,$W176,f_Name)),1)&amp;IFERROR(MID(TRIM(INDEX(FormData,$W176,f_Name)),FIND("^",SUBSTITUTE(TRIM(INDEX(FormData,$W176,f_Name))," ","^",LEN(TRIM(INDEX(FormData,$W176,f_Name)))-LEN(SUBSTITUTE(TRIM(INDEX(FormData,$W176,f_Name))," ",""))))+1,1),"")),""))</f>
        <v/>
      </c>
      <c r="E176" s="16">
        <f>IF($W176="","",IFERROR(IF(SUMPRODUCT(MAX((WhoKW&lt;&gt;"")*ISNUMBER(SEARCH(WhoKW,INDEX(FormData,$W176,f_Who)&amp;""))*(ROW(WhoKW)-MIN(ROW(WhoKW))+1)))=0,"",INDEX(WhoVal,SUMPRODUCT(MAX((WhoKW&lt;&gt;"")*ISNUMBER(SEARCH(WhoKW,INDEX(FormData,$W176,f_Who)&amp;""))*(ROW(WhoKW)-MIN(ROW(WhoKW))+1))))),""))</f>
        <v/>
      </c>
      <c r="F176" s="17">
        <f>IF($W176="","",TRIM(IFERROR(INDEX(FormData,$W176,f_Org1)&amp;"","")&amp;" "&amp;IFERROR(INDEX(FormData,$W176,f_Org2)&amp;"","")))</f>
        <v/>
      </c>
      <c r="G176" s="16">
        <f>IF($W176="","",IFERROR(INDEX(FormData,$W176,f_Region)&amp;"",""))</f>
        <v/>
      </c>
      <c r="H176" s="16">
        <f>IF($W176="","",IFERROR(IF(SUMPRODUCT(MAX((SitKW&lt;&gt;"")*ISNUMBER(SEARCH(SitKW,INDEX(FormData,$W176,f_Sit)&amp;""))*(ROW(SitKW)-MIN(ROW(SitKW))+1)))=0,"",INDEX(SitVal,SUMPRODUCT(MAX((SitKW&lt;&gt;"")*ISNUMBER(SEARCH(SitKW,INDEX(FormData,$W176,f_Sit)&amp;""))*(ROW(SitKW)-MIN(ROW(SitKW))+1))))),""))</f>
        <v/>
      </c>
      <c r="I176" s="14">
        <f>IF($W176="","",IFERROR(INDEX(FormData,$W176,f_Appr)&amp;"",""))</f>
        <v/>
      </c>
      <c r="J176" s="16">
        <f>IF($W176="","",IFERROR(INDEX(FormData,$W176,f_Trade)&amp;"",""))</f>
        <v/>
      </c>
      <c r="K176" s="16" t="n"/>
      <c r="L176" s="17" t="n"/>
      <c r="M176" s="16" t="n"/>
      <c r="N176" s="17" t="n"/>
      <c r="O176" s="14" t="n"/>
      <c r="P176" s="14" t="n"/>
      <c r="Q176" s="18" t="n"/>
      <c r="R176" s="18" t="n"/>
      <c r="S176" s="13">
        <f>IF($P176&lt;&gt;"✓","",IF($R176&lt;&gt;"","Done",IF($Q176="","Open — no date",IF($Q176&lt;TODAY(),"Overdue",IF($Q176-TODAY()&lt;=DueSoon,"Due soon","Scheduled")))))</f>
        <v/>
      </c>
      <c r="T176" s="14">
        <f>IF($W176="","",IFERROR(IF(INDEX(FormData,$W176,f_Consent)&amp;""="","",IF(ISNUMBER(SEARCH("yes",INDEX(FormData,$W176,f_Consent))),"Yes","No")),""))</f>
        <v/>
      </c>
      <c r="U176" s="14" t="n"/>
      <c r="V176" s="13">
        <f>IF($U176="","",IF($W176="","not found","✓"))</f>
        <v/>
      </c>
      <c r="W176">
        <f>IF($U176="","",IFERROR(MATCH($U176,INDEX(FormData,0,f_Id),0),IFERROR(MATCH(--$U176,INDEX(FormData,0,f_Id),0),IFERROR(MATCH($U176&amp;"",INDEX(FormData,0,f_Id),0),""))))</f>
        <v/>
      </c>
      <c r="X176">
        <f>IF(AND($B176&lt;&gt;"",$B176='Event Report'!$C$3),ROW(),"")</f>
        <v/>
      </c>
      <c r="Y176">
        <f>IF(AND($P176="✓",$R176=""),IF($Q176="",90000,$Q176)+ROW()/100000,"")</f>
        <v/>
      </c>
      <c r="Z176">
        <f>IF(OR($U176&lt;&gt;"",$D176&lt;&gt;"",$E176&lt;&gt;"",$N176&lt;&gt;""),1,"")</f>
        <v/>
      </c>
    </row>
    <row r="177">
      <c r="A177" s="13" t="inlineStr">
        <is>
          <t>P-0173</t>
        </is>
      </c>
      <c r="B177" s="14">
        <f>IF(AND($U177="",$C177=""),"",IFERROR(INDEX(EvID,MATCH(INDEX(FormData,$W177,f_Event),EvID,0)),IFERROR(INDEX(EvID,MATCH(INDEX(FormData,$W177,f_Event),EvName,0)),IFERROR(INDEX(EvID,MATCH(INT($C177),EvDate,0)),""))))</f>
        <v/>
      </c>
      <c r="C177" s="15">
        <f>IF($W177="","",INDEX(FormData,$W177,f_Time))</f>
        <v/>
      </c>
      <c r="D177" s="14">
        <f>IF($W177="","",IFERROR(UPPER(LEFT(TRIM(INDEX(FormData,$W177,f_Name)),1)&amp;IFERROR(MID(TRIM(INDEX(FormData,$W177,f_Name)),FIND("^",SUBSTITUTE(TRIM(INDEX(FormData,$W177,f_Name))," ","^",LEN(TRIM(INDEX(FormData,$W177,f_Name)))-LEN(SUBSTITUTE(TRIM(INDEX(FormData,$W177,f_Name))," ",""))))+1,1),"")),""))</f>
        <v/>
      </c>
      <c r="E177" s="16">
        <f>IF($W177="","",IFERROR(IF(SUMPRODUCT(MAX((WhoKW&lt;&gt;"")*ISNUMBER(SEARCH(WhoKW,INDEX(FormData,$W177,f_Who)&amp;""))*(ROW(WhoKW)-MIN(ROW(WhoKW))+1)))=0,"",INDEX(WhoVal,SUMPRODUCT(MAX((WhoKW&lt;&gt;"")*ISNUMBER(SEARCH(WhoKW,INDEX(FormData,$W177,f_Who)&amp;""))*(ROW(WhoKW)-MIN(ROW(WhoKW))+1))))),""))</f>
        <v/>
      </c>
      <c r="F177" s="17">
        <f>IF($W177="","",TRIM(IFERROR(INDEX(FormData,$W177,f_Org1)&amp;"","")&amp;" "&amp;IFERROR(INDEX(FormData,$W177,f_Org2)&amp;"","")))</f>
        <v/>
      </c>
      <c r="G177" s="16">
        <f>IF($W177="","",IFERROR(INDEX(FormData,$W177,f_Region)&amp;"",""))</f>
        <v/>
      </c>
      <c r="H177" s="16">
        <f>IF($W177="","",IFERROR(IF(SUMPRODUCT(MAX((SitKW&lt;&gt;"")*ISNUMBER(SEARCH(SitKW,INDEX(FormData,$W177,f_Sit)&amp;""))*(ROW(SitKW)-MIN(ROW(SitKW))+1)))=0,"",INDEX(SitVal,SUMPRODUCT(MAX((SitKW&lt;&gt;"")*ISNUMBER(SEARCH(SitKW,INDEX(FormData,$W177,f_Sit)&amp;""))*(ROW(SitKW)-MIN(ROW(SitKW))+1))))),""))</f>
        <v/>
      </c>
      <c r="I177" s="14">
        <f>IF($W177="","",IFERROR(INDEX(FormData,$W177,f_Appr)&amp;"",""))</f>
        <v/>
      </c>
      <c r="J177" s="16">
        <f>IF($W177="","",IFERROR(INDEX(FormData,$W177,f_Trade)&amp;"",""))</f>
        <v/>
      </c>
      <c r="K177" s="16" t="n"/>
      <c r="L177" s="17" t="n"/>
      <c r="M177" s="16" t="n"/>
      <c r="N177" s="17" t="n"/>
      <c r="O177" s="14" t="n"/>
      <c r="P177" s="14" t="n"/>
      <c r="Q177" s="18" t="n"/>
      <c r="R177" s="18" t="n"/>
      <c r="S177" s="13">
        <f>IF($P177&lt;&gt;"✓","",IF($R177&lt;&gt;"","Done",IF($Q177="","Open — no date",IF($Q177&lt;TODAY(),"Overdue",IF($Q177-TODAY()&lt;=DueSoon,"Due soon","Scheduled")))))</f>
        <v/>
      </c>
      <c r="T177" s="14">
        <f>IF($W177="","",IFERROR(IF(INDEX(FormData,$W177,f_Consent)&amp;""="","",IF(ISNUMBER(SEARCH("yes",INDEX(FormData,$W177,f_Consent))),"Yes","No")),""))</f>
        <v/>
      </c>
      <c r="U177" s="14" t="n"/>
      <c r="V177" s="13">
        <f>IF($U177="","",IF($W177="","not found","✓"))</f>
        <v/>
      </c>
      <c r="W177">
        <f>IF($U177="","",IFERROR(MATCH($U177,INDEX(FormData,0,f_Id),0),IFERROR(MATCH(--$U177,INDEX(FormData,0,f_Id),0),IFERROR(MATCH($U177&amp;"",INDEX(FormData,0,f_Id),0),""))))</f>
        <v/>
      </c>
      <c r="X177">
        <f>IF(AND($B177&lt;&gt;"",$B177='Event Report'!$C$3),ROW(),"")</f>
        <v/>
      </c>
      <c r="Y177">
        <f>IF(AND($P177="✓",$R177=""),IF($Q177="",90000,$Q177)+ROW()/100000,"")</f>
        <v/>
      </c>
      <c r="Z177">
        <f>IF(OR($U177&lt;&gt;"",$D177&lt;&gt;"",$E177&lt;&gt;"",$N177&lt;&gt;""),1,"")</f>
        <v/>
      </c>
    </row>
    <row r="178">
      <c r="A178" s="13" t="inlineStr">
        <is>
          <t>P-0174</t>
        </is>
      </c>
      <c r="B178" s="14">
        <f>IF(AND($U178="",$C178=""),"",IFERROR(INDEX(EvID,MATCH(INDEX(FormData,$W178,f_Event),EvID,0)),IFERROR(INDEX(EvID,MATCH(INDEX(FormData,$W178,f_Event),EvName,0)),IFERROR(INDEX(EvID,MATCH(INT($C178),EvDate,0)),""))))</f>
        <v/>
      </c>
      <c r="C178" s="15">
        <f>IF($W178="","",INDEX(FormData,$W178,f_Time))</f>
        <v/>
      </c>
      <c r="D178" s="14">
        <f>IF($W178="","",IFERROR(UPPER(LEFT(TRIM(INDEX(FormData,$W178,f_Name)),1)&amp;IFERROR(MID(TRIM(INDEX(FormData,$W178,f_Name)),FIND("^",SUBSTITUTE(TRIM(INDEX(FormData,$W178,f_Name))," ","^",LEN(TRIM(INDEX(FormData,$W178,f_Name)))-LEN(SUBSTITUTE(TRIM(INDEX(FormData,$W178,f_Name))," ",""))))+1,1),"")),""))</f>
        <v/>
      </c>
      <c r="E178" s="16">
        <f>IF($W178="","",IFERROR(IF(SUMPRODUCT(MAX((WhoKW&lt;&gt;"")*ISNUMBER(SEARCH(WhoKW,INDEX(FormData,$W178,f_Who)&amp;""))*(ROW(WhoKW)-MIN(ROW(WhoKW))+1)))=0,"",INDEX(WhoVal,SUMPRODUCT(MAX((WhoKW&lt;&gt;"")*ISNUMBER(SEARCH(WhoKW,INDEX(FormData,$W178,f_Who)&amp;""))*(ROW(WhoKW)-MIN(ROW(WhoKW))+1))))),""))</f>
        <v/>
      </c>
      <c r="F178" s="17">
        <f>IF($W178="","",TRIM(IFERROR(INDEX(FormData,$W178,f_Org1)&amp;"","")&amp;" "&amp;IFERROR(INDEX(FormData,$W178,f_Org2)&amp;"","")))</f>
        <v/>
      </c>
      <c r="G178" s="16">
        <f>IF($W178="","",IFERROR(INDEX(FormData,$W178,f_Region)&amp;"",""))</f>
        <v/>
      </c>
      <c r="H178" s="16">
        <f>IF($W178="","",IFERROR(IF(SUMPRODUCT(MAX((SitKW&lt;&gt;"")*ISNUMBER(SEARCH(SitKW,INDEX(FormData,$W178,f_Sit)&amp;""))*(ROW(SitKW)-MIN(ROW(SitKW))+1)))=0,"",INDEX(SitVal,SUMPRODUCT(MAX((SitKW&lt;&gt;"")*ISNUMBER(SEARCH(SitKW,INDEX(FormData,$W178,f_Sit)&amp;""))*(ROW(SitKW)-MIN(ROW(SitKW))+1))))),""))</f>
        <v/>
      </c>
      <c r="I178" s="14">
        <f>IF($W178="","",IFERROR(INDEX(FormData,$W178,f_Appr)&amp;"",""))</f>
        <v/>
      </c>
      <c r="J178" s="16">
        <f>IF($W178="","",IFERROR(INDEX(FormData,$W178,f_Trade)&amp;"",""))</f>
        <v/>
      </c>
      <c r="K178" s="16" t="n"/>
      <c r="L178" s="17" t="n"/>
      <c r="M178" s="16" t="n"/>
      <c r="N178" s="17" t="n"/>
      <c r="O178" s="14" t="n"/>
      <c r="P178" s="14" t="n"/>
      <c r="Q178" s="18" t="n"/>
      <c r="R178" s="18" t="n"/>
      <c r="S178" s="13">
        <f>IF($P178&lt;&gt;"✓","",IF($R178&lt;&gt;"","Done",IF($Q178="","Open — no date",IF($Q178&lt;TODAY(),"Overdue",IF($Q178-TODAY()&lt;=DueSoon,"Due soon","Scheduled")))))</f>
        <v/>
      </c>
      <c r="T178" s="14">
        <f>IF($W178="","",IFERROR(IF(INDEX(FormData,$W178,f_Consent)&amp;""="","",IF(ISNUMBER(SEARCH("yes",INDEX(FormData,$W178,f_Consent))),"Yes","No")),""))</f>
        <v/>
      </c>
      <c r="U178" s="14" t="n"/>
      <c r="V178" s="13">
        <f>IF($U178="","",IF($W178="","not found","✓"))</f>
        <v/>
      </c>
      <c r="W178">
        <f>IF($U178="","",IFERROR(MATCH($U178,INDEX(FormData,0,f_Id),0),IFERROR(MATCH(--$U178,INDEX(FormData,0,f_Id),0),IFERROR(MATCH($U178&amp;"",INDEX(FormData,0,f_Id),0),""))))</f>
        <v/>
      </c>
      <c r="X178">
        <f>IF(AND($B178&lt;&gt;"",$B178='Event Report'!$C$3),ROW(),"")</f>
        <v/>
      </c>
      <c r="Y178">
        <f>IF(AND($P178="✓",$R178=""),IF($Q178="",90000,$Q178)+ROW()/100000,"")</f>
        <v/>
      </c>
      <c r="Z178">
        <f>IF(OR($U178&lt;&gt;"",$D178&lt;&gt;"",$E178&lt;&gt;"",$N178&lt;&gt;""),1,"")</f>
        <v/>
      </c>
    </row>
    <row r="179">
      <c r="A179" s="13" t="inlineStr">
        <is>
          <t>P-0175</t>
        </is>
      </c>
      <c r="B179" s="14">
        <f>IF(AND($U179="",$C179=""),"",IFERROR(INDEX(EvID,MATCH(INDEX(FormData,$W179,f_Event),EvID,0)),IFERROR(INDEX(EvID,MATCH(INDEX(FormData,$W179,f_Event),EvName,0)),IFERROR(INDEX(EvID,MATCH(INT($C179),EvDate,0)),""))))</f>
        <v/>
      </c>
      <c r="C179" s="15">
        <f>IF($W179="","",INDEX(FormData,$W179,f_Time))</f>
        <v/>
      </c>
      <c r="D179" s="14">
        <f>IF($W179="","",IFERROR(UPPER(LEFT(TRIM(INDEX(FormData,$W179,f_Name)),1)&amp;IFERROR(MID(TRIM(INDEX(FormData,$W179,f_Name)),FIND("^",SUBSTITUTE(TRIM(INDEX(FormData,$W179,f_Name))," ","^",LEN(TRIM(INDEX(FormData,$W179,f_Name)))-LEN(SUBSTITUTE(TRIM(INDEX(FormData,$W179,f_Name))," ",""))))+1,1),"")),""))</f>
        <v/>
      </c>
      <c r="E179" s="16">
        <f>IF($W179="","",IFERROR(IF(SUMPRODUCT(MAX((WhoKW&lt;&gt;"")*ISNUMBER(SEARCH(WhoKW,INDEX(FormData,$W179,f_Who)&amp;""))*(ROW(WhoKW)-MIN(ROW(WhoKW))+1)))=0,"",INDEX(WhoVal,SUMPRODUCT(MAX((WhoKW&lt;&gt;"")*ISNUMBER(SEARCH(WhoKW,INDEX(FormData,$W179,f_Who)&amp;""))*(ROW(WhoKW)-MIN(ROW(WhoKW))+1))))),""))</f>
        <v/>
      </c>
      <c r="F179" s="17">
        <f>IF($W179="","",TRIM(IFERROR(INDEX(FormData,$W179,f_Org1)&amp;"","")&amp;" "&amp;IFERROR(INDEX(FormData,$W179,f_Org2)&amp;"","")))</f>
        <v/>
      </c>
      <c r="G179" s="16">
        <f>IF($W179="","",IFERROR(INDEX(FormData,$W179,f_Region)&amp;"",""))</f>
        <v/>
      </c>
      <c r="H179" s="16">
        <f>IF($W179="","",IFERROR(IF(SUMPRODUCT(MAX((SitKW&lt;&gt;"")*ISNUMBER(SEARCH(SitKW,INDEX(FormData,$W179,f_Sit)&amp;""))*(ROW(SitKW)-MIN(ROW(SitKW))+1)))=0,"",INDEX(SitVal,SUMPRODUCT(MAX((SitKW&lt;&gt;"")*ISNUMBER(SEARCH(SitKW,INDEX(FormData,$W179,f_Sit)&amp;""))*(ROW(SitKW)-MIN(ROW(SitKW))+1))))),""))</f>
        <v/>
      </c>
      <c r="I179" s="14">
        <f>IF($W179="","",IFERROR(INDEX(FormData,$W179,f_Appr)&amp;"",""))</f>
        <v/>
      </c>
      <c r="J179" s="16">
        <f>IF($W179="","",IFERROR(INDEX(FormData,$W179,f_Trade)&amp;"",""))</f>
        <v/>
      </c>
      <c r="K179" s="16" t="n"/>
      <c r="L179" s="17" t="n"/>
      <c r="M179" s="16" t="n"/>
      <c r="N179" s="17" t="n"/>
      <c r="O179" s="14" t="n"/>
      <c r="P179" s="14" t="n"/>
      <c r="Q179" s="18" t="n"/>
      <c r="R179" s="18" t="n"/>
      <c r="S179" s="13">
        <f>IF($P179&lt;&gt;"✓","",IF($R179&lt;&gt;"","Done",IF($Q179="","Open — no date",IF($Q179&lt;TODAY(),"Overdue",IF($Q179-TODAY()&lt;=DueSoon,"Due soon","Scheduled")))))</f>
        <v/>
      </c>
      <c r="T179" s="14">
        <f>IF($W179="","",IFERROR(IF(INDEX(FormData,$W179,f_Consent)&amp;""="","",IF(ISNUMBER(SEARCH("yes",INDEX(FormData,$W179,f_Consent))),"Yes","No")),""))</f>
        <v/>
      </c>
      <c r="U179" s="14" t="n"/>
      <c r="V179" s="13">
        <f>IF($U179="","",IF($W179="","not found","✓"))</f>
        <v/>
      </c>
      <c r="W179">
        <f>IF($U179="","",IFERROR(MATCH($U179,INDEX(FormData,0,f_Id),0),IFERROR(MATCH(--$U179,INDEX(FormData,0,f_Id),0),IFERROR(MATCH($U179&amp;"",INDEX(FormData,0,f_Id),0),""))))</f>
        <v/>
      </c>
      <c r="X179">
        <f>IF(AND($B179&lt;&gt;"",$B179='Event Report'!$C$3),ROW(),"")</f>
        <v/>
      </c>
      <c r="Y179">
        <f>IF(AND($P179="✓",$R179=""),IF($Q179="",90000,$Q179)+ROW()/100000,"")</f>
        <v/>
      </c>
      <c r="Z179">
        <f>IF(OR($U179&lt;&gt;"",$D179&lt;&gt;"",$E179&lt;&gt;"",$N179&lt;&gt;""),1,"")</f>
        <v/>
      </c>
    </row>
    <row r="180">
      <c r="A180" s="13" t="inlineStr">
        <is>
          <t>P-0176</t>
        </is>
      </c>
      <c r="B180" s="14">
        <f>IF(AND($U180="",$C180=""),"",IFERROR(INDEX(EvID,MATCH(INDEX(FormData,$W180,f_Event),EvID,0)),IFERROR(INDEX(EvID,MATCH(INDEX(FormData,$W180,f_Event),EvName,0)),IFERROR(INDEX(EvID,MATCH(INT($C180),EvDate,0)),""))))</f>
        <v/>
      </c>
      <c r="C180" s="15">
        <f>IF($W180="","",INDEX(FormData,$W180,f_Time))</f>
        <v/>
      </c>
      <c r="D180" s="14">
        <f>IF($W180="","",IFERROR(UPPER(LEFT(TRIM(INDEX(FormData,$W180,f_Name)),1)&amp;IFERROR(MID(TRIM(INDEX(FormData,$W180,f_Name)),FIND("^",SUBSTITUTE(TRIM(INDEX(FormData,$W180,f_Name))," ","^",LEN(TRIM(INDEX(FormData,$W180,f_Name)))-LEN(SUBSTITUTE(TRIM(INDEX(FormData,$W180,f_Name))," ",""))))+1,1),"")),""))</f>
        <v/>
      </c>
      <c r="E180" s="16">
        <f>IF($W180="","",IFERROR(IF(SUMPRODUCT(MAX((WhoKW&lt;&gt;"")*ISNUMBER(SEARCH(WhoKW,INDEX(FormData,$W180,f_Who)&amp;""))*(ROW(WhoKW)-MIN(ROW(WhoKW))+1)))=0,"",INDEX(WhoVal,SUMPRODUCT(MAX((WhoKW&lt;&gt;"")*ISNUMBER(SEARCH(WhoKW,INDEX(FormData,$W180,f_Who)&amp;""))*(ROW(WhoKW)-MIN(ROW(WhoKW))+1))))),""))</f>
        <v/>
      </c>
      <c r="F180" s="17">
        <f>IF($W180="","",TRIM(IFERROR(INDEX(FormData,$W180,f_Org1)&amp;"","")&amp;" "&amp;IFERROR(INDEX(FormData,$W180,f_Org2)&amp;"","")))</f>
        <v/>
      </c>
      <c r="G180" s="16">
        <f>IF($W180="","",IFERROR(INDEX(FormData,$W180,f_Region)&amp;"",""))</f>
        <v/>
      </c>
      <c r="H180" s="16">
        <f>IF($W180="","",IFERROR(IF(SUMPRODUCT(MAX((SitKW&lt;&gt;"")*ISNUMBER(SEARCH(SitKW,INDEX(FormData,$W180,f_Sit)&amp;""))*(ROW(SitKW)-MIN(ROW(SitKW))+1)))=0,"",INDEX(SitVal,SUMPRODUCT(MAX((SitKW&lt;&gt;"")*ISNUMBER(SEARCH(SitKW,INDEX(FormData,$W180,f_Sit)&amp;""))*(ROW(SitKW)-MIN(ROW(SitKW))+1))))),""))</f>
        <v/>
      </c>
      <c r="I180" s="14">
        <f>IF($W180="","",IFERROR(INDEX(FormData,$W180,f_Appr)&amp;"",""))</f>
        <v/>
      </c>
      <c r="J180" s="16">
        <f>IF($W180="","",IFERROR(INDEX(FormData,$W180,f_Trade)&amp;"",""))</f>
        <v/>
      </c>
      <c r="K180" s="16" t="n"/>
      <c r="L180" s="17" t="n"/>
      <c r="M180" s="16" t="n"/>
      <c r="N180" s="17" t="n"/>
      <c r="O180" s="14" t="n"/>
      <c r="P180" s="14" t="n"/>
      <c r="Q180" s="18" t="n"/>
      <c r="R180" s="18" t="n"/>
      <c r="S180" s="13">
        <f>IF($P180&lt;&gt;"✓","",IF($R180&lt;&gt;"","Done",IF($Q180="","Open — no date",IF($Q180&lt;TODAY(),"Overdue",IF($Q180-TODAY()&lt;=DueSoon,"Due soon","Scheduled")))))</f>
        <v/>
      </c>
      <c r="T180" s="14">
        <f>IF($W180="","",IFERROR(IF(INDEX(FormData,$W180,f_Consent)&amp;""="","",IF(ISNUMBER(SEARCH("yes",INDEX(FormData,$W180,f_Consent))),"Yes","No")),""))</f>
        <v/>
      </c>
      <c r="U180" s="14" t="n"/>
      <c r="V180" s="13">
        <f>IF($U180="","",IF($W180="","not found","✓"))</f>
        <v/>
      </c>
      <c r="W180">
        <f>IF($U180="","",IFERROR(MATCH($U180,INDEX(FormData,0,f_Id),0),IFERROR(MATCH(--$U180,INDEX(FormData,0,f_Id),0),IFERROR(MATCH($U180&amp;"",INDEX(FormData,0,f_Id),0),""))))</f>
        <v/>
      </c>
      <c r="X180">
        <f>IF(AND($B180&lt;&gt;"",$B180='Event Report'!$C$3),ROW(),"")</f>
        <v/>
      </c>
      <c r="Y180">
        <f>IF(AND($P180="✓",$R180=""),IF($Q180="",90000,$Q180)+ROW()/100000,"")</f>
        <v/>
      </c>
      <c r="Z180">
        <f>IF(OR($U180&lt;&gt;"",$D180&lt;&gt;"",$E180&lt;&gt;"",$N180&lt;&gt;""),1,"")</f>
        <v/>
      </c>
    </row>
    <row r="181">
      <c r="A181" s="13" t="inlineStr">
        <is>
          <t>P-0177</t>
        </is>
      </c>
      <c r="B181" s="14">
        <f>IF(AND($U181="",$C181=""),"",IFERROR(INDEX(EvID,MATCH(INDEX(FormData,$W181,f_Event),EvID,0)),IFERROR(INDEX(EvID,MATCH(INDEX(FormData,$W181,f_Event),EvName,0)),IFERROR(INDEX(EvID,MATCH(INT($C181),EvDate,0)),""))))</f>
        <v/>
      </c>
      <c r="C181" s="15">
        <f>IF($W181="","",INDEX(FormData,$W181,f_Time))</f>
        <v/>
      </c>
      <c r="D181" s="14">
        <f>IF($W181="","",IFERROR(UPPER(LEFT(TRIM(INDEX(FormData,$W181,f_Name)),1)&amp;IFERROR(MID(TRIM(INDEX(FormData,$W181,f_Name)),FIND("^",SUBSTITUTE(TRIM(INDEX(FormData,$W181,f_Name))," ","^",LEN(TRIM(INDEX(FormData,$W181,f_Name)))-LEN(SUBSTITUTE(TRIM(INDEX(FormData,$W181,f_Name))," ",""))))+1,1),"")),""))</f>
        <v/>
      </c>
      <c r="E181" s="16">
        <f>IF($W181="","",IFERROR(IF(SUMPRODUCT(MAX((WhoKW&lt;&gt;"")*ISNUMBER(SEARCH(WhoKW,INDEX(FormData,$W181,f_Who)&amp;""))*(ROW(WhoKW)-MIN(ROW(WhoKW))+1)))=0,"",INDEX(WhoVal,SUMPRODUCT(MAX((WhoKW&lt;&gt;"")*ISNUMBER(SEARCH(WhoKW,INDEX(FormData,$W181,f_Who)&amp;""))*(ROW(WhoKW)-MIN(ROW(WhoKW))+1))))),""))</f>
        <v/>
      </c>
      <c r="F181" s="17">
        <f>IF($W181="","",TRIM(IFERROR(INDEX(FormData,$W181,f_Org1)&amp;"","")&amp;" "&amp;IFERROR(INDEX(FormData,$W181,f_Org2)&amp;"","")))</f>
        <v/>
      </c>
      <c r="G181" s="16">
        <f>IF($W181="","",IFERROR(INDEX(FormData,$W181,f_Region)&amp;"",""))</f>
        <v/>
      </c>
      <c r="H181" s="16">
        <f>IF($W181="","",IFERROR(IF(SUMPRODUCT(MAX((SitKW&lt;&gt;"")*ISNUMBER(SEARCH(SitKW,INDEX(FormData,$W181,f_Sit)&amp;""))*(ROW(SitKW)-MIN(ROW(SitKW))+1)))=0,"",INDEX(SitVal,SUMPRODUCT(MAX((SitKW&lt;&gt;"")*ISNUMBER(SEARCH(SitKW,INDEX(FormData,$W181,f_Sit)&amp;""))*(ROW(SitKW)-MIN(ROW(SitKW))+1))))),""))</f>
        <v/>
      </c>
      <c r="I181" s="14">
        <f>IF($W181="","",IFERROR(INDEX(FormData,$W181,f_Appr)&amp;"",""))</f>
        <v/>
      </c>
      <c r="J181" s="16">
        <f>IF($W181="","",IFERROR(INDEX(FormData,$W181,f_Trade)&amp;"",""))</f>
        <v/>
      </c>
      <c r="K181" s="16" t="n"/>
      <c r="L181" s="17" t="n"/>
      <c r="M181" s="16" t="n"/>
      <c r="N181" s="17" t="n"/>
      <c r="O181" s="14" t="n"/>
      <c r="P181" s="14" t="n"/>
      <c r="Q181" s="18" t="n"/>
      <c r="R181" s="18" t="n"/>
      <c r="S181" s="13">
        <f>IF($P181&lt;&gt;"✓","",IF($R181&lt;&gt;"","Done",IF($Q181="","Open — no date",IF($Q181&lt;TODAY(),"Overdue",IF($Q181-TODAY()&lt;=DueSoon,"Due soon","Scheduled")))))</f>
        <v/>
      </c>
      <c r="T181" s="14">
        <f>IF($W181="","",IFERROR(IF(INDEX(FormData,$W181,f_Consent)&amp;""="","",IF(ISNUMBER(SEARCH("yes",INDEX(FormData,$W181,f_Consent))),"Yes","No")),""))</f>
        <v/>
      </c>
      <c r="U181" s="14" t="n"/>
      <c r="V181" s="13">
        <f>IF($U181="","",IF($W181="","not found","✓"))</f>
        <v/>
      </c>
      <c r="W181">
        <f>IF($U181="","",IFERROR(MATCH($U181,INDEX(FormData,0,f_Id),0),IFERROR(MATCH(--$U181,INDEX(FormData,0,f_Id),0),IFERROR(MATCH($U181&amp;"",INDEX(FormData,0,f_Id),0),""))))</f>
        <v/>
      </c>
      <c r="X181">
        <f>IF(AND($B181&lt;&gt;"",$B181='Event Report'!$C$3),ROW(),"")</f>
        <v/>
      </c>
      <c r="Y181">
        <f>IF(AND($P181="✓",$R181=""),IF($Q181="",90000,$Q181)+ROW()/100000,"")</f>
        <v/>
      </c>
      <c r="Z181">
        <f>IF(OR($U181&lt;&gt;"",$D181&lt;&gt;"",$E181&lt;&gt;"",$N181&lt;&gt;""),1,"")</f>
        <v/>
      </c>
    </row>
    <row r="182">
      <c r="A182" s="13" t="inlineStr">
        <is>
          <t>P-0178</t>
        </is>
      </c>
      <c r="B182" s="14">
        <f>IF(AND($U182="",$C182=""),"",IFERROR(INDEX(EvID,MATCH(INDEX(FormData,$W182,f_Event),EvID,0)),IFERROR(INDEX(EvID,MATCH(INDEX(FormData,$W182,f_Event),EvName,0)),IFERROR(INDEX(EvID,MATCH(INT($C182),EvDate,0)),""))))</f>
        <v/>
      </c>
      <c r="C182" s="15">
        <f>IF($W182="","",INDEX(FormData,$W182,f_Time))</f>
        <v/>
      </c>
      <c r="D182" s="14">
        <f>IF($W182="","",IFERROR(UPPER(LEFT(TRIM(INDEX(FormData,$W182,f_Name)),1)&amp;IFERROR(MID(TRIM(INDEX(FormData,$W182,f_Name)),FIND("^",SUBSTITUTE(TRIM(INDEX(FormData,$W182,f_Name))," ","^",LEN(TRIM(INDEX(FormData,$W182,f_Name)))-LEN(SUBSTITUTE(TRIM(INDEX(FormData,$W182,f_Name))," ",""))))+1,1),"")),""))</f>
        <v/>
      </c>
      <c r="E182" s="16">
        <f>IF($W182="","",IFERROR(IF(SUMPRODUCT(MAX((WhoKW&lt;&gt;"")*ISNUMBER(SEARCH(WhoKW,INDEX(FormData,$W182,f_Who)&amp;""))*(ROW(WhoKW)-MIN(ROW(WhoKW))+1)))=0,"",INDEX(WhoVal,SUMPRODUCT(MAX((WhoKW&lt;&gt;"")*ISNUMBER(SEARCH(WhoKW,INDEX(FormData,$W182,f_Who)&amp;""))*(ROW(WhoKW)-MIN(ROW(WhoKW))+1))))),""))</f>
        <v/>
      </c>
      <c r="F182" s="17">
        <f>IF($W182="","",TRIM(IFERROR(INDEX(FormData,$W182,f_Org1)&amp;"","")&amp;" "&amp;IFERROR(INDEX(FormData,$W182,f_Org2)&amp;"","")))</f>
        <v/>
      </c>
      <c r="G182" s="16">
        <f>IF($W182="","",IFERROR(INDEX(FormData,$W182,f_Region)&amp;"",""))</f>
        <v/>
      </c>
      <c r="H182" s="16">
        <f>IF($W182="","",IFERROR(IF(SUMPRODUCT(MAX((SitKW&lt;&gt;"")*ISNUMBER(SEARCH(SitKW,INDEX(FormData,$W182,f_Sit)&amp;""))*(ROW(SitKW)-MIN(ROW(SitKW))+1)))=0,"",INDEX(SitVal,SUMPRODUCT(MAX((SitKW&lt;&gt;"")*ISNUMBER(SEARCH(SitKW,INDEX(FormData,$W182,f_Sit)&amp;""))*(ROW(SitKW)-MIN(ROW(SitKW))+1))))),""))</f>
        <v/>
      </c>
      <c r="I182" s="14">
        <f>IF($W182="","",IFERROR(INDEX(FormData,$W182,f_Appr)&amp;"",""))</f>
        <v/>
      </c>
      <c r="J182" s="16">
        <f>IF($W182="","",IFERROR(INDEX(FormData,$W182,f_Trade)&amp;"",""))</f>
        <v/>
      </c>
      <c r="K182" s="16" t="n"/>
      <c r="L182" s="17" t="n"/>
      <c r="M182" s="16" t="n"/>
      <c r="N182" s="17" t="n"/>
      <c r="O182" s="14" t="n"/>
      <c r="P182" s="14" t="n"/>
      <c r="Q182" s="18" t="n"/>
      <c r="R182" s="18" t="n"/>
      <c r="S182" s="13">
        <f>IF($P182&lt;&gt;"✓","",IF($R182&lt;&gt;"","Done",IF($Q182="","Open — no date",IF($Q182&lt;TODAY(),"Overdue",IF($Q182-TODAY()&lt;=DueSoon,"Due soon","Scheduled")))))</f>
        <v/>
      </c>
      <c r="T182" s="14">
        <f>IF($W182="","",IFERROR(IF(INDEX(FormData,$W182,f_Consent)&amp;""="","",IF(ISNUMBER(SEARCH("yes",INDEX(FormData,$W182,f_Consent))),"Yes","No")),""))</f>
        <v/>
      </c>
      <c r="U182" s="14" t="n"/>
      <c r="V182" s="13">
        <f>IF($U182="","",IF($W182="","not found","✓"))</f>
        <v/>
      </c>
      <c r="W182">
        <f>IF($U182="","",IFERROR(MATCH($U182,INDEX(FormData,0,f_Id),0),IFERROR(MATCH(--$U182,INDEX(FormData,0,f_Id),0),IFERROR(MATCH($U182&amp;"",INDEX(FormData,0,f_Id),0),""))))</f>
        <v/>
      </c>
      <c r="X182">
        <f>IF(AND($B182&lt;&gt;"",$B182='Event Report'!$C$3),ROW(),"")</f>
        <v/>
      </c>
      <c r="Y182">
        <f>IF(AND($P182="✓",$R182=""),IF($Q182="",90000,$Q182)+ROW()/100000,"")</f>
        <v/>
      </c>
      <c r="Z182">
        <f>IF(OR($U182&lt;&gt;"",$D182&lt;&gt;"",$E182&lt;&gt;"",$N182&lt;&gt;""),1,"")</f>
        <v/>
      </c>
    </row>
    <row r="183">
      <c r="A183" s="13" t="inlineStr">
        <is>
          <t>P-0179</t>
        </is>
      </c>
      <c r="B183" s="14">
        <f>IF(AND($U183="",$C183=""),"",IFERROR(INDEX(EvID,MATCH(INDEX(FormData,$W183,f_Event),EvID,0)),IFERROR(INDEX(EvID,MATCH(INDEX(FormData,$W183,f_Event),EvName,0)),IFERROR(INDEX(EvID,MATCH(INT($C183),EvDate,0)),""))))</f>
        <v/>
      </c>
      <c r="C183" s="15">
        <f>IF($W183="","",INDEX(FormData,$W183,f_Time))</f>
        <v/>
      </c>
      <c r="D183" s="14">
        <f>IF($W183="","",IFERROR(UPPER(LEFT(TRIM(INDEX(FormData,$W183,f_Name)),1)&amp;IFERROR(MID(TRIM(INDEX(FormData,$W183,f_Name)),FIND("^",SUBSTITUTE(TRIM(INDEX(FormData,$W183,f_Name))," ","^",LEN(TRIM(INDEX(FormData,$W183,f_Name)))-LEN(SUBSTITUTE(TRIM(INDEX(FormData,$W183,f_Name))," ",""))))+1,1),"")),""))</f>
        <v/>
      </c>
      <c r="E183" s="16">
        <f>IF($W183="","",IFERROR(IF(SUMPRODUCT(MAX((WhoKW&lt;&gt;"")*ISNUMBER(SEARCH(WhoKW,INDEX(FormData,$W183,f_Who)&amp;""))*(ROW(WhoKW)-MIN(ROW(WhoKW))+1)))=0,"",INDEX(WhoVal,SUMPRODUCT(MAX((WhoKW&lt;&gt;"")*ISNUMBER(SEARCH(WhoKW,INDEX(FormData,$W183,f_Who)&amp;""))*(ROW(WhoKW)-MIN(ROW(WhoKW))+1))))),""))</f>
        <v/>
      </c>
      <c r="F183" s="17">
        <f>IF($W183="","",TRIM(IFERROR(INDEX(FormData,$W183,f_Org1)&amp;"","")&amp;" "&amp;IFERROR(INDEX(FormData,$W183,f_Org2)&amp;"","")))</f>
        <v/>
      </c>
      <c r="G183" s="16">
        <f>IF($W183="","",IFERROR(INDEX(FormData,$W183,f_Region)&amp;"",""))</f>
        <v/>
      </c>
      <c r="H183" s="16">
        <f>IF($W183="","",IFERROR(IF(SUMPRODUCT(MAX((SitKW&lt;&gt;"")*ISNUMBER(SEARCH(SitKW,INDEX(FormData,$W183,f_Sit)&amp;""))*(ROW(SitKW)-MIN(ROW(SitKW))+1)))=0,"",INDEX(SitVal,SUMPRODUCT(MAX((SitKW&lt;&gt;"")*ISNUMBER(SEARCH(SitKW,INDEX(FormData,$W183,f_Sit)&amp;""))*(ROW(SitKW)-MIN(ROW(SitKW))+1))))),""))</f>
        <v/>
      </c>
      <c r="I183" s="14">
        <f>IF($W183="","",IFERROR(INDEX(FormData,$W183,f_Appr)&amp;"",""))</f>
        <v/>
      </c>
      <c r="J183" s="16">
        <f>IF($W183="","",IFERROR(INDEX(FormData,$W183,f_Trade)&amp;"",""))</f>
        <v/>
      </c>
      <c r="K183" s="16" t="n"/>
      <c r="L183" s="17" t="n"/>
      <c r="M183" s="16" t="n"/>
      <c r="N183" s="17" t="n"/>
      <c r="O183" s="14" t="n"/>
      <c r="P183" s="14" t="n"/>
      <c r="Q183" s="18" t="n"/>
      <c r="R183" s="18" t="n"/>
      <c r="S183" s="13">
        <f>IF($P183&lt;&gt;"✓","",IF($R183&lt;&gt;"","Done",IF($Q183="","Open — no date",IF($Q183&lt;TODAY(),"Overdue",IF($Q183-TODAY()&lt;=DueSoon,"Due soon","Scheduled")))))</f>
        <v/>
      </c>
      <c r="T183" s="14">
        <f>IF($W183="","",IFERROR(IF(INDEX(FormData,$W183,f_Consent)&amp;""="","",IF(ISNUMBER(SEARCH("yes",INDEX(FormData,$W183,f_Consent))),"Yes","No")),""))</f>
        <v/>
      </c>
      <c r="U183" s="14" t="n"/>
      <c r="V183" s="13">
        <f>IF($U183="","",IF($W183="","not found","✓"))</f>
        <v/>
      </c>
      <c r="W183">
        <f>IF($U183="","",IFERROR(MATCH($U183,INDEX(FormData,0,f_Id),0),IFERROR(MATCH(--$U183,INDEX(FormData,0,f_Id),0),IFERROR(MATCH($U183&amp;"",INDEX(FormData,0,f_Id),0),""))))</f>
        <v/>
      </c>
      <c r="X183">
        <f>IF(AND($B183&lt;&gt;"",$B183='Event Report'!$C$3),ROW(),"")</f>
        <v/>
      </c>
      <c r="Y183">
        <f>IF(AND($P183="✓",$R183=""),IF($Q183="",90000,$Q183)+ROW()/100000,"")</f>
        <v/>
      </c>
      <c r="Z183">
        <f>IF(OR($U183&lt;&gt;"",$D183&lt;&gt;"",$E183&lt;&gt;"",$N183&lt;&gt;""),1,"")</f>
        <v/>
      </c>
    </row>
    <row r="184">
      <c r="A184" s="13" t="inlineStr">
        <is>
          <t>P-0180</t>
        </is>
      </c>
      <c r="B184" s="14">
        <f>IF(AND($U184="",$C184=""),"",IFERROR(INDEX(EvID,MATCH(INDEX(FormData,$W184,f_Event),EvID,0)),IFERROR(INDEX(EvID,MATCH(INDEX(FormData,$W184,f_Event),EvName,0)),IFERROR(INDEX(EvID,MATCH(INT($C184),EvDate,0)),""))))</f>
        <v/>
      </c>
      <c r="C184" s="15">
        <f>IF($W184="","",INDEX(FormData,$W184,f_Time))</f>
        <v/>
      </c>
      <c r="D184" s="14">
        <f>IF($W184="","",IFERROR(UPPER(LEFT(TRIM(INDEX(FormData,$W184,f_Name)),1)&amp;IFERROR(MID(TRIM(INDEX(FormData,$W184,f_Name)),FIND("^",SUBSTITUTE(TRIM(INDEX(FormData,$W184,f_Name))," ","^",LEN(TRIM(INDEX(FormData,$W184,f_Name)))-LEN(SUBSTITUTE(TRIM(INDEX(FormData,$W184,f_Name))," ",""))))+1,1),"")),""))</f>
        <v/>
      </c>
      <c r="E184" s="16">
        <f>IF($W184="","",IFERROR(IF(SUMPRODUCT(MAX((WhoKW&lt;&gt;"")*ISNUMBER(SEARCH(WhoKW,INDEX(FormData,$W184,f_Who)&amp;""))*(ROW(WhoKW)-MIN(ROW(WhoKW))+1)))=0,"",INDEX(WhoVal,SUMPRODUCT(MAX((WhoKW&lt;&gt;"")*ISNUMBER(SEARCH(WhoKW,INDEX(FormData,$W184,f_Who)&amp;""))*(ROW(WhoKW)-MIN(ROW(WhoKW))+1))))),""))</f>
        <v/>
      </c>
      <c r="F184" s="17">
        <f>IF($W184="","",TRIM(IFERROR(INDEX(FormData,$W184,f_Org1)&amp;"","")&amp;" "&amp;IFERROR(INDEX(FormData,$W184,f_Org2)&amp;"","")))</f>
        <v/>
      </c>
      <c r="G184" s="16">
        <f>IF($W184="","",IFERROR(INDEX(FormData,$W184,f_Region)&amp;"",""))</f>
        <v/>
      </c>
      <c r="H184" s="16">
        <f>IF($W184="","",IFERROR(IF(SUMPRODUCT(MAX((SitKW&lt;&gt;"")*ISNUMBER(SEARCH(SitKW,INDEX(FormData,$W184,f_Sit)&amp;""))*(ROW(SitKW)-MIN(ROW(SitKW))+1)))=0,"",INDEX(SitVal,SUMPRODUCT(MAX((SitKW&lt;&gt;"")*ISNUMBER(SEARCH(SitKW,INDEX(FormData,$W184,f_Sit)&amp;""))*(ROW(SitKW)-MIN(ROW(SitKW))+1))))),""))</f>
        <v/>
      </c>
      <c r="I184" s="14">
        <f>IF($W184="","",IFERROR(INDEX(FormData,$W184,f_Appr)&amp;"",""))</f>
        <v/>
      </c>
      <c r="J184" s="16">
        <f>IF($W184="","",IFERROR(INDEX(FormData,$W184,f_Trade)&amp;"",""))</f>
        <v/>
      </c>
      <c r="K184" s="16" t="n"/>
      <c r="L184" s="17" t="n"/>
      <c r="M184" s="16" t="n"/>
      <c r="N184" s="17" t="n"/>
      <c r="O184" s="14" t="n"/>
      <c r="P184" s="14" t="n"/>
      <c r="Q184" s="18" t="n"/>
      <c r="R184" s="18" t="n"/>
      <c r="S184" s="13">
        <f>IF($P184&lt;&gt;"✓","",IF($R184&lt;&gt;"","Done",IF($Q184="","Open — no date",IF($Q184&lt;TODAY(),"Overdue",IF($Q184-TODAY()&lt;=DueSoon,"Due soon","Scheduled")))))</f>
        <v/>
      </c>
      <c r="T184" s="14">
        <f>IF($W184="","",IFERROR(IF(INDEX(FormData,$W184,f_Consent)&amp;""="","",IF(ISNUMBER(SEARCH("yes",INDEX(FormData,$W184,f_Consent))),"Yes","No")),""))</f>
        <v/>
      </c>
      <c r="U184" s="14" t="n"/>
      <c r="V184" s="13">
        <f>IF($U184="","",IF($W184="","not found","✓"))</f>
        <v/>
      </c>
      <c r="W184">
        <f>IF($U184="","",IFERROR(MATCH($U184,INDEX(FormData,0,f_Id),0),IFERROR(MATCH(--$U184,INDEX(FormData,0,f_Id),0),IFERROR(MATCH($U184&amp;"",INDEX(FormData,0,f_Id),0),""))))</f>
        <v/>
      </c>
      <c r="X184">
        <f>IF(AND($B184&lt;&gt;"",$B184='Event Report'!$C$3),ROW(),"")</f>
        <v/>
      </c>
      <c r="Y184">
        <f>IF(AND($P184="✓",$R184=""),IF($Q184="",90000,$Q184)+ROW()/100000,"")</f>
        <v/>
      </c>
      <c r="Z184">
        <f>IF(OR($U184&lt;&gt;"",$D184&lt;&gt;"",$E184&lt;&gt;"",$N184&lt;&gt;""),1,"")</f>
        <v/>
      </c>
    </row>
    <row r="185">
      <c r="A185" s="13" t="inlineStr">
        <is>
          <t>P-0181</t>
        </is>
      </c>
      <c r="B185" s="14">
        <f>IF(AND($U185="",$C185=""),"",IFERROR(INDEX(EvID,MATCH(INDEX(FormData,$W185,f_Event),EvID,0)),IFERROR(INDEX(EvID,MATCH(INDEX(FormData,$W185,f_Event),EvName,0)),IFERROR(INDEX(EvID,MATCH(INT($C185),EvDate,0)),""))))</f>
        <v/>
      </c>
      <c r="C185" s="15">
        <f>IF($W185="","",INDEX(FormData,$W185,f_Time))</f>
        <v/>
      </c>
      <c r="D185" s="14">
        <f>IF($W185="","",IFERROR(UPPER(LEFT(TRIM(INDEX(FormData,$W185,f_Name)),1)&amp;IFERROR(MID(TRIM(INDEX(FormData,$W185,f_Name)),FIND("^",SUBSTITUTE(TRIM(INDEX(FormData,$W185,f_Name))," ","^",LEN(TRIM(INDEX(FormData,$W185,f_Name)))-LEN(SUBSTITUTE(TRIM(INDEX(FormData,$W185,f_Name))," ",""))))+1,1),"")),""))</f>
        <v/>
      </c>
      <c r="E185" s="16">
        <f>IF($W185="","",IFERROR(IF(SUMPRODUCT(MAX((WhoKW&lt;&gt;"")*ISNUMBER(SEARCH(WhoKW,INDEX(FormData,$W185,f_Who)&amp;""))*(ROW(WhoKW)-MIN(ROW(WhoKW))+1)))=0,"",INDEX(WhoVal,SUMPRODUCT(MAX((WhoKW&lt;&gt;"")*ISNUMBER(SEARCH(WhoKW,INDEX(FormData,$W185,f_Who)&amp;""))*(ROW(WhoKW)-MIN(ROW(WhoKW))+1))))),""))</f>
        <v/>
      </c>
      <c r="F185" s="17">
        <f>IF($W185="","",TRIM(IFERROR(INDEX(FormData,$W185,f_Org1)&amp;"","")&amp;" "&amp;IFERROR(INDEX(FormData,$W185,f_Org2)&amp;"","")))</f>
        <v/>
      </c>
      <c r="G185" s="16">
        <f>IF($W185="","",IFERROR(INDEX(FormData,$W185,f_Region)&amp;"",""))</f>
        <v/>
      </c>
      <c r="H185" s="16">
        <f>IF($W185="","",IFERROR(IF(SUMPRODUCT(MAX((SitKW&lt;&gt;"")*ISNUMBER(SEARCH(SitKW,INDEX(FormData,$W185,f_Sit)&amp;""))*(ROW(SitKW)-MIN(ROW(SitKW))+1)))=0,"",INDEX(SitVal,SUMPRODUCT(MAX((SitKW&lt;&gt;"")*ISNUMBER(SEARCH(SitKW,INDEX(FormData,$W185,f_Sit)&amp;""))*(ROW(SitKW)-MIN(ROW(SitKW))+1))))),""))</f>
        <v/>
      </c>
      <c r="I185" s="14">
        <f>IF($W185="","",IFERROR(INDEX(FormData,$W185,f_Appr)&amp;"",""))</f>
        <v/>
      </c>
      <c r="J185" s="16">
        <f>IF($W185="","",IFERROR(INDEX(FormData,$W185,f_Trade)&amp;"",""))</f>
        <v/>
      </c>
      <c r="K185" s="16" t="n"/>
      <c r="L185" s="17" t="n"/>
      <c r="M185" s="16" t="n"/>
      <c r="N185" s="17" t="n"/>
      <c r="O185" s="14" t="n"/>
      <c r="P185" s="14" t="n"/>
      <c r="Q185" s="18" t="n"/>
      <c r="R185" s="18" t="n"/>
      <c r="S185" s="13">
        <f>IF($P185&lt;&gt;"✓","",IF($R185&lt;&gt;"","Done",IF($Q185="","Open — no date",IF($Q185&lt;TODAY(),"Overdue",IF($Q185-TODAY()&lt;=DueSoon,"Due soon","Scheduled")))))</f>
        <v/>
      </c>
      <c r="T185" s="14">
        <f>IF($W185="","",IFERROR(IF(INDEX(FormData,$W185,f_Consent)&amp;""="","",IF(ISNUMBER(SEARCH("yes",INDEX(FormData,$W185,f_Consent))),"Yes","No")),""))</f>
        <v/>
      </c>
      <c r="U185" s="14" t="n"/>
      <c r="V185" s="13">
        <f>IF($U185="","",IF($W185="","not found","✓"))</f>
        <v/>
      </c>
      <c r="W185">
        <f>IF($U185="","",IFERROR(MATCH($U185,INDEX(FormData,0,f_Id),0),IFERROR(MATCH(--$U185,INDEX(FormData,0,f_Id),0),IFERROR(MATCH($U185&amp;"",INDEX(FormData,0,f_Id),0),""))))</f>
        <v/>
      </c>
      <c r="X185">
        <f>IF(AND($B185&lt;&gt;"",$B185='Event Report'!$C$3),ROW(),"")</f>
        <v/>
      </c>
      <c r="Y185">
        <f>IF(AND($P185="✓",$R185=""),IF($Q185="",90000,$Q185)+ROW()/100000,"")</f>
        <v/>
      </c>
      <c r="Z185">
        <f>IF(OR($U185&lt;&gt;"",$D185&lt;&gt;"",$E185&lt;&gt;"",$N185&lt;&gt;""),1,"")</f>
        <v/>
      </c>
    </row>
    <row r="186">
      <c r="A186" s="13" t="inlineStr">
        <is>
          <t>P-0182</t>
        </is>
      </c>
      <c r="B186" s="14">
        <f>IF(AND($U186="",$C186=""),"",IFERROR(INDEX(EvID,MATCH(INDEX(FormData,$W186,f_Event),EvID,0)),IFERROR(INDEX(EvID,MATCH(INDEX(FormData,$W186,f_Event),EvName,0)),IFERROR(INDEX(EvID,MATCH(INT($C186),EvDate,0)),""))))</f>
        <v/>
      </c>
      <c r="C186" s="15">
        <f>IF($W186="","",INDEX(FormData,$W186,f_Time))</f>
        <v/>
      </c>
      <c r="D186" s="14">
        <f>IF($W186="","",IFERROR(UPPER(LEFT(TRIM(INDEX(FormData,$W186,f_Name)),1)&amp;IFERROR(MID(TRIM(INDEX(FormData,$W186,f_Name)),FIND("^",SUBSTITUTE(TRIM(INDEX(FormData,$W186,f_Name))," ","^",LEN(TRIM(INDEX(FormData,$W186,f_Name)))-LEN(SUBSTITUTE(TRIM(INDEX(FormData,$W186,f_Name))," ",""))))+1,1),"")),""))</f>
        <v/>
      </c>
      <c r="E186" s="16">
        <f>IF($W186="","",IFERROR(IF(SUMPRODUCT(MAX((WhoKW&lt;&gt;"")*ISNUMBER(SEARCH(WhoKW,INDEX(FormData,$W186,f_Who)&amp;""))*(ROW(WhoKW)-MIN(ROW(WhoKW))+1)))=0,"",INDEX(WhoVal,SUMPRODUCT(MAX((WhoKW&lt;&gt;"")*ISNUMBER(SEARCH(WhoKW,INDEX(FormData,$W186,f_Who)&amp;""))*(ROW(WhoKW)-MIN(ROW(WhoKW))+1))))),""))</f>
        <v/>
      </c>
      <c r="F186" s="17">
        <f>IF($W186="","",TRIM(IFERROR(INDEX(FormData,$W186,f_Org1)&amp;"","")&amp;" "&amp;IFERROR(INDEX(FormData,$W186,f_Org2)&amp;"","")))</f>
        <v/>
      </c>
      <c r="G186" s="16">
        <f>IF($W186="","",IFERROR(INDEX(FormData,$W186,f_Region)&amp;"",""))</f>
        <v/>
      </c>
      <c r="H186" s="16">
        <f>IF($W186="","",IFERROR(IF(SUMPRODUCT(MAX((SitKW&lt;&gt;"")*ISNUMBER(SEARCH(SitKW,INDEX(FormData,$W186,f_Sit)&amp;""))*(ROW(SitKW)-MIN(ROW(SitKW))+1)))=0,"",INDEX(SitVal,SUMPRODUCT(MAX((SitKW&lt;&gt;"")*ISNUMBER(SEARCH(SitKW,INDEX(FormData,$W186,f_Sit)&amp;""))*(ROW(SitKW)-MIN(ROW(SitKW))+1))))),""))</f>
        <v/>
      </c>
      <c r="I186" s="14">
        <f>IF($W186="","",IFERROR(INDEX(FormData,$W186,f_Appr)&amp;"",""))</f>
        <v/>
      </c>
      <c r="J186" s="16">
        <f>IF($W186="","",IFERROR(INDEX(FormData,$W186,f_Trade)&amp;"",""))</f>
        <v/>
      </c>
      <c r="K186" s="16" t="n"/>
      <c r="L186" s="17" t="n"/>
      <c r="M186" s="16" t="n"/>
      <c r="N186" s="17" t="n"/>
      <c r="O186" s="14" t="n"/>
      <c r="P186" s="14" t="n"/>
      <c r="Q186" s="18" t="n"/>
      <c r="R186" s="18" t="n"/>
      <c r="S186" s="13">
        <f>IF($P186&lt;&gt;"✓","",IF($R186&lt;&gt;"","Done",IF($Q186="","Open — no date",IF($Q186&lt;TODAY(),"Overdue",IF($Q186-TODAY()&lt;=DueSoon,"Due soon","Scheduled")))))</f>
        <v/>
      </c>
      <c r="T186" s="14">
        <f>IF($W186="","",IFERROR(IF(INDEX(FormData,$W186,f_Consent)&amp;""="","",IF(ISNUMBER(SEARCH("yes",INDEX(FormData,$W186,f_Consent))),"Yes","No")),""))</f>
        <v/>
      </c>
      <c r="U186" s="14" t="n"/>
      <c r="V186" s="13">
        <f>IF($U186="","",IF($W186="","not found","✓"))</f>
        <v/>
      </c>
      <c r="W186">
        <f>IF($U186="","",IFERROR(MATCH($U186,INDEX(FormData,0,f_Id),0),IFERROR(MATCH(--$U186,INDEX(FormData,0,f_Id),0),IFERROR(MATCH($U186&amp;"",INDEX(FormData,0,f_Id),0),""))))</f>
        <v/>
      </c>
      <c r="X186">
        <f>IF(AND($B186&lt;&gt;"",$B186='Event Report'!$C$3),ROW(),"")</f>
        <v/>
      </c>
      <c r="Y186">
        <f>IF(AND($P186="✓",$R186=""),IF($Q186="",90000,$Q186)+ROW()/100000,"")</f>
        <v/>
      </c>
      <c r="Z186">
        <f>IF(OR($U186&lt;&gt;"",$D186&lt;&gt;"",$E186&lt;&gt;"",$N186&lt;&gt;""),1,"")</f>
        <v/>
      </c>
    </row>
    <row r="187">
      <c r="A187" s="13" t="inlineStr">
        <is>
          <t>P-0183</t>
        </is>
      </c>
      <c r="B187" s="14">
        <f>IF(AND($U187="",$C187=""),"",IFERROR(INDEX(EvID,MATCH(INDEX(FormData,$W187,f_Event),EvID,0)),IFERROR(INDEX(EvID,MATCH(INDEX(FormData,$W187,f_Event),EvName,0)),IFERROR(INDEX(EvID,MATCH(INT($C187),EvDate,0)),""))))</f>
        <v/>
      </c>
      <c r="C187" s="15">
        <f>IF($W187="","",INDEX(FormData,$W187,f_Time))</f>
        <v/>
      </c>
      <c r="D187" s="14">
        <f>IF($W187="","",IFERROR(UPPER(LEFT(TRIM(INDEX(FormData,$W187,f_Name)),1)&amp;IFERROR(MID(TRIM(INDEX(FormData,$W187,f_Name)),FIND("^",SUBSTITUTE(TRIM(INDEX(FormData,$W187,f_Name))," ","^",LEN(TRIM(INDEX(FormData,$W187,f_Name)))-LEN(SUBSTITUTE(TRIM(INDEX(FormData,$W187,f_Name))," ",""))))+1,1),"")),""))</f>
        <v/>
      </c>
      <c r="E187" s="16">
        <f>IF($W187="","",IFERROR(IF(SUMPRODUCT(MAX((WhoKW&lt;&gt;"")*ISNUMBER(SEARCH(WhoKW,INDEX(FormData,$W187,f_Who)&amp;""))*(ROW(WhoKW)-MIN(ROW(WhoKW))+1)))=0,"",INDEX(WhoVal,SUMPRODUCT(MAX((WhoKW&lt;&gt;"")*ISNUMBER(SEARCH(WhoKW,INDEX(FormData,$W187,f_Who)&amp;""))*(ROW(WhoKW)-MIN(ROW(WhoKW))+1))))),""))</f>
        <v/>
      </c>
      <c r="F187" s="17">
        <f>IF($W187="","",TRIM(IFERROR(INDEX(FormData,$W187,f_Org1)&amp;"","")&amp;" "&amp;IFERROR(INDEX(FormData,$W187,f_Org2)&amp;"","")))</f>
        <v/>
      </c>
      <c r="G187" s="16">
        <f>IF($W187="","",IFERROR(INDEX(FormData,$W187,f_Region)&amp;"",""))</f>
        <v/>
      </c>
      <c r="H187" s="16">
        <f>IF($W187="","",IFERROR(IF(SUMPRODUCT(MAX((SitKW&lt;&gt;"")*ISNUMBER(SEARCH(SitKW,INDEX(FormData,$W187,f_Sit)&amp;""))*(ROW(SitKW)-MIN(ROW(SitKW))+1)))=0,"",INDEX(SitVal,SUMPRODUCT(MAX((SitKW&lt;&gt;"")*ISNUMBER(SEARCH(SitKW,INDEX(FormData,$W187,f_Sit)&amp;""))*(ROW(SitKW)-MIN(ROW(SitKW))+1))))),""))</f>
        <v/>
      </c>
      <c r="I187" s="14">
        <f>IF($W187="","",IFERROR(INDEX(FormData,$W187,f_Appr)&amp;"",""))</f>
        <v/>
      </c>
      <c r="J187" s="16">
        <f>IF($W187="","",IFERROR(INDEX(FormData,$W187,f_Trade)&amp;"",""))</f>
        <v/>
      </c>
      <c r="K187" s="16" t="n"/>
      <c r="L187" s="17" t="n"/>
      <c r="M187" s="16" t="n"/>
      <c r="N187" s="17" t="n"/>
      <c r="O187" s="14" t="n"/>
      <c r="P187" s="14" t="n"/>
      <c r="Q187" s="18" t="n"/>
      <c r="R187" s="18" t="n"/>
      <c r="S187" s="13">
        <f>IF($P187&lt;&gt;"✓","",IF($R187&lt;&gt;"","Done",IF($Q187="","Open — no date",IF($Q187&lt;TODAY(),"Overdue",IF($Q187-TODAY()&lt;=DueSoon,"Due soon","Scheduled")))))</f>
        <v/>
      </c>
      <c r="T187" s="14">
        <f>IF($W187="","",IFERROR(IF(INDEX(FormData,$W187,f_Consent)&amp;""="","",IF(ISNUMBER(SEARCH("yes",INDEX(FormData,$W187,f_Consent))),"Yes","No")),""))</f>
        <v/>
      </c>
      <c r="U187" s="14" t="n"/>
      <c r="V187" s="13">
        <f>IF($U187="","",IF($W187="","not found","✓"))</f>
        <v/>
      </c>
      <c r="W187">
        <f>IF($U187="","",IFERROR(MATCH($U187,INDEX(FormData,0,f_Id),0),IFERROR(MATCH(--$U187,INDEX(FormData,0,f_Id),0),IFERROR(MATCH($U187&amp;"",INDEX(FormData,0,f_Id),0),""))))</f>
        <v/>
      </c>
      <c r="X187">
        <f>IF(AND($B187&lt;&gt;"",$B187='Event Report'!$C$3),ROW(),"")</f>
        <v/>
      </c>
      <c r="Y187">
        <f>IF(AND($P187="✓",$R187=""),IF($Q187="",90000,$Q187)+ROW()/100000,"")</f>
        <v/>
      </c>
      <c r="Z187">
        <f>IF(OR($U187&lt;&gt;"",$D187&lt;&gt;"",$E187&lt;&gt;"",$N187&lt;&gt;""),1,"")</f>
        <v/>
      </c>
    </row>
    <row r="188">
      <c r="A188" s="13" t="inlineStr">
        <is>
          <t>P-0184</t>
        </is>
      </c>
      <c r="B188" s="14">
        <f>IF(AND($U188="",$C188=""),"",IFERROR(INDEX(EvID,MATCH(INDEX(FormData,$W188,f_Event),EvID,0)),IFERROR(INDEX(EvID,MATCH(INDEX(FormData,$W188,f_Event),EvName,0)),IFERROR(INDEX(EvID,MATCH(INT($C188),EvDate,0)),""))))</f>
        <v/>
      </c>
      <c r="C188" s="15">
        <f>IF($W188="","",INDEX(FormData,$W188,f_Time))</f>
        <v/>
      </c>
      <c r="D188" s="14">
        <f>IF($W188="","",IFERROR(UPPER(LEFT(TRIM(INDEX(FormData,$W188,f_Name)),1)&amp;IFERROR(MID(TRIM(INDEX(FormData,$W188,f_Name)),FIND("^",SUBSTITUTE(TRIM(INDEX(FormData,$W188,f_Name))," ","^",LEN(TRIM(INDEX(FormData,$W188,f_Name)))-LEN(SUBSTITUTE(TRIM(INDEX(FormData,$W188,f_Name))," ",""))))+1,1),"")),""))</f>
        <v/>
      </c>
      <c r="E188" s="16">
        <f>IF($W188="","",IFERROR(IF(SUMPRODUCT(MAX((WhoKW&lt;&gt;"")*ISNUMBER(SEARCH(WhoKW,INDEX(FormData,$W188,f_Who)&amp;""))*(ROW(WhoKW)-MIN(ROW(WhoKW))+1)))=0,"",INDEX(WhoVal,SUMPRODUCT(MAX((WhoKW&lt;&gt;"")*ISNUMBER(SEARCH(WhoKW,INDEX(FormData,$W188,f_Who)&amp;""))*(ROW(WhoKW)-MIN(ROW(WhoKW))+1))))),""))</f>
        <v/>
      </c>
      <c r="F188" s="17">
        <f>IF($W188="","",TRIM(IFERROR(INDEX(FormData,$W188,f_Org1)&amp;"","")&amp;" "&amp;IFERROR(INDEX(FormData,$W188,f_Org2)&amp;"","")))</f>
        <v/>
      </c>
      <c r="G188" s="16">
        <f>IF($W188="","",IFERROR(INDEX(FormData,$W188,f_Region)&amp;"",""))</f>
        <v/>
      </c>
      <c r="H188" s="16">
        <f>IF($W188="","",IFERROR(IF(SUMPRODUCT(MAX((SitKW&lt;&gt;"")*ISNUMBER(SEARCH(SitKW,INDEX(FormData,$W188,f_Sit)&amp;""))*(ROW(SitKW)-MIN(ROW(SitKW))+1)))=0,"",INDEX(SitVal,SUMPRODUCT(MAX((SitKW&lt;&gt;"")*ISNUMBER(SEARCH(SitKW,INDEX(FormData,$W188,f_Sit)&amp;""))*(ROW(SitKW)-MIN(ROW(SitKW))+1))))),""))</f>
        <v/>
      </c>
      <c r="I188" s="14">
        <f>IF($W188="","",IFERROR(INDEX(FormData,$W188,f_Appr)&amp;"",""))</f>
        <v/>
      </c>
      <c r="J188" s="16">
        <f>IF($W188="","",IFERROR(INDEX(FormData,$W188,f_Trade)&amp;"",""))</f>
        <v/>
      </c>
      <c r="K188" s="16" t="n"/>
      <c r="L188" s="17" t="n"/>
      <c r="M188" s="16" t="n"/>
      <c r="N188" s="17" t="n"/>
      <c r="O188" s="14" t="n"/>
      <c r="P188" s="14" t="n"/>
      <c r="Q188" s="18" t="n"/>
      <c r="R188" s="18" t="n"/>
      <c r="S188" s="13">
        <f>IF($P188&lt;&gt;"✓","",IF($R188&lt;&gt;"","Done",IF($Q188="","Open — no date",IF($Q188&lt;TODAY(),"Overdue",IF($Q188-TODAY()&lt;=DueSoon,"Due soon","Scheduled")))))</f>
        <v/>
      </c>
      <c r="T188" s="14">
        <f>IF($W188="","",IFERROR(IF(INDEX(FormData,$W188,f_Consent)&amp;""="","",IF(ISNUMBER(SEARCH("yes",INDEX(FormData,$W188,f_Consent))),"Yes","No")),""))</f>
        <v/>
      </c>
      <c r="U188" s="14" t="n"/>
      <c r="V188" s="13">
        <f>IF($U188="","",IF($W188="","not found","✓"))</f>
        <v/>
      </c>
      <c r="W188">
        <f>IF($U188="","",IFERROR(MATCH($U188,INDEX(FormData,0,f_Id),0),IFERROR(MATCH(--$U188,INDEX(FormData,0,f_Id),0),IFERROR(MATCH($U188&amp;"",INDEX(FormData,0,f_Id),0),""))))</f>
        <v/>
      </c>
      <c r="X188">
        <f>IF(AND($B188&lt;&gt;"",$B188='Event Report'!$C$3),ROW(),"")</f>
        <v/>
      </c>
      <c r="Y188">
        <f>IF(AND($P188="✓",$R188=""),IF($Q188="",90000,$Q188)+ROW()/100000,"")</f>
        <v/>
      </c>
      <c r="Z188">
        <f>IF(OR($U188&lt;&gt;"",$D188&lt;&gt;"",$E188&lt;&gt;"",$N188&lt;&gt;""),1,"")</f>
        <v/>
      </c>
    </row>
    <row r="189">
      <c r="A189" s="13" t="inlineStr">
        <is>
          <t>P-0185</t>
        </is>
      </c>
      <c r="B189" s="14">
        <f>IF(AND($U189="",$C189=""),"",IFERROR(INDEX(EvID,MATCH(INDEX(FormData,$W189,f_Event),EvID,0)),IFERROR(INDEX(EvID,MATCH(INDEX(FormData,$W189,f_Event),EvName,0)),IFERROR(INDEX(EvID,MATCH(INT($C189),EvDate,0)),""))))</f>
        <v/>
      </c>
      <c r="C189" s="15">
        <f>IF($W189="","",INDEX(FormData,$W189,f_Time))</f>
        <v/>
      </c>
      <c r="D189" s="14">
        <f>IF($W189="","",IFERROR(UPPER(LEFT(TRIM(INDEX(FormData,$W189,f_Name)),1)&amp;IFERROR(MID(TRIM(INDEX(FormData,$W189,f_Name)),FIND("^",SUBSTITUTE(TRIM(INDEX(FormData,$W189,f_Name))," ","^",LEN(TRIM(INDEX(FormData,$W189,f_Name)))-LEN(SUBSTITUTE(TRIM(INDEX(FormData,$W189,f_Name))," ",""))))+1,1),"")),""))</f>
        <v/>
      </c>
      <c r="E189" s="16">
        <f>IF($W189="","",IFERROR(IF(SUMPRODUCT(MAX((WhoKW&lt;&gt;"")*ISNUMBER(SEARCH(WhoKW,INDEX(FormData,$W189,f_Who)&amp;""))*(ROW(WhoKW)-MIN(ROW(WhoKW))+1)))=0,"",INDEX(WhoVal,SUMPRODUCT(MAX((WhoKW&lt;&gt;"")*ISNUMBER(SEARCH(WhoKW,INDEX(FormData,$W189,f_Who)&amp;""))*(ROW(WhoKW)-MIN(ROW(WhoKW))+1))))),""))</f>
        <v/>
      </c>
      <c r="F189" s="17">
        <f>IF($W189="","",TRIM(IFERROR(INDEX(FormData,$W189,f_Org1)&amp;"","")&amp;" "&amp;IFERROR(INDEX(FormData,$W189,f_Org2)&amp;"","")))</f>
        <v/>
      </c>
      <c r="G189" s="16">
        <f>IF($W189="","",IFERROR(INDEX(FormData,$W189,f_Region)&amp;"",""))</f>
        <v/>
      </c>
      <c r="H189" s="16">
        <f>IF($W189="","",IFERROR(IF(SUMPRODUCT(MAX((SitKW&lt;&gt;"")*ISNUMBER(SEARCH(SitKW,INDEX(FormData,$W189,f_Sit)&amp;""))*(ROW(SitKW)-MIN(ROW(SitKW))+1)))=0,"",INDEX(SitVal,SUMPRODUCT(MAX((SitKW&lt;&gt;"")*ISNUMBER(SEARCH(SitKW,INDEX(FormData,$W189,f_Sit)&amp;""))*(ROW(SitKW)-MIN(ROW(SitKW))+1))))),""))</f>
        <v/>
      </c>
      <c r="I189" s="14">
        <f>IF($W189="","",IFERROR(INDEX(FormData,$W189,f_Appr)&amp;"",""))</f>
        <v/>
      </c>
      <c r="J189" s="16">
        <f>IF($W189="","",IFERROR(INDEX(FormData,$W189,f_Trade)&amp;"",""))</f>
        <v/>
      </c>
      <c r="K189" s="16" t="n"/>
      <c r="L189" s="17" t="n"/>
      <c r="M189" s="16" t="n"/>
      <c r="N189" s="17" t="n"/>
      <c r="O189" s="14" t="n"/>
      <c r="P189" s="14" t="n"/>
      <c r="Q189" s="18" t="n"/>
      <c r="R189" s="18" t="n"/>
      <c r="S189" s="13">
        <f>IF($P189&lt;&gt;"✓","",IF($R189&lt;&gt;"","Done",IF($Q189="","Open — no date",IF($Q189&lt;TODAY(),"Overdue",IF($Q189-TODAY()&lt;=DueSoon,"Due soon","Scheduled")))))</f>
        <v/>
      </c>
      <c r="T189" s="14">
        <f>IF($W189="","",IFERROR(IF(INDEX(FormData,$W189,f_Consent)&amp;""="","",IF(ISNUMBER(SEARCH("yes",INDEX(FormData,$W189,f_Consent))),"Yes","No")),""))</f>
        <v/>
      </c>
      <c r="U189" s="14" t="n"/>
      <c r="V189" s="13">
        <f>IF($U189="","",IF($W189="","not found","✓"))</f>
        <v/>
      </c>
      <c r="W189">
        <f>IF($U189="","",IFERROR(MATCH($U189,INDEX(FormData,0,f_Id),0),IFERROR(MATCH(--$U189,INDEX(FormData,0,f_Id),0),IFERROR(MATCH($U189&amp;"",INDEX(FormData,0,f_Id),0),""))))</f>
        <v/>
      </c>
      <c r="X189">
        <f>IF(AND($B189&lt;&gt;"",$B189='Event Report'!$C$3),ROW(),"")</f>
        <v/>
      </c>
      <c r="Y189">
        <f>IF(AND($P189="✓",$R189=""),IF($Q189="",90000,$Q189)+ROW()/100000,"")</f>
        <v/>
      </c>
      <c r="Z189">
        <f>IF(OR($U189&lt;&gt;"",$D189&lt;&gt;"",$E189&lt;&gt;"",$N189&lt;&gt;""),1,"")</f>
        <v/>
      </c>
    </row>
    <row r="190">
      <c r="A190" s="13" t="inlineStr">
        <is>
          <t>P-0186</t>
        </is>
      </c>
      <c r="B190" s="14">
        <f>IF(AND($U190="",$C190=""),"",IFERROR(INDEX(EvID,MATCH(INDEX(FormData,$W190,f_Event),EvID,0)),IFERROR(INDEX(EvID,MATCH(INDEX(FormData,$W190,f_Event),EvName,0)),IFERROR(INDEX(EvID,MATCH(INT($C190),EvDate,0)),""))))</f>
        <v/>
      </c>
      <c r="C190" s="15">
        <f>IF($W190="","",INDEX(FormData,$W190,f_Time))</f>
        <v/>
      </c>
      <c r="D190" s="14">
        <f>IF($W190="","",IFERROR(UPPER(LEFT(TRIM(INDEX(FormData,$W190,f_Name)),1)&amp;IFERROR(MID(TRIM(INDEX(FormData,$W190,f_Name)),FIND("^",SUBSTITUTE(TRIM(INDEX(FormData,$W190,f_Name))," ","^",LEN(TRIM(INDEX(FormData,$W190,f_Name)))-LEN(SUBSTITUTE(TRIM(INDEX(FormData,$W190,f_Name))," ",""))))+1,1),"")),""))</f>
        <v/>
      </c>
      <c r="E190" s="16">
        <f>IF($W190="","",IFERROR(IF(SUMPRODUCT(MAX((WhoKW&lt;&gt;"")*ISNUMBER(SEARCH(WhoKW,INDEX(FormData,$W190,f_Who)&amp;""))*(ROW(WhoKW)-MIN(ROW(WhoKW))+1)))=0,"",INDEX(WhoVal,SUMPRODUCT(MAX((WhoKW&lt;&gt;"")*ISNUMBER(SEARCH(WhoKW,INDEX(FormData,$W190,f_Who)&amp;""))*(ROW(WhoKW)-MIN(ROW(WhoKW))+1))))),""))</f>
        <v/>
      </c>
      <c r="F190" s="17">
        <f>IF($W190="","",TRIM(IFERROR(INDEX(FormData,$W190,f_Org1)&amp;"","")&amp;" "&amp;IFERROR(INDEX(FormData,$W190,f_Org2)&amp;"","")))</f>
        <v/>
      </c>
      <c r="G190" s="16">
        <f>IF($W190="","",IFERROR(INDEX(FormData,$W190,f_Region)&amp;"",""))</f>
        <v/>
      </c>
      <c r="H190" s="16">
        <f>IF($W190="","",IFERROR(IF(SUMPRODUCT(MAX((SitKW&lt;&gt;"")*ISNUMBER(SEARCH(SitKW,INDEX(FormData,$W190,f_Sit)&amp;""))*(ROW(SitKW)-MIN(ROW(SitKW))+1)))=0,"",INDEX(SitVal,SUMPRODUCT(MAX((SitKW&lt;&gt;"")*ISNUMBER(SEARCH(SitKW,INDEX(FormData,$W190,f_Sit)&amp;""))*(ROW(SitKW)-MIN(ROW(SitKW))+1))))),""))</f>
        <v/>
      </c>
      <c r="I190" s="14">
        <f>IF($W190="","",IFERROR(INDEX(FormData,$W190,f_Appr)&amp;"",""))</f>
        <v/>
      </c>
      <c r="J190" s="16">
        <f>IF($W190="","",IFERROR(INDEX(FormData,$W190,f_Trade)&amp;"",""))</f>
        <v/>
      </c>
      <c r="K190" s="16" t="n"/>
      <c r="L190" s="17" t="n"/>
      <c r="M190" s="16" t="n"/>
      <c r="N190" s="17" t="n"/>
      <c r="O190" s="14" t="n"/>
      <c r="P190" s="14" t="n"/>
      <c r="Q190" s="18" t="n"/>
      <c r="R190" s="18" t="n"/>
      <c r="S190" s="13">
        <f>IF($P190&lt;&gt;"✓","",IF($R190&lt;&gt;"","Done",IF($Q190="","Open — no date",IF($Q190&lt;TODAY(),"Overdue",IF($Q190-TODAY()&lt;=DueSoon,"Due soon","Scheduled")))))</f>
        <v/>
      </c>
      <c r="T190" s="14">
        <f>IF($W190="","",IFERROR(IF(INDEX(FormData,$W190,f_Consent)&amp;""="","",IF(ISNUMBER(SEARCH("yes",INDEX(FormData,$W190,f_Consent))),"Yes","No")),""))</f>
        <v/>
      </c>
      <c r="U190" s="14" t="n"/>
      <c r="V190" s="13">
        <f>IF($U190="","",IF($W190="","not found","✓"))</f>
        <v/>
      </c>
      <c r="W190">
        <f>IF($U190="","",IFERROR(MATCH($U190,INDEX(FormData,0,f_Id),0),IFERROR(MATCH(--$U190,INDEX(FormData,0,f_Id),0),IFERROR(MATCH($U190&amp;"",INDEX(FormData,0,f_Id),0),""))))</f>
        <v/>
      </c>
      <c r="X190">
        <f>IF(AND($B190&lt;&gt;"",$B190='Event Report'!$C$3),ROW(),"")</f>
        <v/>
      </c>
      <c r="Y190">
        <f>IF(AND($P190="✓",$R190=""),IF($Q190="",90000,$Q190)+ROW()/100000,"")</f>
        <v/>
      </c>
      <c r="Z190">
        <f>IF(OR($U190&lt;&gt;"",$D190&lt;&gt;"",$E190&lt;&gt;"",$N190&lt;&gt;""),1,"")</f>
        <v/>
      </c>
    </row>
    <row r="191">
      <c r="A191" s="13" t="inlineStr">
        <is>
          <t>P-0187</t>
        </is>
      </c>
      <c r="B191" s="14">
        <f>IF(AND($U191="",$C191=""),"",IFERROR(INDEX(EvID,MATCH(INDEX(FormData,$W191,f_Event),EvID,0)),IFERROR(INDEX(EvID,MATCH(INDEX(FormData,$W191,f_Event),EvName,0)),IFERROR(INDEX(EvID,MATCH(INT($C191),EvDate,0)),""))))</f>
        <v/>
      </c>
      <c r="C191" s="15">
        <f>IF($W191="","",INDEX(FormData,$W191,f_Time))</f>
        <v/>
      </c>
      <c r="D191" s="14">
        <f>IF($W191="","",IFERROR(UPPER(LEFT(TRIM(INDEX(FormData,$W191,f_Name)),1)&amp;IFERROR(MID(TRIM(INDEX(FormData,$W191,f_Name)),FIND("^",SUBSTITUTE(TRIM(INDEX(FormData,$W191,f_Name))," ","^",LEN(TRIM(INDEX(FormData,$W191,f_Name)))-LEN(SUBSTITUTE(TRIM(INDEX(FormData,$W191,f_Name))," ",""))))+1,1),"")),""))</f>
        <v/>
      </c>
      <c r="E191" s="16">
        <f>IF($W191="","",IFERROR(IF(SUMPRODUCT(MAX((WhoKW&lt;&gt;"")*ISNUMBER(SEARCH(WhoKW,INDEX(FormData,$W191,f_Who)&amp;""))*(ROW(WhoKW)-MIN(ROW(WhoKW))+1)))=0,"",INDEX(WhoVal,SUMPRODUCT(MAX((WhoKW&lt;&gt;"")*ISNUMBER(SEARCH(WhoKW,INDEX(FormData,$W191,f_Who)&amp;""))*(ROW(WhoKW)-MIN(ROW(WhoKW))+1))))),""))</f>
        <v/>
      </c>
      <c r="F191" s="17">
        <f>IF($W191="","",TRIM(IFERROR(INDEX(FormData,$W191,f_Org1)&amp;"","")&amp;" "&amp;IFERROR(INDEX(FormData,$W191,f_Org2)&amp;"","")))</f>
        <v/>
      </c>
      <c r="G191" s="16">
        <f>IF($W191="","",IFERROR(INDEX(FormData,$W191,f_Region)&amp;"",""))</f>
        <v/>
      </c>
      <c r="H191" s="16">
        <f>IF($W191="","",IFERROR(IF(SUMPRODUCT(MAX((SitKW&lt;&gt;"")*ISNUMBER(SEARCH(SitKW,INDEX(FormData,$W191,f_Sit)&amp;""))*(ROW(SitKW)-MIN(ROW(SitKW))+1)))=0,"",INDEX(SitVal,SUMPRODUCT(MAX((SitKW&lt;&gt;"")*ISNUMBER(SEARCH(SitKW,INDEX(FormData,$W191,f_Sit)&amp;""))*(ROW(SitKW)-MIN(ROW(SitKW))+1))))),""))</f>
        <v/>
      </c>
      <c r="I191" s="14">
        <f>IF($W191="","",IFERROR(INDEX(FormData,$W191,f_Appr)&amp;"",""))</f>
        <v/>
      </c>
      <c r="J191" s="16">
        <f>IF($W191="","",IFERROR(INDEX(FormData,$W191,f_Trade)&amp;"",""))</f>
        <v/>
      </c>
      <c r="K191" s="16" t="n"/>
      <c r="L191" s="17" t="n"/>
      <c r="M191" s="16" t="n"/>
      <c r="N191" s="17" t="n"/>
      <c r="O191" s="14" t="n"/>
      <c r="P191" s="14" t="n"/>
      <c r="Q191" s="18" t="n"/>
      <c r="R191" s="18" t="n"/>
      <c r="S191" s="13">
        <f>IF($P191&lt;&gt;"✓","",IF($R191&lt;&gt;"","Done",IF($Q191="","Open — no date",IF($Q191&lt;TODAY(),"Overdue",IF($Q191-TODAY()&lt;=DueSoon,"Due soon","Scheduled")))))</f>
        <v/>
      </c>
      <c r="T191" s="14">
        <f>IF($W191="","",IFERROR(IF(INDEX(FormData,$W191,f_Consent)&amp;""="","",IF(ISNUMBER(SEARCH("yes",INDEX(FormData,$W191,f_Consent))),"Yes","No")),""))</f>
        <v/>
      </c>
      <c r="U191" s="14" t="n"/>
      <c r="V191" s="13">
        <f>IF($U191="","",IF($W191="","not found","✓"))</f>
        <v/>
      </c>
      <c r="W191">
        <f>IF($U191="","",IFERROR(MATCH($U191,INDEX(FormData,0,f_Id),0),IFERROR(MATCH(--$U191,INDEX(FormData,0,f_Id),0),IFERROR(MATCH($U191&amp;"",INDEX(FormData,0,f_Id),0),""))))</f>
        <v/>
      </c>
      <c r="X191">
        <f>IF(AND($B191&lt;&gt;"",$B191='Event Report'!$C$3),ROW(),"")</f>
        <v/>
      </c>
      <c r="Y191">
        <f>IF(AND($P191="✓",$R191=""),IF($Q191="",90000,$Q191)+ROW()/100000,"")</f>
        <v/>
      </c>
      <c r="Z191">
        <f>IF(OR($U191&lt;&gt;"",$D191&lt;&gt;"",$E191&lt;&gt;"",$N191&lt;&gt;""),1,"")</f>
        <v/>
      </c>
    </row>
    <row r="192">
      <c r="A192" s="13" t="inlineStr">
        <is>
          <t>P-0188</t>
        </is>
      </c>
      <c r="B192" s="14">
        <f>IF(AND($U192="",$C192=""),"",IFERROR(INDEX(EvID,MATCH(INDEX(FormData,$W192,f_Event),EvID,0)),IFERROR(INDEX(EvID,MATCH(INDEX(FormData,$W192,f_Event),EvName,0)),IFERROR(INDEX(EvID,MATCH(INT($C192),EvDate,0)),""))))</f>
        <v/>
      </c>
      <c r="C192" s="15">
        <f>IF($W192="","",INDEX(FormData,$W192,f_Time))</f>
        <v/>
      </c>
      <c r="D192" s="14">
        <f>IF($W192="","",IFERROR(UPPER(LEFT(TRIM(INDEX(FormData,$W192,f_Name)),1)&amp;IFERROR(MID(TRIM(INDEX(FormData,$W192,f_Name)),FIND("^",SUBSTITUTE(TRIM(INDEX(FormData,$W192,f_Name))," ","^",LEN(TRIM(INDEX(FormData,$W192,f_Name)))-LEN(SUBSTITUTE(TRIM(INDEX(FormData,$W192,f_Name))," ",""))))+1,1),"")),""))</f>
        <v/>
      </c>
      <c r="E192" s="16">
        <f>IF($W192="","",IFERROR(IF(SUMPRODUCT(MAX((WhoKW&lt;&gt;"")*ISNUMBER(SEARCH(WhoKW,INDEX(FormData,$W192,f_Who)&amp;""))*(ROW(WhoKW)-MIN(ROW(WhoKW))+1)))=0,"",INDEX(WhoVal,SUMPRODUCT(MAX((WhoKW&lt;&gt;"")*ISNUMBER(SEARCH(WhoKW,INDEX(FormData,$W192,f_Who)&amp;""))*(ROW(WhoKW)-MIN(ROW(WhoKW))+1))))),""))</f>
        <v/>
      </c>
      <c r="F192" s="17">
        <f>IF($W192="","",TRIM(IFERROR(INDEX(FormData,$W192,f_Org1)&amp;"","")&amp;" "&amp;IFERROR(INDEX(FormData,$W192,f_Org2)&amp;"","")))</f>
        <v/>
      </c>
      <c r="G192" s="16">
        <f>IF($W192="","",IFERROR(INDEX(FormData,$W192,f_Region)&amp;"",""))</f>
        <v/>
      </c>
      <c r="H192" s="16">
        <f>IF($W192="","",IFERROR(IF(SUMPRODUCT(MAX((SitKW&lt;&gt;"")*ISNUMBER(SEARCH(SitKW,INDEX(FormData,$W192,f_Sit)&amp;""))*(ROW(SitKW)-MIN(ROW(SitKW))+1)))=0,"",INDEX(SitVal,SUMPRODUCT(MAX((SitKW&lt;&gt;"")*ISNUMBER(SEARCH(SitKW,INDEX(FormData,$W192,f_Sit)&amp;""))*(ROW(SitKW)-MIN(ROW(SitKW))+1))))),""))</f>
        <v/>
      </c>
      <c r="I192" s="14">
        <f>IF($W192="","",IFERROR(INDEX(FormData,$W192,f_Appr)&amp;"",""))</f>
        <v/>
      </c>
      <c r="J192" s="16">
        <f>IF($W192="","",IFERROR(INDEX(FormData,$W192,f_Trade)&amp;"",""))</f>
        <v/>
      </c>
      <c r="K192" s="16" t="n"/>
      <c r="L192" s="17" t="n"/>
      <c r="M192" s="16" t="n"/>
      <c r="N192" s="17" t="n"/>
      <c r="O192" s="14" t="n"/>
      <c r="P192" s="14" t="n"/>
      <c r="Q192" s="18" t="n"/>
      <c r="R192" s="18" t="n"/>
      <c r="S192" s="13">
        <f>IF($P192&lt;&gt;"✓","",IF($R192&lt;&gt;"","Done",IF($Q192="","Open — no date",IF($Q192&lt;TODAY(),"Overdue",IF($Q192-TODAY()&lt;=DueSoon,"Due soon","Scheduled")))))</f>
        <v/>
      </c>
      <c r="T192" s="14">
        <f>IF($W192="","",IFERROR(IF(INDEX(FormData,$W192,f_Consent)&amp;""="","",IF(ISNUMBER(SEARCH("yes",INDEX(FormData,$W192,f_Consent))),"Yes","No")),""))</f>
        <v/>
      </c>
      <c r="U192" s="14" t="n"/>
      <c r="V192" s="13">
        <f>IF($U192="","",IF($W192="","not found","✓"))</f>
        <v/>
      </c>
      <c r="W192">
        <f>IF($U192="","",IFERROR(MATCH($U192,INDEX(FormData,0,f_Id),0),IFERROR(MATCH(--$U192,INDEX(FormData,0,f_Id),0),IFERROR(MATCH($U192&amp;"",INDEX(FormData,0,f_Id),0),""))))</f>
        <v/>
      </c>
      <c r="X192">
        <f>IF(AND($B192&lt;&gt;"",$B192='Event Report'!$C$3),ROW(),"")</f>
        <v/>
      </c>
      <c r="Y192">
        <f>IF(AND($P192="✓",$R192=""),IF($Q192="",90000,$Q192)+ROW()/100000,"")</f>
        <v/>
      </c>
      <c r="Z192">
        <f>IF(OR($U192&lt;&gt;"",$D192&lt;&gt;"",$E192&lt;&gt;"",$N192&lt;&gt;""),1,"")</f>
        <v/>
      </c>
    </row>
    <row r="193">
      <c r="A193" s="13" t="inlineStr">
        <is>
          <t>P-0189</t>
        </is>
      </c>
      <c r="B193" s="14">
        <f>IF(AND($U193="",$C193=""),"",IFERROR(INDEX(EvID,MATCH(INDEX(FormData,$W193,f_Event),EvID,0)),IFERROR(INDEX(EvID,MATCH(INDEX(FormData,$W193,f_Event),EvName,0)),IFERROR(INDEX(EvID,MATCH(INT($C193),EvDate,0)),""))))</f>
        <v/>
      </c>
      <c r="C193" s="15">
        <f>IF($W193="","",INDEX(FormData,$W193,f_Time))</f>
        <v/>
      </c>
      <c r="D193" s="14">
        <f>IF($W193="","",IFERROR(UPPER(LEFT(TRIM(INDEX(FormData,$W193,f_Name)),1)&amp;IFERROR(MID(TRIM(INDEX(FormData,$W193,f_Name)),FIND("^",SUBSTITUTE(TRIM(INDEX(FormData,$W193,f_Name))," ","^",LEN(TRIM(INDEX(FormData,$W193,f_Name)))-LEN(SUBSTITUTE(TRIM(INDEX(FormData,$W193,f_Name))," ",""))))+1,1),"")),""))</f>
        <v/>
      </c>
      <c r="E193" s="16">
        <f>IF($W193="","",IFERROR(IF(SUMPRODUCT(MAX((WhoKW&lt;&gt;"")*ISNUMBER(SEARCH(WhoKW,INDEX(FormData,$W193,f_Who)&amp;""))*(ROW(WhoKW)-MIN(ROW(WhoKW))+1)))=0,"",INDEX(WhoVal,SUMPRODUCT(MAX((WhoKW&lt;&gt;"")*ISNUMBER(SEARCH(WhoKW,INDEX(FormData,$W193,f_Who)&amp;""))*(ROW(WhoKW)-MIN(ROW(WhoKW))+1))))),""))</f>
        <v/>
      </c>
      <c r="F193" s="17">
        <f>IF($W193="","",TRIM(IFERROR(INDEX(FormData,$W193,f_Org1)&amp;"","")&amp;" "&amp;IFERROR(INDEX(FormData,$W193,f_Org2)&amp;"","")))</f>
        <v/>
      </c>
      <c r="G193" s="16">
        <f>IF($W193="","",IFERROR(INDEX(FormData,$W193,f_Region)&amp;"",""))</f>
        <v/>
      </c>
      <c r="H193" s="16">
        <f>IF($W193="","",IFERROR(IF(SUMPRODUCT(MAX((SitKW&lt;&gt;"")*ISNUMBER(SEARCH(SitKW,INDEX(FormData,$W193,f_Sit)&amp;""))*(ROW(SitKW)-MIN(ROW(SitKW))+1)))=0,"",INDEX(SitVal,SUMPRODUCT(MAX((SitKW&lt;&gt;"")*ISNUMBER(SEARCH(SitKW,INDEX(FormData,$W193,f_Sit)&amp;""))*(ROW(SitKW)-MIN(ROW(SitKW))+1))))),""))</f>
        <v/>
      </c>
      <c r="I193" s="14">
        <f>IF($W193="","",IFERROR(INDEX(FormData,$W193,f_Appr)&amp;"",""))</f>
        <v/>
      </c>
      <c r="J193" s="16">
        <f>IF($W193="","",IFERROR(INDEX(FormData,$W193,f_Trade)&amp;"",""))</f>
        <v/>
      </c>
      <c r="K193" s="16" t="n"/>
      <c r="L193" s="17" t="n"/>
      <c r="M193" s="16" t="n"/>
      <c r="N193" s="17" t="n"/>
      <c r="O193" s="14" t="n"/>
      <c r="P193" s="14" t="n"/>
      <c r="Q193" s="18" t="n"/>
      <c r="R193" s="18" t="n"/>
      <c r="S193" s="13">
        <f>IF($P193&lt;&gt;"✓","",IF($R193&lt;&gt;"","Done",IF($Q193="","Open — no date",IF($Q193&lt;TODAY(),"Overdue",IF($Q193-TODAY()&lt;=DueSoon,"Due soon","Scheduled")))))</f>
        <v/>
      </c>
      <c r="T193" s="14">
        <f>IF($W193="","",IFERROR(IF(INDEX(FormData,$W193,f_Consent)&amp;""="","",IF(ISNUMBER(SEARCH("yes",INDEX(FormData,$W193,f_Consent))),"Yes","No")),""))</f>
        <v/>
      </c>
      <c r="U193" s="14" t="n"/>
      <c r="V193" s="13">
        <f>IF($U193="","",IF($W193="","not found","✓"))</f>
        <v/>
      </c>
      <c r="W193">
        <f>IF($U193="","",IFERROR(MATCH($U193,INDEX(FormData,0,f_Id),0),IFERROR(MATCH(--$U193,INDEX(FormData,0,f_Id),0),IFERROR(MATCH($U193&amp;"",INDEX(FormData,0,f_Id),0),""))))</f>
        <v/>
      </c>
      <c r="X193">
        <f>IF(AND($B193&lt;&gt;"",$B193='Event Report'!$C$3),ROW(),"")</f>
        <v/>
      </c>
      <c r="Y193">
        <f>IF(AND($P193="✓",$R193=""),IF($Q193="",90000,$Q193)+ROW()/100000,"")</f>
        <v/>
      </c>
      <c r="Z193">
        <f>IF(OR($U193&lt;&gt;"",$D193&lt;&gt;"",$E193&lt;&gt;"",$N193&lt;&gt;""),1,"")</f>
        <v/>
      </c>
    </row>
    <row r="194">
      <c r="A194" s="13" t="inlineStr">
        <is>
          <t>P-0190</t>
        </is>
      </c>
      <c r="B194" s="14">
        <f>IF(AND($U194="",$C194=""),"",IFERROR(INDEX(EvID,MATCH(INDEX(FormData,$W194,f_Event),EvID,0)),IFERROR(INDEX(EvID,MATCH(INDEX(FormData,$W194,f_Event),EvName,0)),IFERROR(INDEX(EvID,MATCH(INT($C194),EvDate,0)),""))))</f>
        <v/>
      </c>
      <c r="C194" s="15">
        <f>IF($W194="","",INDEX(FormData,$W194,f_Time))</f>
        <v/>
      </c>
      <c r="D194" s="14">
        <f>IF($W194="","",IFERROR(UPPER(LEFT(TRIM(INDEX(FormData,$W194,f_Name)),1)&amp;IFERROR(MID(TRIM(INDEX(FormData,$W194,f_Name)),FIND("^",SUBSTITUTE(TRIM(INDEX(FormData,$W194,f_Name))," ","^",LEN(TRIM(INDEX(FormData,$W194,f_Name)))-LEN(SUBSTITUTE(TRIM(INDEX(FormData,$W194,f_Name))," ",""))))+1,1),"")),""))</f>
        <v/>
      </c>
      <c r="E194" s="16">
        <f>IF($W194="","",IFERROR(IF(SUMPRODUCT(MAX((WhoKW&lt;&gt;"")*ISNUMBER(SEARCH(WhoKW,INDEX(FormData,$W194,f_Who)&amp;""))*(ROW(WhoKW)-MIN(ROW(WhoKW))+1)))=0,"",INDEX(WhoVal,SUMPRODUCT(MAX((WhoKW&lt;&gt;"")*ISNUMBER(SEARCH(WhoKW,INDEX(FormData,$W194,f_Who)&amp;""))*(ROW(WhoKW)-MIN(ROW(WhoKW))+1))))),""))</f>
        <v/>
      </c>
      <c r="F194" s="17">
        <f>IF($W194="","",TRIM(IFERROR(INDEX(FormData,$W194,f_Org1)&amp;"","")&amp;" "&amp;IFERROR(INDEX(FormData,$W194,f_Org2)&amp;"","")))</f>
        <v/>
      </c>
      <c r="G194" s="16">
        <f>IF($W194="","",IFERROR(INDEX(FormData,$W194,f_Region)&amp;"",""))</f>
        <v/>
      </c>
      <c r="H194" s="16">
        <f>IF($W194="","",IFERROR(IF(SUMPRODUCT(MAX((SitKW&lt;&gt;"")*ISNUMBER(SEARCH(SitKW,INDEX(FormData,$W194,f_Sit)&amp;""))*(ROW(SitKW)-MIN(ROW(SitKW))+1)))=0,"",INDEX(SitVal,SUMPRODUCT(MAX((SitKW&lt;&gt;"")*ISNUMBER(SEARCH(SitKW,INDEX(FormData,$W194,f_Sit)&amp;""))*(ROW(SitKW)-MIN(ROW(SitKW))+1))))),""))</f>
        <v/>
      </c>
      <c r="I194" s="14">
        <f>IF($W194="","",IFERROR(INDEX(FormData,$W194,f_Appr)&amp;"",""))</f>
        <v/>
      </c>
      <c r="J194" s="16">
        <f>IF($W194="","",IFERROR(INDEX(FormData,$W194,f_Trade)&amp;"",""))</f>
        <v/>
      </c>
      <c r="K194" s="16" t="n"/>
      <c r="L194" s="17" t="n"/>
      <c r="M194" s="16" t="n"/>
      <c r="N194" s="17" t="n"/>
      <c r="O194" s="14" t="n"/>
      <c r="P194" s="14" t="n"/>
      <c r="Q194" s="18" t="n"/>
      <c r="R194" s="18" t="n"/>
      <c r="S194" s="13">
        <f>IF($P194&lt;&gt;"✓","",IF($R194&lt;&gt;"","Done",IF($Q194="","Open — no date",IF($Q194&lt;TODAY(),"Overdue",IF($Q194-TODAY()&lt;=DueSoon,"Due soon","Scheduled")))))</f>
        <v/>
      </c>
      <c r="T194" s="14">
        <f>IF($W194="","",IFERROR(IF(INDEX(FormData,$W194,f_Consent)&amp;""="","",IF(ISNUMBER(SEARCH("yes",INDEX(FormData,$W194,f_Consent))),"Yes","No")),""))</f>
        <v/>
      </c>
      <c r="U194" s="14" t="n"/>
      <c r="V194" s="13">
        <f>IF($U194="","",IF($W194="","not found","✓"))</f>
        <v/>
      </c>
      <c r="W194">
        <f>IF($U194="","",IFERROR(MATCH($U194,INDEX(FormData,0,f_Id),0),IFERROR(MATCH(--$U194,INDEX(FormData,0,f_Id),0),IFERROR(MATCH($U194&amp;"",INDEX(FormData,0,f_Id),0),""))))</f>
        <v/>
      </c>
      <c r="X194">
        <f>IF(AND($B194&lt;&gt;"",$B194='Event Report'!$C$3),ROW(),"")</f>
        <v/>
      </c>
      <c r="Y194">
        <f>IF(AND($P194="✓",$R194=""),IF($Q194="",90000,$Q194)+ROW()/100000,"")</f>
        <v/>
      </c>
      <c r="Z194">
        <f>IF(OR($U194&lt;&gt;"",$D194&lt;&gt;"",$E194&lt;&gt;"",$N194&lt;&gt;""),1,"")</f>
        <v/>
      </c>
    </row>
    <row r="195">
      <c r="A195" s="13" t="inlineStr">
        <is>
          <t>P-0191</t>
        </is>
      </c>
      <c r="B195" s="14">
        <f>IF(AND($U195="",$C195=""),"",IFERROR(INDEX(EvID,MATCH(INDEX(FormData,$W195,f_Event),EvID,0)),IFERROR(INDEX(EvID,MATCH(INDEX(FormData,$W195,f_Event),EvName,0)),IFERROR(INDEX(EvID,MATCH(INT($C195),EvDate,0)),""))))</f>
        <v/>
      </c>
      <c r="C195" s="15">
        <f>IF($W195="","",INDEX(FormData,$W195,f_Time))</f>
        <v/>
      </c>
      <c r="D195" s="14">
        <f>IF($W195="","",IFERROR(UPPER(LEFT(TRIM(INDEX(FormData,$W195,f_Name)),1)&amp;IFERROR(MID(TRIM(INDEX(FormData,$W195,f_Name)),FIND("^",SUBSTITUTE(TRIM(INDEX(FormData,$W195,f_Name))," ","^",LEN(TRIM(INDEX(FormData,$W195,f_Name)))-LEN(SUBSTITUTE(TRIM(INDEX(FormData,$W195,f_Name))," ",""))))+1,1),"")),""))</f>
        <v/>
      </c>
      <c r="E195" s="16">
        <f>IF($W195="","",IFERROR(IF(SUMPRODUCT(MAX((WhoKW&lt;&gt;"")*ISNUMBER(SEARCH(WhoKW,INDEX(FormData,$W195,f_Who)&amp;""))*(ROW(WhoKW)-MIN(ROW(WhoKW))+1)))=0,"",INDEX(WhoVal,SUMPRODUCT(MAX((WhoKW&lt;&gt;"")*ISNUMBER(SEARCH(WhoKW,INDEX(FormData,$W195,f_Who)&amp;""))*(ROW(WhoKW)-MIN(ROW(WhoKW))+1))))),""))</f>
        <v/>
      </c>
      <c r="F195" s="17">
        <f>IF($W195="","",TRIM(IFERROR(INDEX(FormData,$W195,f_Org1)&amp;"","")&amp;" "&amp;IFERROR(INDEX(FormData,$W195,f_Org2)&amp;"","")))</f>
        <v/>
      </c>
      <c r="G195" s="16">
        <f>IF($W195="","",IFERROR(INDEX(FormData,$W195,f_Region)&amp;"",""))</f>
        <v/>
      </c>
      <c r="H195" s="16">
        <f>IF($W195="","",IFERROR(IF(SUMPRODUCT(MAX((SitKW&lt;&gt;"")*ISNUMBER(SEARCH(SitKW,INDEX(FormData,$W195,f_Sit)&amp;""))*(ROW(SitKW)-MIN(ROW(SitKW))+1)))=0,"",INDEX(SitVal,SUMPRODUCT(MAX((SitKW&lt;&gt;"")*ISNUMBER(SEARCH(SitKW,INDEX(FormData,$W195,f_Sit)&amp;""))*(ROW(SitKW)-MIN(ROW(SitKW))+1))))),""))</f>
        <v/>
      </c>
      <c r="I195" s="14">
        <f>IF($W195="","",IFERROR(INDEX(FormData,$W195,f_Appr)&amp;"",""))</f>
        <v/>
      </c>
      <c r="J195" s="16">
        <f>IF($W195="","",IFERROR(INDEX(FormData,$W195,f_Trade)&amp;"",""))</f>
        <v/>
      </c>
      <c r="K195" s="16" t="n"/>
      <c r="L195" s="17" t="n"/>
      <c r="M195" s="16" t="n"/>
      <c r="N195" s="17" t="n"/>
      <c r="O195" s="14" t="n"/>
      <c r="P195" s="14" t="n"/>
      <c r="Q195" s="18" t="n"/>
      <c r="R195" s="18" t="n"/>
      <c r="S195" s="13">
        <f>IF($P195&lt;&gt;"✓","",IF($R195&lt;&gt;"","Done",IF($Q195="","Open — no date",IF($Q195&lt;TODAY(),"Overdue",IF($Q195-TODAY()&lt;=DueSoon,"Due soon","Scheduled")))))</f>
        <v/>
      </c>
      <c r="T195" s="14">
        <f>IF($W195="","",IFERROR(IF(INDEX(FormData,$W195,f_Consent)&amp;""="","",IF(ISNUMBER(SEARCH("yes",INDEX(FormData,$W195,f_Consent))),"Yes","No")),""))</f>
        <v/>
      </c>
      <c r="U195" s="14" t="n"/>
      <c r="V195" s="13">
        <f>IF($U195="","",IF($W195="","not found","✓"))</f>
        <v/>
      </c>
      <c r="W195">
        <f>IF($U195="","",IFERROR(MATCH($U195,INDEX(FormData,0,f_Id),0),IFERROR(MATCH(--$U195,INDEX(FormData,0,f_Id),0),IFERROR(MATCH($U195&amp;"",INDEX(FormData,0,f_Id),0),""))))</f>
        <v/>
      </c>
      <c r="X195">
        <f>IF(AND($B195&lt;&gt;"",$B195='Event Report'!$C$3),ROW(),"")</f>
        <v/>
      </c>
      <c r="Y195">
        <f>IF(AND($P195="✓",$R195=""),IF($Q195="",90000,$Q195)+ROW()/100000,"")</f>
        <v/>
      </c>
      <c r="Z195">
        <f>IF(OR($U195&lt;&gt;"",$D195&lt;&gt;"",$E195&lt;&gt;"",$N195&lt;&gt;""),1,"")</f>
        <v/>
      </c>
    </row>
    <row r="196">
      <c r="A196" s="13" t="inlineStr">
        <is>
          <t>P-0192</t>
        </is>
      </c>
      <c r="B196" s="14">
        <f>IF(AND($U196="",$C196=""),"",IFERROR(INDEX(EvID,MATCH(INDEX(FormData,$W196,f_Event),EvID,0)),IFERROR(INDEX(EvID,MATCH(INDEX(FormData,$W196,f_Event),EvName,0)),IFERROR(INDEX(EvID,MATCH(INT($C196),EvDate,0)),""))))</f>
        <v/>
      </c>
      <c r="C196" s="15">
        <f>IF($W196="","",INDEX(FormData,$W196,f_Time))</f>
        <v/>
      </c>
      <c r="D196" s="14">
        <f>IF($W196="","",IFERROR(UPPER(LEFT(TRIM(INDEX(FormData,$W196,f_Name)),1)&amp;IFERROR(MID(TRIM(INDEX(FormData,$W196,f_Name)),FIND("^",SUBSTITUTE(TRIM(INDEX(FormData,$W196,f_Name))," ","^",LEN(TRIM(INDEX(FormData,$W196,f_Name)))-LEN(SUBSTITUTE(TRIM(INDEX(FormData,$W196,f_Name))," ",""))))+1,1),"")),""))</f>
        <v/>
      </c>
      <c r="E196" s="16">
        <f>IF($W196="","",IFERROR(IF(SUMPRODUCT(MAX((WhoKW&lt;&gt;"")*ISNUMBER(SEARCH(WhoKW,INDEX(FormData,$W196,f_Who)&amp;""))*(ROW(WhoKW)-MIN(ROW(WhoKW))+1)))=0,"",INDEX(WhoVal,SUMPRODUCT(MAX((WhoKW&lt;&gt;"")*ISNUMBER(SEARCH(WhoKW,INDEX(FormData,$W196,f_Who)&amp;""))*(ROW(WhoKW)-MIN(ROW(WhoKW))+1))))),""))</f>
        <v/>
      </c>
      <c r="F196" s="17">
        <f>IF($W196="","",TRIM(IFERROR(INDEX(FormData,$W196,f_Org1)&amp;"","")&amp;" "&amp;IFERROR(INDEX(FormData,$W196,f_Org2)&amp;"","")))</f>
        <v/>
      </c>
      <c r="G196" s="16">
        <f>IF($W196="","",IFERROR(INDEX(FormData,$W196,f_Region)&amp;"",""))</f>
        <v/>
      </c>
      <c r="H196" s="16">
        <f>IF($W196="","",IFERROR(IF(SUMPRODUCT(MAX((SitKW&lt;&gt;"")*ISNUMBER(SEARCH(SitKW,INDEX(FormData,$W196,f_Sit)&amp;""))*(ROW(SitKW)-MIN(ROW(SitKW))+1)))=0,"",INDEX(SitVal,SUMPRODUCT(MAX((SitKW&lt;&gt;"")*ISNUMBER(SEARCH(SitKW,INDEX(FormData,$W196,f_Sit)&amp;""))*(ROW(SitKW)-MIN(ROW(SitKW))+1))))),""))</f>
        <v/>
      </c>
      <c r="I196" s="14">
        <f>IF($W196="","",IFERROR(INDEX(FormData,$W196,f_Appr)&amp;"",""))</f>
        <v/>
      </c>
      <c r="J196" s="16">
        <f>IF($W196="","",IFERROR(INDEX(FormData,$W196,f_Trade)&amp;"",""))</f>
        <v/>
      </c>
      <c r="K196" s="16" t="n"/>
      <c r="L196" s="17" t="n"/>
      <c r="M196" s="16" t="n"/>
      <c r="N196" s="17" t="n"/>
      <c r="O196" s="14" t="n"/>
      <c r="P196" s="14" t="n"/>
      <c r="Q196" s="18" t="n"/>
      <c r="R196" s="18" t="n"/>
      <c r="S196" s="13">
        <f>IF($P196&lt;&gt;"✓","",IF($R196&lt;&gt;"","Done",IF($Q196="","Open — no date",IF($Q196&lt;TODAY(),"Overdue",IF($Q196-TODAY()&lt;=DueSoon,"Due soon","Scheduled")))))</f>
        <v/>
      </c>
      <c r="T196" s="14">
        <f>IF($W196="","",IFERROR(IF(INDEX(FormData,$W196,f_Consent)&amp;""="","",IF(ISNUMBER(SEARCH("yes",INDEX(FormData,$W196,f_Consent))),"Yes","No")),""))</f>
        <v/>
      </c>
      <c r="U196" s="14" t="n"/>
      <c r="V196" s="13">
        <f>IF($U196="","",IF($W196="","not found","✓"))</f>
        <v/>
      </c>
      <c r="W196">
        <f>IF($U196="","",IFERROR(MATCH($U196,INDEX(FormData,0,f_Id),0),IFERROR(MATCH(--$U196,INDEX(FormData,0,f_Id),0),IFERROR(MATCH($U196&amp;"",INDEX(FormData,0,f_Id),0),""))))</f>
        <v/>
      </c>
      <c r="X196">
        <f>IF(AND($B196&lt;&gt;"",$B196='Event Report'!$C$3),ROW(),"")</f>
        <v/>
      </c>
      <c r="Y196">
        <f>IF(AND($P196="✓",$R196=""),IF($Q196="",90000,$Q196)+ROW()/100000,"")</f>
        <v/>
      </c>
      <c r="Z196">
        <f>IF(OR($U196&lt;&gt;"",$D196&lt;&gt;"",$E196&lt;&gt;"",$N196&lt;&gt;""),1,"")</f>
        <v/>
      </c>
    </row>
    <row r="197">
      <c r="A197" s="13" t="inlineStr">
        <is>
          <t>P-0193</t>
        </is>
      </c>
      <c r="B197" s="14">
        <f>IF(AND($U197="",$C197=""),"",IFERROR(INDEX(EvID,MATCH(INDEX(FormData,$W197,f_Event),EvID,0)),IFERROR(INDEX(EvID,MATCH(INDEX(FormData,$W197,f_Event),EvName,0)),IFERROR(INDEX(EvID,MATCH(INT($C197),EvDate,0)),""))))</f>
        <v/>
      </c>
      <c r="C197" s="15">
        <f>IF($W197="","",INDEX(FormData,$W197,f_Time))</f>
        <v/>
      </c>
      <c r="D197" s="14">
        <f>IF($W197="","",IFERROR(UPPER(LEFT(TRIM(INDEX(FormData,$W197,f_Name)),1)&amp;IFERROR(MID(TRIM(INDEX(FormData,$W197,f_Name)),FIND("^",SUBSTITUTE(TRIM(INDEX(FormData,$W197,f_Name))," ","^",LEN(TRIM(INDEX(FormData,$W197,f_Name)))-LEN(SUBSTITUTE(TRIM(INDEX(FormData,$W197,f_Name))," ",""))))+1,1),"")),""))</f>
        <v/>
      </c>
      <c r="E197" s="16">
        <f>IF($W197="","",IFERROR(IF(SUMPRODUCT(MAX((WhoKW&lt;&gt;"")*ISNUMBER(SEARCH(WhoKW,INDEX(FormData,$W197,f_Who)&amp;""))*(ROW(WhoKW)-MIN(ROW(WhoKW))+1)))=0,"",INDEX(WhoVal,SUMPRODUCT(MAX((WhoKW&lt;&gt;"")*ISNUMBER(SEARCH(WhoKW,INDEX(FormData,$W197,f_Who)&amp;""))*(ROW(WhoKW)-MIN(ROW(WhoKW))+1))))),""))</f>
        <v/>
      </c>
      <c r="F197" s="17">
        <f>IF($W197="","",TRIM(IFERROR(INDEX(FormData,$W197,f_Org1)&amp;"","")&amp;" "&amp;IFERROR(INDEX(FormData,$W197,f_Org2)&amp;"","")))</f>
        <v/>
      </c>
      <c r="G197" s="16">
        <f>IF($W197="","",IFERROR(INDEX(FormData,$W197,f_Region)&amp;"",""))</f>
        <v/>
      </c>
      <c r="H197" s="16">
        <f>IF($W197="","",IFERROR(IF(SUMPRODUCT(MAX((SitKW&lt;&gt;"")*ISNUMBER(SEARCH(SitKW,INDEX(FormData,$W197,f_Sit)&amp;""))*(ROW(SitKW)-MIN(ROW(SitKW))+1)))=0,"",INDEX(SitVal,SUMPRODUCT(MAX((SitKW&lt;&gt;"")*ISNUMBER(SEARCH(SitKW,INDEX(FormData,$W197,f_Sit)&amp;""))*(ROW(SitKW)-MIN(ROW(SitKW))+1))))),""))</f>
        <v/>
      </c>
      <c r="I197" s="14">
        <f>IF($W197="","",IFERROR(INDEX(FormData,$W197,f_Appr)&amp;"",""))</f>
        <v/>
      </c>
      <c r="J197" s="16">
        <f>IF($W197="","",IFERROR(INDEX(FormData,$W197,f_Trade)&amp;"",""))</f>
        <v/>
      </c>
      <c r="K197" s="16" t="n"/>
      <c r="L197" s="17" t="n"/>
      <c r="M197" s="16" t="n"/>
      <c r="N197" s="17" t="n"/>
      <c r="O197" s="14" t="n"/>
      <c r="P197" s="14" t="n"/>
      <c r="Q197" s="18" t="n"/>
      <c r="R197" s="18" t="n"/>
      <c r="S197" s="13">
        <f>IF($P197&lt;&gt;"✓","",IF($R197&lt;&gt;"","Done",IF($Q197="","Open — no date",IF($Q197&lt;TODAY(),"Overdue",IF($Q197-TODAY()&lt;=DueSoon,"Due soon","Scheduled")))))</f>
        <v/>
      </c>
      <c r="T197" s="14">
        <f>IF($W197="","",IFERROR(IF(INDEX(FormData,$W197,f_Consent)&amp;""="","",IF(ISNUMBER(SEARCH("yes",INDEX(FormData,$W197,f_Consent))),"Yes","No")),""))</f>
        <v/>
      </c>
      <c r="U197" s="14" t="n"/>
      <c r="V197" s="13">
        <f>IF($U197="","",IF($W197="","not found","✓"))</f>
        <v/>
      </c>
      <c r="W197">
        <f>IF($U197="","",IFERROR(MATCH($U197,INDEX(FormData,0,f_Id),0),IFERROR(MATCH(--$U197,INDEX(FormData,0,f_Id),0),IFERROR(MATCH($U197&amp;"",INDEX(FormData,0,f_Id),0),""))))</f>
        <v/>
      </c>
      <c r="X197">
        <f>IF(AND($B197&lt;&gt;"",$B197='Event Report'!$C$3),ROW(),"")</f>
        <v/>
      </c>
      <c r="Y197">
        <f>IF(AND($P197="✓",$R197=""),IF($Q197="",90000,$Q197)+ROW()/100000,"")</f>
        <v/>
      </c>
      <c r="Z197">
        <f>IF(OR($U197&lt;&gt;"",$D197&lt;&gt;"",$E197&lt;&gt;"",$N197&lt;&gt;""),1,"")</f>
        <v/>
      </c>
    </row>
    <row r="198">
      <c r="A198" s="13" t="inlineStr">
        <is>
          <t>P-0194</t>
        </is>
      </c>
      <c r="B198" s="14">
        <f>IF(AND($U198="",$C198=""),"",IFERROR(INDEX(EvID,MATCH(INDEX(FormData,$W198,f_Event),EvID,0)),IFERROR(INDEX(EvID,MATCH(INDEX(FormData,$W198,f_Event),EvName,0)),IFERROR(INDEX(EvID,MATCH(INT($C198),EvDate,0)),""))))</f>
        <v/>
      </c>
      <c r="C198" s="15">
        <f>IF($W198="","",INDEX(FormData,$W198,f_Time))</f>
        <v/>
      </c>
      <c r="D198" s="14">
        <f>IF($W198="","",IFERROR(UPPER(LEFT(TRIM(INDEX(FormData,$W198,f_Name)),1)&amp;IFERROR(MID(TRIM(INDEX(FormData,$W198,f_Name)),FIND("^",SUBSTITUTE(TRIM(INDEX(FormData,$W198,f_Name))," ","^",LEN(TRIM(INDEX(FormData,$W198,f_Name)))-LEN(SUBSTITUTE(TRIM(INDEX(FormData,$W198,f_Name))," ",""))))+1,1),"")),""))</f>
        <v/>
      </c>
      <c r="E198" s="16">
        <f>IF($W198="","",IFERROR(IF(SUMPRODUCT(MAX((WhoKW&lt;&gt;"")*ISNUMBER(SEARCH(WhoKW,INDEX(FormData,$W198,f_Who)&amp;""))*(ROW(WhoKW)-MIN(ROW(WhoKW))+1)))=0,"",INDEX(WhoVal,SUMPRODUCT(MAX((WhoKW&lt;&gt;"")*ISNUMBER(SEARCH(WhoKW,INDEX(FormData,$W198,f_Who)&amp;""))*(ROW(WhoKW)-MIN(ROW(WhoKW))+1))))),""))</f>
        <v/>
      </c>
      <c r="F198" s="17">
        <f>IF($W198="","",TRIM(IFERROR(INDEX(FormData,$W198,f_Org1)&amp;"","")&amp;" "&amp;IFERROR(INDEX(FormData,$W198,f_Org2)&amp;"","")))</f>
        <v/>
      </c>
      <c r="G198" s="16">
        <f>IF($W198="","",IFERROR(INDEX(FormData,$W198,f_Region)&amp;"",""))</f>
        <v/>
      </c>
      <c r="H198" s="16">
        <f>IF($W198="","",IFERROR(IF(SUMPRODUCT(MAX((SitKW&lt;&gt;"")*ISNUMBER(SEARCH(SitKW,INDEX(FormData,$W198,f_Sit)&amp;""))*(ROW(SitKW)-MIN(ROW(SitKW))+1)))=0,"",INDEX(SitVal,SUMPRODUCT(MAX((SitKW&lt;&gt;"")*ISNUMBER(SEARCH(SitKW,INDEX(FormData,$W198,f_Sit)&amp;""))*(ROW(SitKW)-MIN(ROW(SitKW))+1))))),""))</f>
        <v/>
      </c>
      <c r="I198" s="14">
        <f>IF($W198="","",IFERROR(INDEX(FormData,$W198,f_Appr)&amp;"",""))</f>
        <v/>
      </c>
      <c r="J198" s="16">
        <f>IF($W198="","",IFERROR(INDEX(FormData,$W198,f_Trade)&amp;"",""))</f>
        <v/>
      </c>
      <c r="K198" s="16" t="n"/>
      <c r="L198" s="17" t="n"/>
      <c r="M198" s="16" t="n"/>
      <c r="N198" s="17" t="n"/>
      <c r="O198" s="14" t="n"/>
      <c r="P198" s="14" t="n"/>
      <c r="Q198" s="18" t="n"/>
      <c r="R198" s="18" t="n"/>
      <c r="S198" s="13">
        <f>IF($P198&lt;&gt;"✓","",IF($R198&lt;&gt;"","Done",IF($Q198="","Open — no date",IF($Q198&lt;TODAY(),"Overdue",IF($Q198-TODAY()&lt;=DueSoon,"Due soon","Scheduled")))))</f>
        <v/>
      </c>
      <c r="T198" s="14">
        <f>IF($W198="","",IFERROR(IF(INDEX(FormData,$W198,f_Consent)&amp;""="","",IF(ISNUMBER(SEARCH("yes",INDEX(FormData,$W198,f_Consent))),"Yes","No")),""))</f>
        <v/>
      </c>
      <c r="U198" s="14" t="n"/>
      <c r="V198" s="13">
        <f>IF($U198="","",IF($W198="","not found","✓"))</f>
        <v/>
      </c>
      <c r="W198">
        <f>IF($U198="","",IFERROR(MATCH($U198,INDEX(FormData,0,f_Id),0),IFERROR(MATCH(--$U198,INDEX(FormData,0,f_Id),0),IFERROR(MATCH($U198&amp;"",INDEX(FormData,0,f_Id),0),""))))</f>
        <v/>
      </c>
      <c r="X198">
        <f>IF(AND($B198&lt;&gt;"",$B198='Event Report'!$C$3),ROW(),"")</f>
        <v/>
      </c>
      <c r="Y198">
        <f>IF(AND($P198="✓",$R198=""),IF($Q198="",90000,$Q198)+ROW()/100000,"")</f>
        <v/>
      </c>
      <c r="Z198">
        <f>IF(OR($U198&lt;&gt;"",$D198&lt;&gt;"",$E198&lt;&gt;"",$N198&lt;&gt;""),1,"")</f>
        <v/>
      </c>
    </row>
    <row r="199">
      <c r="A199" s="13" t="inlineStr">
        <is>
          <t>P-0195</t>
        </is>
      </c>
      <c r="B199" s="14">
        <f>IF(AND($U199="",$C199=""),"",IFERROR(INDEX(EvID,MATCH(INDEX(FormData,$W199,f_Event),EvID,0)),IFERROR(INDEX(EvID,MATCH(INDEX(FormData,$W199,f_Event),EvName,0)),IFERROR(INDEX(EvID,MATCH(INT($C199),EvDate,0)),""))))</f>
        <v/>
      </c>
      <c r="C199" s="15">
        <f>IF($W199="","",INDEX(FormData,$W199,f_Time))</f>
        <v/>
      </c>
      <c r="D199" s="14">
        <f>IF($W199="","",IFERROR(UPPER(LEFT(TRIM(INDEX(FormData,$W199,f_Name)),1)&amp;IFERROR(MID(TRIM(INDEX(FormData,$W199,f_Name)),FIND("^",SUBSTITUTE(TRIM(INDEX(FormData,$W199,f_Name))," ","^",LEN(TRIM(INDEX(FormData,$W199,f_Name)))-LEN(SUBSTITUTE(TRIM(INDEX(FormData,$W199,f_Name))," ",""))))+1,1),"")),""))</f>
        <v/>
      </c>
      <c r="E199" s="16">
        <f>IF($W199="","",IFERROR(IF(SUMPRODUCT(MAX((WhoKW&lt;&gt;"")*ISNUMBER(SEARCH(WhoKW,INDEX(FormData,$W199,f_Who)&amp;""))*(ROW(WhoKW)-MIN(ROW(WhoKW))+1)))=0,"",INDEX(WhoVal,SUMPRODUCT(MAX((WhoKW&lt;&gt;"")*ISNUMBER(SEARCH(WhoKW,INDEX(FormData,$W199,f_Who)&amp;""))*(ROW(WhoKW)-MIN(ROW(WhoKW))+1))))),""))</f>
        <v/>
      </c>
      <c r="F199" s="17">
        <f>IF($W199="","",TRIM(IFERROR(INDEX(FormData,$W199,f_Org1)&amp;"","")&amp;" "&amp;IFERROR(INDEX(FormData,$W199,f_Org2)&amp;"","")))</f>
        <v/>
      </c>
      <c r="G199" s="16">
        <f>IF($W199="","",IFERROR(INDEX(FormData,$W199,f_Region)&amp;"",""))</f>
        <v/>
      </c>
      <c r="H199" s="16">
        <f>IF($W199="","",IFERROR(IF(SUMPRODUCT(MAX((SitKW&lt;&gt;"")*ISNUMBER(SEARCH(SitKW,INDEX(FormData,$W199,f_Sit)&amp;""))*(ROW(SitKW)-MIN(ROW(SitKW))+1)))=0,"",INDEX(SitVal,SUMPRODUCT(MAX((SitKW&lt;&gt;"")*ISNUMBER(SEARCH(SitKW,INDEX(FormData,$W199,f_Sit)&amp;""))*(ROW(SitKW)-MIN(ROW(SitKW))+1))))),""))</f>
        <v/>
      </c>
      <c r="I199" s="14">
        <f>IF($W199="","",IFERROR(INDEX(FormData,$W199,f_Appr)&amp;"",""))</f>
        <v/>
      </c>
      <c r="J199" s="16">
        <f>IF($W199="","",IFERROR(INDEX(FormData,$W199,f_Trade)&amp;"",""))</f>
        <v/>
      </c>
      <c r="K199" s="16" t="n"/>
      <c r="L199" s="17" t="n"/>
      <c r="M199" s="16" t="n"/>
      <c r="N199" s="17" t="n"/>
      <c r="O199" s="14" t="n"/>
      <c r="P199" s="14" t="n"/>
      <c r="Q199" s="18" t="n"/>
      <c r="R199" s="18" t="n"/>
      <c r="S199" s="13">
        <f>IF($P199&lt;&gt;"✓","",IF($R199&lt;&gt;"","Done",IF($Q199="","Open — no date",IF($Q199&lt;TODAY(),"Overdue",IF($Q199-TODAY()&lt;=DueSoon,"Due soon","Scheduled")))))</f>
        <v/>
      </c>
      <c r="T199" s="14">
        <f>IF($W199="","",IFERROR(IF(INDEX(FormData,$W199,f_Consent)&amp;""="","",IF(ISNUMBER(SEARCH("yes",INDEX(FormData,$W199,f_Consent))),"Yes","No")),""))</f>
        <v/>
      </c>
      <c r="U199" s="14" t="n"/>
      <c r="V199" s="13">
        <f>IF($U199="","",IF($W199="","not found","✓"))</f>
        <v/>
      </c>
      <c r="W199">
        <f>IF($U199="","",IFERROR(MATCH($U199,INDEX(FormData,0,f_Id),0),IFERROR(MATCH(--$U199,INDEX(FormData,0,f_Id),0),IFERROR(MATCH($U199&amp;"",INDEX(FormData,0,f_Id),0),""))))</f>
        <v/>
      </c>
      <c r="X199">
        <f>IF(AND($B199&lt;&gt;"",$B199='Event Report'!$C$3),ROW(),"")</f>
        <v/>
      </c>
      <c r="Y199">
        <f>IF(AND($P199="✓",$R199=""),IF($Q199="",90000,$Q199)+ROW()/100000,"")</f>
        <v/>
      </c>
      <c r="Z199">
        <f>IF(OR($U199&lt;&gt;"",$D199&lt;&gt;"",$E199&lt;&gt;"",$N199&lt;&gt;""),1,"")</f>
        <v/>
      </c>
    </row>
    <row r="200">
      <c r="A200" s="13" t="inlineStr">
        <is>
          <t>P-0196</t>
        </is>
      </c>
      <c r="B200" s="14">
        <f>IF(AND($U200="",$C200=""),"",IFERROR(INDEX(EvID,MATCH(INDEX(FormData,$W200,f_Event),EvID,0)),IFERROR(INDEX(EvID,MATCH(INDEX(FormData,$W200,f_Event),EvName,0)),IFERROR(INDEX(EvID,MATCH(INT($C200),EvDate,0)),""))))</f>
        <v/>
      </c>
      <c r="C200" s="15">
        <f>IF($W200="","",INDEX(FormData,$W200,f_Time))</f>
        <v/>
      </c>
      <c r="D200" s="14">
        <f>IF($W200="","",IFERROR(UPPER(LEFT(TRIM(INDEX(FormData,$W200,f_Name)),1)&amp;IFERROR(MID(TRIM(INDEX(FormData,$W200,f_Name)),FIND("^",SUBSTITUTE(TRIM(INDEX(FormData,$W200,f_Name))," ","^",LEN(TRIM(INDEX(FormData,$W200,f_Name)))-LEN(SUBSTITUTE(TRIM(INDEX(FormData,$W200,f_Name))," ",""))))+1,1),"")),""))</f>
        <v/>
      </c>
      <c r="E200" s="16">
        <f>IF($W200="","",IFERROR(IF(SUMPRODUCT(MAX((WhoKW&lt;&gt;"")*ISNUMBER(SEARCH(WhoKW,INDEX(FormData,$W200,f_Who)&amp;""))*(ROW(WhoKW)-MIN(ROW(WhoKW))+1)))=0,"",INDEX(WhoVal,SUMPRODUCT(MAX((WhoKW&lt;&gt;"")*ISNUMBER(SEARCH(WhoKW,INDEX(FormData,$W200,f_Who)&amp;""))*(ROW(WhoKW)-MIN(ROW(WhoKW))+1))))),""))</f>
        <v/>
      </c>
      <c r="F200" s="17">
        <f>IF($W200="","",TRIM(IFERROR(INDEX(FormData,$W200,f_Org1)&amp;"","")&amp;" "&amp;IFERROR(INDEX(FormData,$W200,f_Org2)&amp;"","")))</f>
        <v/>
      </c>
      <c r="G200" s="16">
        <f>IF($W200="","",IFERROR(INDEX(FormData,$W200,f_Region)&amp;"",""))</f>
        <v/>
      </c>
      <c r="H200" s="16">
        <f>IF($W200="","",IFERROR(IF(SUMPRODUCT(MAX((SitKW&lt;&gt;"")*ISNUMBER(SEARCH(SitKW,INDEX(FormData,$W200,f_Sit)&amp;""))*(ROW(SitKW)-MIN(ROW(SitKW))+1)))=0,"",INDEX(SitVal,SUMPRODUCT(MAX((SitKW&lt;&gt;"")*ISNUMBER(SEARCH(SitKW,INDEX(FormData,$W200,f_Sit)&amp;""))*(ROW(SitKW)-MIN(ROW(SitKW))+1))))),""))</f>
        <v/>
      </c>
      <c r="I200" s="14">
        <f>IF($W200="","",IFERROR(INDEX(FormData,$W200,f_Appr)&amp;"",""))</f>
        <v/>
      </c>
      <c r="J200" s="16">
        <f>IF($W200="","",IFERROR(INDEX(FormData,$W200,f_Trade)&amp;"",""))</f>
        <v/>
      </c>
      <c r="K200" s="16" t="n"/>
      <c r="L200" s="17" t="n"/>
      <c r="M200" s="16" t="n"/>
      <c r="N200" s="17" t="n"/>
      <c r="O200" s="14" t="n"/>
      <c r="P200" s="14" t="n"/>
      <c r="Q200" s="18" t="n"/>
      <c r="R200" s="18" t="n"/>
      <c r="S200" s="13">
        <f>IF($P200&lt;&gt;"✓","",IF($R200&lt;&gt;"","Done",IF($Q200="","Open — no date",IF($Q200&lt;TODAY(),"Overdue",IF($Q200-TODAY()&lt;=DueSoon,"Due soon","Scheduled")))))</f>
        <v/>
      </c>
      <c r="T200" s="14">
        <f>IF($W200="","",IFERROR(IF(INDEX(FormData,$W200,f_Consent)&amp;""="","",IF(ISNUMBER(SEARCH("yes",INDEX(FormData,$W200,f_Consent))),"Yes","No")),""))</f>
        <v/>
      </c>
      <c r="U200" s="14" t="n"/>
      <c r="V200" s="13">
        <f>IF($U200="","",IF($W200="","not found","✓"))</f>
        <v/>
      </c>
      <c r="W200">
        <f>IF($U200="","",IFERROR(MATCH($U200,INDEX(FormData,0,f_Id),0),IFERROR(MATCH(--$U200,INDEX(FormData,0,f_Id),0),IFERROR(MATCH($U200&amp;"",INDEX(FormData,0,f_Id),0),""))))</f>
        <v/>
      </c>
      <c r="X200">
        <f>IF(AND($B200&lt;&gt;"",$B200='Event Report'!$C$3),ROW(),"")</f>
        <v/>
      </c>
      <c r="Y200">
        <f>IF(AND($P200="✓",$R200=""),IF($Q200="",90000,$Q200)+ROW()/100000,"")</f>
        <v/>
      </c>
      <c r="Z200">
        <f>IF(OR($U200&lt;&gt;"",$D200&lt;&gt;"",$E200&lt;&gt;"",$N200&lt;&gt;""),1,"")</f>
        <v/>
      </c>
    </row>
    <row r="201">
      <c r="A201" s="13" t="inlineStr">
        <is>
          <t>P-0197</t>
        </is>
      </c>
      <c r="B201" s="14">
        <f>IF(AND($U201="",$C201=""),"",IFERROR(INDEX(EvID,MATCH(INDEX(FormData,$W201,f_Event),EvID,0)),IFERROR(INDEX(EvID,MATCH(INDEX(FormData,$W201,f_Event),EvName,0)),IFERROR(INDEX(EvID,MATCH(INT($C201),EvDate,0)),""))))</f>
        <v/>
      </c>
      <c r="C201" s="15">
        <f>IF($W201="","",INDEX(FormData,$W201,f_Time))</f>
        <v/>
      </c>
      <c r="D201" s="14">
        <f>IF($W201="","",IFERROR(UPPER(LEFT(TRIM(INDEX(FormData,$W201,f_Name)),1)&amp;IFERROR(MID(TRIM(INDEX(FormData,$W201,f_Name)),FIND("^",SUBSTITUTE(TRIM(INDEX(FormData,$W201,f_Name))," ","^",LEN(TRIM(INDEX(FormData,$W201,f_Name)))-LEN(SUBSTITUTE(TRIM(INDEX(FormData,$W201,f_Name))," ",""))))+1,1),"")),""))</f>
        <v/>
      </c>
      <c r="E201" s="16">
        <f>IF($W201="","",IFERROR(IF(SUMPRODUCT(MAX((WhoKW&lt;&gt;"")*ISNUMBER(SEARCH(WhoKW,INDEX(FormData,$W201,f_Who)&amp;""))*(ROW(WhoKW)-MIN(ROW(WhoKW))+1)))=0,"",INDEX(WhoVal,SUMPRODUCT(MAX((WhoKW&lt;&gt;"")*ISNUMBER(SEARCH(WhoKW,INDEX(FormData,$W201,f_Who)&amp;""))*(ROW(WhoKW)-MIN(ROW(WhoKW))+1))))),""))</f>
        <v/>
      </c>
      <c r="F201" s="17">
        <f>IF($W201="","",TRIM(IFERROR(INDEX(FormData,$W201,f_Org1)&amp;"","")&amp;" "&amp;IFERROR(INDEX(FormData,$W201,f_Org2)&amp;"","")))</f>
        <v/>
      </c>
      <c r="G201" s="16">
        <f>IF($W201="","",IFERROR(INDEX(FormData,$W201,f_Region)&amp;"",""))</f>
        <v/>
      </c>
      <c r="H201" s="16">
        <f>IF($W201="","",IFERROR(IF(SUMPRODUCT(MAX((SitKW&lt;&gt;"")*ISNUMBER(SEARCH(SitKW,INDEX(FormData,$W201,f_Sit)&amp;""))*(ROW(SitKW)-MIN(ROW(SitKW))+1)))=0,"",INDEX(SitVal,SUMPRODUCT(MAX((SitKW&lt;&gt;"")*ISNUMBER(SEARCH(SitKW,INDEX(FormData,$W201,f_Sit)&amp;""))*(ROW(SitKW)-MIN(ROW(SitKW))+1))))),""))</f>
        <v/>
      </c>
      <c r="I201" s="14">
        <f>IF($W201="","",IFERROR(INDEX(FormData,$W201,f_Appr)&amp;"",""))</f>
        <v/>
      </c>
      <c r="J201" s="16">
        <f>IF($W201="","",IFERROR(INDEX(FormData,$W201,f_Trade)&amp;"",""))</f>
        <v/>
      </c>
      <c r="K201" s="16" t="n"/>
      <c r="L201" s="17" t="n"/>
      <c r="M201" s="16" t="n"/>
      <c r="N201" s="17" t="n"/>
      <c r="O201" s="14" t="n"/>
      <c r="P201" s="14" t="n"/>
      <c r="Q201" s="18" t="n"/>
      <c r="R201" s="18" t="n"/>
      <c r="S201" s="13">
        <f>IF($P201&lt;&gt;"✓","",IF($R201&lt;&gt;"","Done",IF($Q201="","Open — no date",IF($Q201&lt;TODAY(),"Overdue",IF($Q201-TODAY()&lt;=DueSoon,"Due soon","Scheduled")))))</f>
        <v/>
      </c>
      <c r="T201" s="14">
        <f>IF($W201="","",IFERROR(IF(INDEX(FormData,$W201,f_Consent)&amp;""="","",IF(ISNUMBER(SEARCH("yes",INDEX(FormData,$W201,f_Consent))),"Yes","No")),""))</f>
        <v/>
      </c>
      <c r="U201" s="14" t="n"/>
      <c r="V201" s="13">
        <f>IF($U201="","",IF($W201="","not found","✓"))</f>
        <v/>
      </c>
      <c r="W201">
        <f>IF($U201="","",IFERROR(MATCH($U201,INDEX(FormData,0,f_Id),0),IFERROR(MATCH(--$U201,INDEX(FormData,0,f_Id),0),IFERROR(MATCH($U201&amp;"",INDEX(FormData,0,f_Id),0),""))))</f>
        <v/>
      </c>
      <c r="X201">
        <f>IF(AND($B201&lt;&gt;"",$B201='Event Report'!$C$3),ROW(),"")</f>
        <v/>
      </c>
      <c r="Y201">
        <f>IF(AND($P201="✓",$R201=""),IF($Q201="",90000,$Q201)+ROW()/100000,"")</f>
        <v/>
      </c>
      <c r="Z201">
        <f>IF(OR($U201&lt;&gt;"",$D201&lt;&gt;"",$E201&lt;&gt;"",$N201&lt;&gt;""),1,"")</f>
        <v/>
      </c>
    </row>
    <row r="202">
      <c r="A202" s="13" t="inlineStr">
        <is>
          <t>P-0198</t>
        </is>
      </c>
      <c r="B202" s="14">
        <f>IF(AND($U202="",$C202=""),"",IFERROR(INDEX(EvID,MATCH(INDEX(FormData,$W202,f_Event),EvID,0)),IFERROR(INDEX(EvID,MATCH(INDEX(FormData,$W202,f_Event),EvName,0)),IFERROR(INDEX(EvID,MATCH(INT($C202),EvDate,0)),""))))</f>
        <v/>
      </c>
      <c r="C202" s="15">
        <f>IF($W202="","",INDEX(FormData,$W202,f_Time))</f>
        <v/>
      </c>
      <c r="D202" s="14">
        <f>IF($W202="","",IFERROR(UPPER(LEFT(TRIM(INDEX(FormData,$W202,f_Name)),1)&amp;IFERROR(MID(TRIM(INDEX(FormData,$W202,f_Name)),FIND("^",SUBSTITUTE(TRIM(INDEX(FormData,$W202,f_Name))," ","^",LEN(TRIM(INDEX(FormData,$W202,f_Name)))-LEN(SUBSTITUTE(TRIM(INDEX(FormData,$W202,f_Name))," ",""))))+1,1),"")),""))</f>
        <v/>
      </c>
      <c r="E202" s="16">
        <f>IF($W202="","",IFERROR(IF(SUMPRODUCT(MAX((WhoKW&lt;&gt;"")*ISNUMBER(SEARCH(WhoKW,INDEX(FormData,$W202,f_Who)&amp;""))*(ROW(WhoKW)-MIN(ROW(WhoKW))+1)))=0,"",INDEX(WhoVal,SUMPRODUCT(MAX((WhoKW&lt;&gt;"")*ISNUMBER(SEARCH(WhoKW,INDEX(FormData,$W202,f_Who)&amp;""))*(ROW(WhoKW)-MIN(ROW(WhoKW))+1))))),""))</f>
        <v/>
      </c>
      <c r="F202" s="17">
        <f>IF($W202="","",TRIM(IFERROR(INDEX(FormData,$W202,f_Org1)&amp;"","")&amp;" "&amp;IFERROR(INDEX(FormData,$W202,f_Org2)&amp;"","")))</f>
        <v/>
      </c>
      <c r="G202" s="16">
        <f>IF($W202="","",IFERROR(INDEX(FormData,$W202,f_Region)&amp;"",""))</f>
        <v/>
      </c>
      <c r="H202" s="16">
        <f>IF($W202="","",IFERROR(IF(SUMPRODUCT(MAX((SitKW&lt;&gt;"")*ISNUMBER(SEARCH(SitKW,INDEX(FormData,$W202,f_Sit)&amp;""))*(ROW(SitKW)-MIN(ROW(SitKW))+1)))=0,"",INDEX(SitVal,SUMPRODUCT(MAX((SitKW&lt;&gt;"")*ISNUMBER(SEARCH(SitKW,INDEX(FormData,$W202,f_Sit)&amp;""))*(ROW(SitKW)-MIN(ROW(SitKW))+1))))),""))</f>
        <v/>
      </c>
      <c r="I202" s="14">
        <f>IF($W202="","",IFERROR(INDEX(FormData,$W202,f_Appr)&amp;"",""))</f>
        <v/>
      </c>
      <c r="J202" s="16">
        <f>IF($W202="","",IFERROR(INDEX(FormData,$W202,f_Trade)&amp;"",""))</f>
        <v/>
      </c>
      <c r="K202" s="16" t="n"/>
      <c r="L202" s="17" t="n"/>
      <c r="M202" s="16" t="n"/>
      <c r="N202" s="17" t="n"/>
      <c r="O202" s="14" t="n"/>
      <c r="P202" s="14" t="n"/>
      <c r="Q202" s="18" t="n"/>
      <c r="R202" s="18" t="n"/>
      <c r="S202" s="13">
        <f>IF($P202&lt;&gt;"✓","",IF($R202&lt;&gt;"","Done",IF($Q202="","Open — no date",IF($Q202&lt;TODAY(),"Overdue",IF($Q202-TODAY()&lt;=DueSoon,"Due soon","Scheduled")))))</f>
        <v/>
      </c>
      <c r="T202" s="14">
        <f>IF($W202="","",IFERROR(IF(INDEX(FormData,$W202,f_Consent)&amp;""="","",IF(ISNUMBER(SEARCH("yes",INDEX(FormData,$W202,f_Consent))),"Yes","No")),""))</f>
        <v/>
      </c>
      <c r="U202" s="14" t="n"/>
      <c r="V202" s="13">
        <f>IF($U202="","",IF($W202="","not found","✓"))</f>
        <v/>
      </c>
      <c r="W202">
        <f>IF($U202="","",IFERROR(MATCH($U202,INDEX(FormData,0,f_Id),0),IFERROR(MATCH(--$U202,INDEX(FormData,0,f_Id),0),IFERROR(MATCH($U202&amp;"",INDEX(FormData,0,f_Id),0),""))))</f>
        <v/>
      </c>
      <c r="X202">
        <f>IF(AND($B202&lt;&gt;"",$B202='Event Report'!$C$3),ROW(),"")</f>
        <v/>
      </c>
      <c r="Y202">
        <f>IF(AND($P202="✓",$R202=""),IF($Q202="",90000,$Q202)+ROW()/100000,"")</f>
        <v/>
      </c>
      <c r="Z202">
        <f>IF(OR($U202&lt;&gt;"",$D202&lt;&gt;"",$E202&lt;&gt;"",$N202&lt;&gt;""),1,"")</f>
        <v/>
      </c>
    </row>
    <row r="203">
      <c r="A203" s="13" t="inlineStr">
        <is>
          <t>P-0199</t>
        </is>
      </c>
      <c r="B203" s="14">
        <f>IF(AND($U203="",$C203=""),"",IFERROR(INDEX(EvID,MATCH(INDEX(FormData,$W203,f_Event),EvID,0)),IFERROR(INDEX(EvID,MATCH(INDEX(FormData,$W203,f_Event),EvName,0)),IFERROR(INDEX(EvID,MATCH(INT($C203),EvDate,0)),""))))</f>
        <v/>
      </c>
      <c r="C203" s="15">
        <f>IF($W203="","",INDEX(FormData,$W203,f_Time))</f>
        <v/>
      </c>
      <c r="D203" s="14">
        <f>IF($W203="","",IFERROR(UPPER(LEFT(TRIM(INDEX(FormData,$W203,f_Name)),1)&amp;IFERROR(MID(TRIM(INDEX(FormData,$W203,f_Name)),FIND("^",SUBSTITUTE(TRIM(INDEX(FormData,$W203,f_Name))," ","^",LEN(TRIM(INDEX(FormData,$W203,f_Name)))-LEN(SUBSTITUTE(TRIM(INDEX(FormData,$W203,f_Name))," ",""))))+1,1),"")),""))</f>
        <v/>
      </c>
      <c r="E203" s="16">
        <f>IF($W203="","",IFERROR(IF(SUMPRODUCT(MAX((WhoKW&lt;&gt;"")*ISNUMBER(SEARCH(WhoKW,INDEX(FormData,$W203,f_Who)&amp;""))*(ROW(WhoKW)-MIN(ROW(WhoKW))+1)))=0,"",INDEX(WhoVal,SUMPRODUCT(MAX((WhoKW&lt;&gt;"")*ISNUMBER(SEARCH(WhoKW,INDEX(FormData,$W203,f_Who)&amp;""))*(ROW(WhoKW)-MIN(ROW(WhoKW))+1))))),""))</f>
        <v/>
      </c>
      <c r="F203" s="17">
        <f>IF($W203="","",TRIM(IFERROR(INDEX(FormData,$W203,f_Org1)&amp;"","")&amp;" "&amp;IFERROR(INDEX(FormData,$W203,f_Org2)&amp;"","")))</f>
        <v/>
      </c>
      <c r="G203" s="16">
        <f>IF($W203="","",IFERROR(INDEX(FormData,$W203,f_Region)&amp;"",""))</f>
        <v/>
      </c>
      <c r="H203" s="16">
        <f>IF($W203="","",IFERROR(IF(SUMPRODUCT(MAX((SitKW&lt;&gt;"")*ISNUMBER(SEARCH(SitKW,INDEX(FormData,$W203,f_Sit)&amp;""))*(ROW(SitKW)-MIN(ROW(SitKW))+1)))=0,"",INDEX(SitVal,SUMPRODUCT(MAX((SitKW&lt;&gt;"")*ISNUMBER(SEARCH(SitKW,INDEX(FormData,$W203,f_Sit)&amp;""))*(ROW(SitKW)-MIN(ROW(SitKW))+1))))),""))</f>
        <v/>
      </c>
      <c r="I203" s="14">
        <f>IF($W203="","",IFERROR(INDEX(FormData,$W203,f_Appr)&amp;"",""))</f>
        <v/>
      </c>
      <c r="J203" s="16">
        <f>IF($W203="","",IFERROR(INDEX(FormData,$W203,f_Trade)&amp;"",""))</f>
        <v/>
      </c>
      <c r="K203" s="16" t="n"/>
      <c r="L203" s="17" t="n"/>
      <c r="M203" s="16" t="n"/>
      <c r="N203" s="17" t="n"/>
      <c r="O203" s="14" t="n"/>
      <c r="P203" s="14" t="n"/>
      <c r="Q203" s="18" t="n"/>
      <c r="R203" s="18" t="n"/>
      <c r="S203" s="13">
        <f>IF($P203&lt;&gt;"✓","",IF($R203&lt;&gt;"","Done",IF($Q203="","Open — no date",IF($Q203&lt;TODAY(),"Overdue",IF($Q203-TODAY()&lt;=DueSoon,"Due soon","Scheduled")))))</f>
        <v/>
      </c>
      <c r="T203" s="14">
        <f>IF($W203="","",IFERROR(IF(INDEX(FormData,$W203,f_Consent)&amp;""="","",IF(ISNUMBER(SEARCH("yes",INDEX(FormData,$W203,f_Consent))),"Yes","No")),""))</f>
        <v/>
      </c>
      <c r="U203" s="14" t="n"/>
      <c r="V203" s="13">
        <f>IF($U203="","",IF($W203="","not found","✓"))</f>
        <v/>
      </c>
      <c r="W203">
        <f>IF($U203="","",IFERROR(MATCH($U203,INDEX(FormData,0,f_Id),0),IFERROR(MATCH(--$U203,INDEX(FormData,0,f_Id),0),IFERROR(MATCH($U203&amp;"",INDEX(FormData,0,f_Id),0),""))))</f>
        <v/>
      </c>
      <c r="X203">
        <f>IF(AND($B203&lt;&gt;"",$B203='Event Report'!$C$3),ROW(),"")</f>
        <v/>
      </c>
      <c r="Y203">
        <f>IF(AND($P203="✓",$R203=""),IF($Q203="",90000,$Q203)+ROW()/100000,"")</f>
        <v/>
      </c>
      <c r="Z203">
        <f>IF(OR($U203&lt;&gt;"",$D203&lt;&gt;"",$E203&lt;&gt;"",$N203&lt;&gt;""),1,"")</f>
        <v/>
      </c>
    </row>
    <row r="204">
      <c r="A204" s="13" t="inlineStr">
        <is>
          <t>P-0200</t>
        </is>
      </c>
      <c r="B204" s="14">
        <f>IF(AND($U204="",$C204=""),"",IFERROR(INDEX(EvID,MATCH(INDEX(FormData,$W204,f_Event),EvID,0)),IFERROR(INDEX(EvID,MATCH(INDEX(FormData,$W204,f_Event),EvName,0)),IFERROR(INDEX(EvID,MATCH(INT($C204),EvDate,0)),""))))</f>
        <v/>
      </c>
      <c r="C204" s="15">
        <f>IF($W204="","",INDEX(FormData,$W204,f_Time))</f>
        <v/>
      </c>
      <c r="D204" s="14">
        <f>IF($W204="","",IFERROR(UPPER(LEFT(TRIM(INDEX(FormData,$W204,f_Name)),1)&amp;IFERROR(MID(TRIM(INDEX(FormData,$W204,f_Name)),FIND("^",SUBSTITUTE(TRIM(INDEX(FormData,$W204,f_Name))," ","^",LEN(TRIM(INDEX(FormData,$W204,f_Name)))-LEN(SUBSTITUTE(TRIM(INDEX(FormData,$W204,f_Name))," ",""))))+1,1),"")),""))</f>
        <v/>
      </c>
      <c r="E204" s="16">
        <f>IF($W204="","",IFERROR(IF(SUMPRODUCT(MAX((WhoKW&lt;&gt;"")*ISNUMBER(SEARCH(WhoKW,INDEX(FormData,$W204,f_Who)&amp;""))*(ROW(WhoKW)-MIN(ROW(WhoKW))+1)))=0,"",INDEX(WhoVal,SUMPRODUCT(MAX((WhoKW&lt;&gt;"")*ISNUMBER(SEARCH(WhoKW,INDEX(FormData,$W204,f_Who)&amp;""))*(ROW(WhoKW)-MIN(ROW(WhoKW))+1))))),""))</f>
        <v/>
      </c>
      <c r="F204" s="17">
        <f>IF($W204="","",TRIM(IFERROR(INDEX(FormData,$W204,f_Org1)&amp;"","")&amp;" "&amp;IFERROR(INDEX(FormData,$W204,f_Org2)&amp;"","")))</f>
        <v/>
      </c>
      <c r="G204" s="16">
        <f>IF($W204="","",IFERROR(INDEX(FormData,$W204,f_Region)&amp;"",""))</f>
        <v/>
      </c>
      <c r="H204" s="16">
        <f>IF($W204="","",IFERROR(IF(SUMPRODUCT(MAX((SitKW&lt;&gt;"")*ISNUMBER(SEARCH(SitKW,INDEX(FormData,$W204,f_Sit)&amp;""))*(ROW(SitKW)-MIN(ROW(SitKW))+1)))=0,"",INDEX(SitVal,SUMPRODUCT(MAX((SitKW&lt;&gt;"")*ISNUMBER(SEARCH(SitKW,INDEX(FormData,$W204,f_Sit)&amp;""))*(ROW(SitKW)-MIN(ROW(SitKW))+1))))),""))</f>
        <v/>
      </c>
      <c r="I204" s="14">
        <f>IF($W204="","",IFERROR(INDEX(FormData,$W204,f_Appr)&amp;"",""))</f>
        <v/>
      </c>
      <c r="J204" s="16">
        <f>IF($W204="","",IFERROR(INDEX(FormData,$W204,f_Trade)&amp;"",""))</f>
        <v/>
      </c>
      <c r="K204" s="16" t="n"/>
      <c r="L204" s="17" t="n"/>
      <c r="M204" s="16" t="n"/>
      <c r="N204" s="17" t="n"/>
      <c r="O204" s="14" t="n"/>
      <c r="P204" s="14" t="n"/>
      <c r="Q204" s="18" t="n"/>
      <c r="R204" s="18" t="n"/>
      <c r="S204" s="13">
        <f>IF($P204&lt;&gt;"✓","",IF($R204&lt;&gt;"","Done",IF($Q204="","Open — no date",IF($Q204&lt;TODAY(),"Overdue",IF($Q204-TODAY()&lt;=DueSoon,"Due soon","Scheduled")))))</f>
        <v/>
      </c>
      <c r="T204" s="14">
        <f>IF($W204="","",IFERROR(IF(INDEX(FormData,$W204,f_Consent)&amp;""="","",IF(ISNUMBER(SEARCH("yes",INDEX(FormData,$W204,f_Consent))),"Yes","No")),""))</f>
        <v/>
      </c>
      <c r="U204" s="14" t="n"/>
      <c r="V204" s="13">
        <f>IF($U204="","",IF($W204="","not found","✓"))</f>
        <v/>
      </c>
      <c r="W204">
        <f>IF($U204="","",IFERROR(MATCH($U204,INDEX(FormData,0,f_Id),0),IFERROR(MATCH(--$U204,INDEX(FormData,0,f_Id),0),IFERROR(MATCH($U204&amp;"",INDEX(FormData,0,f_Id),0),""))))</f>
        <v/>
      </c>
      <c r="X204">
        <f>IF(AND($B204&lt;&gt;"",$B204='Event Report'!$C$3),ROW(),"")</f>
        <v/>
      </c>
      <c r="Y204">
        <f>IF(AND($P204="✓",$R204=""),IF($Q204="",90000,$Q204)+ROW()/100000,"")</f>
        <v/>
      </c>
      <c r="Z204">
        <f>IF(OR($U204&lt;&gt;"",$D204&lt;&gt;"",$E204&lt;&gt;"",$N204&lt;&gt;""),1,"")</f>
        <v/>
      </c>
    </row>
    <row r="205">
      <c r="A205" s="13" t="inlineStr">
        <is>
          <t>P-0201</t>
        </is>
      </c>
      <c r="B205" s="14">
        <f>IF(AND($U205="",$C205=""),"",IFERROR(INDEX(EvID,MATCH(INDEX(FormData,$W205,f_Event),EvID,0)),IFERROR(INDEX(EvID,MATCH(INDEX(FormData,$W205,f_Event),EvName,0)),IFERROR(INDEX(EvID,MATCH(INT($C205),EvDate,0)),""))))</f>
        <v/>
      </c>
      <c r="C205" s="15">
        <f>IF($W205="","",INDEX(FormData,$W205,f_Time))</f>
        <v/>
      </c>
      <c r="D205" s="14">
        <f>IF($W205="","",IFERROR(UPPER(LEFT(TRIM(INDEX(FormData,$W205,f_Name)),1)&amp;IFERROR(MID(TRIM(INDEX(FormData,$W205,f_Name)),FIND("^",SUBSTITUTE(TRIM(INDEX(FormData,$W205,f_Name))," ","^",LEN(TRIM(INDEX(FormData,$W205,f_Name)))-LEN(SUBSTITUTE(TRIM(INDEX(FormData,$W205,f_Name))," ",""))))+1,1),"")),""))</f>
        <v/>
      </c>
      <c r="E205" s="16">
        <f>IF($W205="","",IFERROR(IF(SUMPRODUCT(MAX((WhoKW&lt;&gt;"")*ISNUMBER(SEARCH(WhoKW,INDEX(FormData,$W205,f_Who)&amp;""))*(ROW(WhoKW)-MIN(ROW(WhoKW))+1)))=0,"",INDEX(WhoVal,SUMPRODUCT(MAX((WhoKW&lt;&gt;"")*ISNUMBER(SEARCH(WhoKW,INDEX(FormData,$W205,f_Who)&amp;""))*(ROW(WhoKW)-MIN(ROW(WhoKW))+1))))),""))</f>
        <v/>
      </c>
      <c r="F205" s="17">
        <f>IF($W205="","",TRIM(IFERROR(INDEX(FormData,$W205,f_Org1)&amp;"","")&amp;" "&amp;IFERROR(INDEX(FormData,$W205,f_Org2)&amp;"","")))</f>
        <v/>
      </c>
      <c r="G205" s="16">
        <f>IF($W205="","",IFERROR(INDEX(FormData,$W205,f_Region)&amp;"",""))</f>
        <v/>
      </c>
      <c r="H205" s="16">
        <f>IF($W205="","",IFERROR(IF(SUMPRODUCT(MAX((SitKW&lt;&gt;"")*ISNUMBER(SEARCH(SitKW,INDEX(FormData,$W205,f_Sit)&amp;""))*(ROW(SitKW)-MIN(ROW(SitKW))+1)))=0,"",INDEX(SitVal,SUMPRODUCT(MAX((SitKW&lt;&gt;"")*ISNUMBER(SEARCH(SitKW,INDEX(FormData,$W205,f_Sit)&amp;""))*(ROW(SitKW)-MIN(ROW(SitKW))+1))))),""))</f>
        <v/>
      </c>
      <c r="I205" s="14">
        <f>IF($W205="","",IFERROR(INDEX(FormData,$W205,f_Appr)&amp;"",""))</f>
        <v/>
      </c>
      <c r="J205" s="16">
        <f>IF($W205="","",IFERROR(INDEX(FormData,$W205,f_Trade)&amp;"",""))</f>
        <v/>
      </c>
      <c r="K205" s="16" t="n"/>
      <c r="L205" s="17" t="n"/>
      <c r="M205" s="16" t="n"/>
      <c r="N205" s="17" t="n"/>
      <c r="O205" s="14" t="n"/>
      <c r="P205" s="14" t="n"/>
      <c r="Q205" s="18" t="n"/>
      <c r="R205" s="18" t="n"/>
      <c r="S205" s="13">
        <f>IF($P205&lt;&gt;"✓","",IF($R205&lt;&gt;"","Done",IF($Q205="","Open — no date",IF($Q205&lt;TODAY(),"Overdue",IF($Q205-TODAY()&lt;=DueSoon,"Due soon","Scheduled")))))</f>
        <v/>
      </c>
      <c r="T205" s="14">
        <f>IF($W205="","",IFERROR(IF(INDEX(FormData,$W205,f_Consent)&amp;""="","",IF(ISNUMBER(SEARCH("yes",INDEX(FormData,$W205,f_Consent))),"Yes","No")),""))</f>
        <v/>
      </c>
      <c r="U205" s="14" t="n"/>
      <c r="V205" s="13">
        <f>IF($U205="","",IF($W205="","not found","✓"))</f>
        <v/>
      </c>
      <c r="W205">
        <f>IF($U205="","",IFERROR(MATCH($U205,INDEX(FormData,0,f_Id),0),IFERROR(MATCH(--$U205,INDEX(FormData,0,f_Id),0),IFERROR(MATCH($U205&amp;"",INDEX(FormData,0,f_Id),0),""))))</f>
        <v/>
      </c>
      <c r="X205">
        <f>IF(AND($B205&lt;&gt;"",$B205='Event Report'!$C$3),ROW(),"")</f>
        <v/>
      </c>
      <c r="Y205">
        <f>IF(AND($P205="✓",$R205=""),IF($Q205="",90000,$Q205)+ROW()/100000,"")</f>
        <v/>
      </c>
      <c r="Z205">
        <f>IF(OR($U205&lt;&gt;"",$D205&lt;&gt;"",$E205&lt;&gt;"",$N205&lt;&gt;""),1,"")</f>
        <v/>
      </c>
    </row>
    <row r="206">
      <c r="A206" s="13" t="inlineStr">
        <is>
          <t>P-0202</t>
        </is>
      </c>
      <c r="B206" s="14">
        <f>IF(AND($U206="",$C206=""),"",IFERROR(INDEX(EvID,MATCH(INDEX(FormData,$W206,f_Event),EvID,0)),IFERROR(INDEX(EvID,MATCH(INDEX(FormData,$W206,f_Event),EvName,0)),IFERROR(INDEX(EvID,MATCH(INT($C206),EvDate,0)),""))))</f>
        <v/>
      </c>
      <c r="C206" s="15">
        <f>IF($W206="","",INDEX(FormData,$W206,f_Time))</f>
        <v/>
      </c>
      <c r="D206" s="14">
        <f>IF($W206="","",IFERROR(UPPER(LEFT(TRIM(INDEX(FormData,$W206,f_Name)),1)&amp;IFERROR(MID(TRIM(INDEX(FormData,$W206,f_Name)),FIND("^",SUBSTITUTE(TRIM(INDEX(FormData,$W206,f_Name))," ","^",LEN(TRIM(INDEX(FormData,$W206,f_Name)))-LEN(SUBSTITUTE(TRIM(INDEX(FormData,$W206,f_Name))," ",""))))+1,1),"")),""))</f>
        <v/>
      </c>
      <c r="E206" s="16">
        <f>IF($W206="","",IFERROR(IF(SUMPRODUCT(MAX((WhoKW&lt;&gt;"")*ISNUMBER(SEARCH(WhoKW,INDEX(FormData,$W206,f_Who)&amp;""))*(ROW(WhoKW)-MIN(ROW(WhoKW))+1)))=0,"",INDEX(WhoVal,SUMPRODUCT(MAX((WhoKW&lt;&gt;"")*ISNUMBER(SEARCH(WhoKW,INDEX(FormData,$W206,f_Who)&amp;""))*(ROW(WhoKW)-MIN(ROW(WhoKW))+1))))),""))</f>
        <v/>
      </c>
      <c r="F206" s="17">
        <f>IF($W206="","",TRIM(IFERROR(INDEX(FormData,$W206,f_Org1)&amp;"","")&amp;" "&amp;IFERROR(INDEX(FormData,$W206,f_Org2)&amp;"","")))</f>
        <v/>
      </c>
      <c r="G206" s="16">
        <f>IF($W206="","",IFERROR(INDEX(FormData,$W206,f_Region)&amp;"",""))</f>
        <v/>
      </c>
      <c r="H206" s="16">
        <f>IF($W206="","",IFERROR(IF(SUMPRODUCT(MAX((SitKW&lt;&gt;"")*ISNUMBER(SEARCH(SitKW,INDEX(FormData,$W206,f_Sit)&amp;""))*(ROW(SitKW)-MIN(ROW(SitKW))+1)))=0,"",INDEX(SitVal,SUMPRODUCT(MAX((SitKW&lt;&gt;"")*ISNUMBER(SEARCH(SitKW,INDEX(FormData,$W206,f_Sit)&amp;""))*(ROW(SitKW)-MIN(ROW(SitKW))+1))))),""))</f>
        <v/>
      </c>
      <c r="I206" s="14">
        <f>IF($W206="","",IFERROR(INDEX(FormData,$W206,f_Appr)&amp;"",""))</f>
        <v/>
      </c>
      <c r="J206" s="16">
        <f>IF($W206="","",IFERROR(INDEX(FormData,$W206,f_Trade)&amp;"",""))</f>
        <v/>
      </c>
      <c r="K206" s="16" t="n"/>
      <c r="L206" s="17" t="n"/>
      <c r="M206" s="16" t="n"/>
      <c r="N206" s="17" t="n"/>
      <c r="O206" s="14" t="n"/>
      <c r="P206" s="14" t="n"/>
      <c r="Q206" s="18" t="n"/>
      <c r="R206" s="18" t="n"/>
      <c r="S206" s="13">
        <f>IF($P206&lt;&gt;"✓","",IF($R206&lt;&gt;"","Done",IF($Q206="","Open — no date",IF($Q206&lt;TODAY(),"Overdue",IF($Q206-TODAY()&lt;=DueSoon,"Due soon","Scheduled")))))</f>
        <v/>
      </c>
      <c r="T206" s="14">
        <f>IF($W206="","",IFERROR(IF(INDEX(FormData,$W206,f_Consent)&amp;""="","",IF(ISNUMBER(SEARCH("yes",INDEX(FormData,$W206,f_Consent))),"Yes","No")),""))</f>
        <v/>
      </c>
      <c r="U206" s="14" t="n"/>
      <c r="V206" s="13">
        <f>IF($U206="","",IF($W206="","not found","✓"))</f>
        <v/>
      </c>
      <c r="W206">
        <f>IF($U206="","",IFERROR(MATCH($U206,INDEX(FormData,0,f_Id),0),IFERROR(MATCH(--$U206,INDEX(FormData,0,f_Id),0),IFERROR(MATCH($U206&amp;"",INDEX(FormData,0,f_Id),0),""))))</f>
        <v/>
      </c>
      <c r="X206">
        <f>IF(AND($B206&lt;&gt;"",$B206='Event Report'!$C$3),ROW(),"")</f>
        <v/>
      </c>
      <c r="Y206">
        <f>IF(AND($P206="✓",$R206=""),IF($Q206="",90000,$Q206)+ROW()/100000,"")</f>
        <v/>
      </c>
      <c r="Z206">
        <f>IF(OR($U206&lt;&gt;"",$D206&lt;&gt;"",$E206&lt;&gt;"",$N206&lt;&gt;""),1,"")</f>
        <v/>
      </c>
    </row>
    <row r="207">
      <c r="A207" s="13" t="inlineStr">
        <is>
          <t>P-0203</t>
        </is>
      </c>
      <c r="B207" s="14">
        <f>IF(AND($U207="",$C207=""),"",IFERROR(INDEX(EvID,MATCH(INDEX(FormData,$W207,f_Event),EvID,0)),IFERROR(INDEX(EvID,MATCH(INDEX(FormData,$W207,f_Event),EvName,0)),IFERROR(INDEX(EvID,MATCH(INT($C207),EvDate,0)),""))))</f>
        <v/>
      </c>
      <c r="C207" s="15">
        <f>IF($W207="","",INDEX(FormData,$W207,f_Time))</f>
        <v/>
      </c>
      <c r="D207" s="14">
        <f>IF($W207="","",IFERROR(UPPER(LEFT(TRIM(INDEX(FormData,$W207,f_Name)),1)&amp;IFERROR(MID(TRIM(INDEX(FormData,$W207,f_Name)),FIND("^",SUBSTITUTE(TRIM(INDEX(FormData,$W207,f_Name))," ","^",LEN(TRIM(INDEX(FormData,$W207,f_Name)))-LEN(SUBSTITUTE(TRIM(INDEX(FormData,$W207,f_Name))," ",""))))+1,1),"")),""))</f>
        <v/>
      </c>
      <c r="E207" s="16">
        <f>IF($W207="","",IFERROR(IF(SUMPRODUCT(MAX((WhoKW&lt;&gt;"")*ISNUMBER(SEARCH(WhoKW,INDEX(FormData,$W207,f_Who)&amp;""))*(ROW(WhoKW)-MIN(ROW(WhoKW))+1)))=0,"",INDEX(WhoVal,SUMPRODUCT(MAX((WhoKW&lt;&gt;"")*ISNUMBER(SEARCH(WhoKW,INDEX(FormData,$W207,f_Who)&amp;""))*(ROW(WhoKW)-MIN(ROW(WhoKW))+1))))),""))</f>
        <v/>
      </c>
      <c r="F207" s="17">
        <f>IF($W207="","",TRIM(IFERROR(INDEX(FormData,$W207,f_Org1)&amp;"","")&amp;" "&amp;IFERROR(INDEX(FormData,$W207,f_Org2)&amp;"","")))</f>
        <v/>
      </c>
      <c r="G207" s="16">
        <f>IF($W207="","",IFERROR(INDEX(FormData,$W207,f_Region)&amp;"",""))</f>
        <v/>
      </c>
      <c r="H207" s="16">
        <f>IF($W207="","",IFERROR(IF(SUMPRODUCT(MAX((SitKW&lt;&gt;"")*ISNUMBER(SEARCH(SitKW,INDEX(FormData,$W207,f_Sit)&amp;""))*(ROW(SitKW)-MIN(ROW(SitKW))+1)))=0,"",INDEX(SitVal,SUMPRODUCT(MAX((SitKW&lt;&gt;"")*ISNUMBER(SEARCH(SitKW,INDEX(FormData,$W207,f_Sit)&amp;""))*(ROW(SitKW)-MIN(ROW(SitKW))+1))))),""))</f>
        <v/>
      </c>
      <c r="I207" s="14">
        <f>IF($W207="","",IFERROR(INDEX(FormData,$W207,f_Appr)&amp;"",""))</f>
        <v/>
      </c>
      <c r="J207" s="16">
        <f>IF($W207="","",IFERROR(INDEX(FormData,$W207,f_Trade)&amp;"",""))</f>
        <v/>
      </c>
      <c r="K207" s="16" t="n"/>
      <c r="L207" s="17" t="n"/>
      <c r="M207" s="16" t="n"/>
      <c r="N207" s="17" t="n"/>
      <c r="O207" s="14" t="n"/>
      <c r="P207" s="14" t="n"/>
      <c r="Q207" s="18" t="n"/>
      <c r="R207" s="18" t="n"/>
      <c r="S207" s="13">
        <f>IF($P207&lt;&gt;"✓","",IF($R207&lt;&gt;"","Done",IF($Q207="","Open — no date",IF($Q207&lt;TODAY(),"Overdue",IF($Q207-TODAY()&lt;=DueSoon,"Due soon","Scheduled")))))</f>
        <v/>
      </c>
      <c r="T207" s="14">
        <f>IF($W207="","",IFERROR(IF(INDEX(FormData,$W207,f_Consent)&amp;""="","",IF(ISNUMBER(SEARCH("yes",INDEX(FormData,$W207,f_Consent))),"Yes","No")),""))</f>
        <v/>
      </c>
      <c r="U207" s="14" t="n"/>
      <c r="V207" s="13">
        <f>IF($U207="","",IF($W207="","not found","✓"))</f>
        <v/>
      </c>
      <c r="W207">
        <f>IF($U207="","",IFERROR(MATCH($U207,INDEX(FormData,0,f_Id),0),IFERROR(MATCH(--$U207,INDEX(FormData,0,f_Id),0),IFERROR(MATCH($U207&amp;"",INDEX(FormData,0,f_Id),0),""))))</f>
        <v/>
      </c>
      <c r="X207">
        <f>IF(AND($B207&lt;&gt;"",$B207='Event Report'!$C$3),ROW(),"")</f>
        <v/>
      </c>
      <c r="Y207">
        <f>IF(AND($P207="✓",$R207=""),IF($Q207="",90000,$Q207)+ROW()/100000,"")</f>
        <v/>
      </c>
      <c r="Z207">
        <f>IF(OR($U207&lt;&gt;"",$D207&lt;&gt;"",$E207&lt;&gt;"",$N207&lt;&gt;""),1,"")</f>
        <v/>
      </c>
    </row>
    <row r="208">
      <c r="A208" s="13" t="inlineStr">
        <is>
          <t>P-0204</t>
        </is>
      </c>
      <c r="B208" s="14">
        <f>IF(AND($U208="",$C208=""),"",IFERROR(INDEX(EvID,MATCH(INDEX(FormData,$W208,f_Event),EvID,0)),IFERROR(INDEX(EvID,MATCH(INDEX(FormData,$W208,f_Event),EvName,0)),IFERROR(INDEX(EvID,MATCH(INT($C208),EvDate,0)),""))))</f>
        <v/>
      </c>
      <c r="C208" s="15">
        <f>IF($W208="","",INDEX(FormData,$W208,f_Time))</f>
        <v/>
      </c>
      <c r="D208" s="14">
        <f>IF($W208="","",IFERROR(UPPER(LEFT(TRIM(INDEX(FormData,$W208,f_Name)),1)&amp;IFERROR(MID(TRIM(INDEX(FormData,$W208,f_Name)),FIND("^",SUBSTITUTE(TRIM(INDEX(FormData,$W208,f_Name))," ","^",LEN(TRIM(INDEX(FormData,$W208,f_Name)))-LEN(SUBSTITUTE(TRIM(INDEX(FormData,$W208,f_Name))," ",""))))+1,1),"")),""))</f>
        <v/>
      </c>
      <c r="E208" s="16">
        <f>IF($W208="","",IFERROR(IF(SUMPRODUCT(MAX((WhoKW&lt;&gt;"")*ISNUMBER(SEARCH(WhoKW,INDEX(FormData,$W208,f_Who)&amp;""))*(ROW(WhoKW)-MIN(ROW(WhoKW))+1)))=0,"",INDEX(WhoVal,SUMPRODUCT(MAX((WhoKW&lt;&gt;"")*ISNUMBER(SEARCH(WhoKW,INDEX(FormData,$W208,f_Who)&amp;""))*(ROW(WhoKW)-MIN(ROW(WhoKW))+1))))),""))</f>
        <v/>
      </c>
      <c r="F208" s="17">
        <f>IF($W208="","",TRIM(IFERROR(INDEX(FormData,$W208,f_Org1)&amp;"","")&amp;" "&amp;IFERROR(INDEX(FormData,$W208,f_Org2)&amp;"","")))</f>
        <v/>
      </c>
      <c r="G208" s="16">
        <f>IF($W208="","",IFERROR(INDEX(FormData,$W208,f_Region)&amp;"",""))</f>
        <v/>
      </c>
      <c r="H208" s="16">
        <f>IF($W208="","",IFERROR(IF(SUMPRODUCT(MAX((SitKW&lt;&gt;"")*ISNUMBER(SEARCH(SitKW,INDEX(FormData,$W208,f_Sit)&amp;""))*(ROW(SitKW)-MIN(ROW(SitKW))+1)))=0,"",INDEX(SitVal,SUMPRODUCT(MAX((SitKW&lt;&gt;"")*ISNUMBER(SEARCH(SitKW,INDEX(FormData,$W208,f_Sit)&amp;""))*(ROW(SitKW)-MIN(ROW(SitKW))+1))))),""))</f>
        <v/>
      </c>
      <c r="I208" s="14">
        <f>IF($W208="","",IFERROR(INDEX(FormData,$W208,f_Appr)&amp;"",""))</f>
        <v/>
      </c>
      <c r="J208" s="16">
        <f>IF($W208="","",IFERROR(INDEX(FormData,$W208,f_Trade)&amp;"",""))</f>
        <v/>
      </c>
      <c r="K208" s="16" t="n"/>
      <c r="L208" s="17" t="n"/>
      <c r="M208" s="16" t="n"/>
      <c r="N208" s="17" t="n"/>
      <c r="O208" s="14" t="n"/>
      <c r="P208" s="14" t="n"/>
      <c r="Q208" s="18" t="n"/>
      <c r="R208" s="18" t="n"/>
      <c r="S208" s="13">
        <f>IF($P208&lt;&gt;"✓","",IF($R208&lt;&gt;"","Done",IF($Q208="","Open — no date",IF($Q208&lt;TODAY(),"Overdue",IF($Q208-TODAY()&lt;=DueSoon,"Due soon","Scheduled")))))</f>
        <v/>
      </c>
      <c r="T208" s="14">
        <f>IF($W208="","",IFERROR(IF(INDEX(FormData,$W208,f_Consent)&amp;""="","",IF(ISNUMBER(SEARCH("yes",INDEX(FormData,$W208,f_Consent))),"Yes","No")),""))</f>
        <v/>
      </c>
      <c r="U208" s="14" t="n"/>
      <c r="V208" s="13">
        <f>IF($U208="","",IF($W208="","not found","✓"))</f>
        <v/>
      </c>
      <c r="W208">
        <f>IF($U208="","",IFERROR(MATCH($U208,INDEX(FormData,0,f_Id),0),IFERROR(MATCH(--$U208,INDEX(FormData,0,f_Id),0),IFERROR(MATCH($U208&amp;"",INDEX(FormData,0,f_Id),0),""))))</f>
        <v/>
      </c>
      <c r="X208">
        <f>IF(AND($B208&lt;&gt;"",$B208='Event Report'!$C$3),ROW(),"")</f>
        <v/>
      </c>
      <c r="Y208">
        <f>IF(AND($P208="✓",$R208=""),IF($Q208="",90000,$Q208)+ROW()/100000,"")</f>
        <v/>
      </c>
      <c r="Z208">
        <f>IF(OR($U208&lt;&gt;"",$D208&lt;&gt;"",$E208&lt;&gt;"",$N208&lt;&gt;""),1,"")</f>
        <v/>
      </c>
    </row>
    <row r="209">
      <c r="A209" s="13" t="inlineStr">
        <is>
          <t>P-0205</t>
        </is>
      </c>
      <c r="B209" s="14">
        <f>IF(AND($U209="",$C209=""),"",IFERROR(INDEX(EvID,MATCH(INDEX(FormData,$W209,f_Event),EvID,0)),IFERROR(INDEX(EvID,MATCH(INDEX(FormData,$W209,f_Event),EvName,0)),IFERROR(INDEX(EvID,MATCH(INT($C209),EvDate,0)),""))))</f>
        <v/>
      </c>
      <c r="C209" s="15">
        <f>IF($W209="","",INDEX(FormData,$W209,f_Time))</f>
        <v/>
      </c>
      <c r="D209" s="14">
        <f>IF($W209="","",IFERROR(UPPER(LEFT(TRIM(INDEX(FormData,$W209,f_Name)),1)&amp;IFERROR(MID(TRIM(INDEX(FormData,$W209,f_Name)),FIND("^",SUBSTITUTE(TRIM(INDEX(FormData,$W209,f_Name))," ","^",LEN(TRIM(INDEX(FormData,$W209,f_Name)))-LEN(SUBSTITUTE(TRIM(INDEX(FormData,$W209,f_Name))," ",""))))+1,1),"")),""))</f>
        <v/>
      </c>
      <c r="E209" s="16">
        <f>IF($W209="","",IFERROR(IF(SUMPRODUCT(MAX((WhoKW&lt;&gt;"")*ISNUMBER(SEARCH(WhoKW,INDEX(FormData,$W209,f_Who)&amp;""))*(ROW(WhoKW)-MIN(ROW(WhoKW))+1)))=0,"",INDEX(WhoVal,SUMPRODUCT(MAX((WhoKW&lt;&gt;"")*ISNUMBER(SEARCH(WhoKW,INDEX(FormData,$W209,f_Who)&amp;""))*(ROW(WhoKW)-MIN(ROW(WhoKW))+1))))),""))</f>
        <v/>
      </c>
      <c r="F209" s="17">
        <f>IF($W209="","",TRIM(IFERROR(INDEX(FormData,$W209,f_Org1)&amp;"","")&amp;" "&amp;IFERROR(INDEX(FormData,$W209,f_Org2)&amp;"","")))</f>
        <v/>
      </c>
      <c r="G209" s="16">
        <f>IF($W209="","",IFERROR(INDEX(FormData,$W209,f_Region)&amp;"",""))</f>
        <v/>
      </c>
      <c r="H209" s="16">
        <f>IF($W209="","",IFERROR(IF(SUMPRODUCT(MAX((SitKW&lt;&gt;"")*ISNUMBER(SEARCH(SitKW,INDEX(FormData,$W209,f_Sit)&amp;""))*(ROW(SitKW)-MIN(ROW(SitKW))+1)))=0,"",INDEX(SitVal,SUMPRODUCT(MAX((SitKW&lt;&gt;"")*ISNUMBER(SEARCH(SitKW,INDEX(FormData,$W209,f_Sit)&amp;""))*(ROW(SitKW)-MIN(ROW(SitKW))+1))))),""))</f>
        <v/>
      </c>
      <c r="I209" s="14">
        <f>IF($W209="","",IFERROR(INDEX(FormData,$W209,f_Appr)&amp;"",""))</f>
        <v/>
      </c>
      <c r="J209" s="16">
        <f>IF($W209="","",IFERROR(INDEX(FormData,$W209,f_Trade)&amp;"",""))</f>
        <v/>
      </c>
      <c r="K209" s="16" t="n"/>
      <c r="L209" s="17" t="n"/>
      <c r="M209" s="16" t="n"/>
      <c r="N209" s="17" t="n"/>
      <c r="O209" s="14" t="n"/>
      <c r="P209" s="14" t="n"/>
      <c r="Q209" s="18" t="n"/>
      <c r="R209" s="18" t="n"/>
      <c r="S209" s="13">
        <f>IF($P209&lt;&gt;"✓","",IF($R209&lt;&gt;"","Done",IF($Q209="","Open — no date",IF($Q209&lt;TODAY(),"Overdue",IF($Q209-TODAY()&lt;=DueSoon,"Due soon","Scheduled")))))</f>
        <v/>
      </c>
      <c r="T209" s="14">
        <f>IF($W209="","",IFERROR(IF(INDEX(FormData,$W209,f_Consent)&amp;""="","",IF(ISNUMBER(SEARCH("yes",INDEX(FormData,$W209,f_Consent))),"Yes","No")),""))</f>
        <v/>
      </c>
      <c r="U209" s="14" t="n"/>
      <c r="V209" s="13">
        <f>IF($U209="","",IF($W209="","not found","✓"))</f>
        <v/>
      </c>
      <c r="W209">
        <f>IF($U209="","",IFERROR(MATCH($U209,INDEX(FormData,0,f_Id),0),IFERROR(MATCH(--$U209,INDEX(FormData,0,f_Id),0),IFERROR(MATCH($U209&amp;"",INDEX(FormData,0,f_Id),0),""))))</f>
        <v/>
      </c>
      <c r="X209">
        <f>IF(AND($B209&lt;&gt;"",$B209='Event Report'!$C$3),ROW(),"")</f>
        <v/>
      </c>
      <c r="Y209">
        <f>IF(AND($P209="✓",$R209=""),IF($Q209="",90000,$Q209)+ROW()/100000,"")</f>
        <v/>
      </c>
      <c r="Z209">
        <f>IF(OR($U209&lt;&gt;"",$D209&lt;&gt;"",$E209&lt;&gt;"",$N209&lt;&gt;""),1,"")</f>
        <v/>
      </c>
    </row>
    <row r="210">
      <c r="A210" s="13" t="inlineStr">
        <is>
          <t>P-0206</t>
        </is>
      </c>
      <c r="B210" s="14">
        <f>IF(AND($U210="",$C210=""),"",IFERROR(INDEX(EvID,MATCH(INDEX(FormData,$W210,f_Event),EvID,0)),IFERROR(INDEX(EvID,MATCH(INDEX(FormData,$W210,f_Event),EvName,0)),IFERROR(INDEX(EvID,MATCH(INT($C210),EvDate,0)),""))))</f>
        <v/>
      </c>
      <c r="C210" s="15">
        <f>IF($W210="","",INDEX(FormData,$W210,f_Time))</f>
        <v/>
      </c>
      <c r="D210" s="14">
        <f>IF($W210="","",IFERROR(UPPER(LEFT(TRIM(INDEX(FormData,$W210,f_Name)),1)&amp;IFERROR(MID(TRIM(INDEX(FormData,$W210,f_Name)),FIND("^",SUBSTITUTE(TRIM(INDEX(FormData,$W210,f_Name))," ","^",LEN(TRIM(INDEX(FormData,$W210,f_Name)))-LEN(SUBSTITUTE(TRIM(INDEX(FormData,$W210,f_Name))," ",""))))+1,1),"")),""))</f>
        <v/>
      </c>
      <c r="E210" s="16">
        <f>IF($W210="","",IFERROR(IF(SUMPRODUCT(MAX((WhoKW&lt;&gt;"")*ISNUMBER(SEARCH(WhoKW,INDEX(FormData,$W210,f_Who)&amp;""))*(ROW(WhoKW)-MIN(ROW(WhoKW))+1)))=0,"",INDEX(WhoVal,SUMPRODUCT(MAX((WhoKW&lt;&gt;"")*ISNUMBER(SEARCH(WhoKW,INDEX(FormData,$W210,f_Who)&amp;""))*(ROW(WhoKW)-MIN(ROW(WhoKW))+1))))),""))</f>
        <v/>
      </c>
      <c r="F210" s="17">
        <f>IF($W210="","",TRIM(IFERROR(INDEX(FormData,$W210,f_Org1)&amp;"","")&amp;" "&amp;IFERROR(INDEX(FormData,$W210,f_Org2)&amp;"","")))</f>
        <v/>
      </c>
      <c r="G210" s="16">
        <f>IF($W210="","",IFERROR(INDEX(FormData,$W210,f_Region)&amp;"",""))</f>
        <v/>
      </c>
      <c r="H210" s="16">
        <f>IF($W210="","",IFERROR(IF(SUMPRODUCT(MAX((SitKW&lt;&gt;"")*ISNUMBER(SEARCH(SitKW,INDEX(FormData,$W210,f_Sit)&amp;""))*(ROW(SitKW)-MIN(ROW(SitKW))+1)))=0,"",INDEX(SitVal,SUMPRODUCT(MAX((SitKW&lt;&gt;"")*ISNUMBER(SEARCH(SitKW,INDEX(FormData,$W210,f_Sit)&amp;""))*(ROW(SitKW)-MIN(ROW(SitKW))+1))))),""))</f>
        <v/>
      </c>
      <c r="I210" s="14">
        <f>IF($W210="","",IFERROR(INDEX(FormData,$W210,f_Appr)&amp;"",""))</f>
        <v/>
      </c>
      <c r="J210" s="16">
        <f>IF($W210="","",IFERROR(INDEX(FormData,$W210,f_Trade)&amp;"",""))</f>
        <v/>
      </c>
      <c r="K210" s="16" t="n"/>
      <c r="L210" s="17" t="n"/>
      <c r="M210" s="16" t="n"/>
      <c r="N210" s="17" t="n"/>
      <c r="O210" s="14" t="n"/>
      <c r="P210" s="14" t="n"/>
      <c r="Q210" s="18" t="n"/>
      <c r="R210" s="18" t="n"/>
      <c r="S210" s="13">
        <f>IF($P210&lt;&gt;"✓","",IF($R210&lt;&gt;"","Done",IF($Q210="","Open — no date",IF($Q210&lt;TODAY(),"Overdue",IF($Q210-TODAY()&lt;=DueSoon,"Due soon","Scheduled")))))</f>
        <v/>
      </c>
      <c r="T210" s="14">
        <f>IF($W210="","",IFERROR(IF(INDEX(FormData,$W210,f_Consent)&amp;""="","",IF(ISNUMBER(SEARCH("yes",INDEX(FormData,$W210,f_Consent))),"Yes","No")),""))</f>
        <v/>
      </c>
      <c r="U210" s="14" t="n"/>
      <c r="V210" s="13">
        <f>IF($U210="","",IF($W210="","not found","✓"))</f>
        <v/>
      </c>
      <c r="W210">
        <f>IF($U210="","",IFERROR(MATCH($U210,INDEX(FormData,0,f_Id),0),IFERROR(MATCH(--$U210,INDEX(FormData,0,f_Id),0),IFERROR(MATCH($U210&amp;"",INDEX(FormData,0,f_Id),0),""))))</f>
        <v/>
      </c>
      <c r="X210">
        <f>IF(AND($B210&lt;&gt;"",$B210='Event Report'!$C$3),ROW(),"")</f>
        <v/>
      </c>
      <c r="Y210">
        <f>IF(AND($P210="✓",$R210=""),IF($Q210="",90000,$Q210)+ROW()/100000,"")</f>
        <v/>
      </c>
      <c r="Z210">
        <f>IF(OR($U210&lt;&gt;"",$D210&lt;&gt;"",$E210&lt;&gt;"",$N210&lt;&gt;""),1,"")</f>
        <v/>
      </c>
    </row>
    <row r="211">
      <c r="A211" s="13" t="inlineStr">
        <is>
          <t>P-0207</t>
        </is>
      </c>
      <c r="B211" s="14">
        <f>IF(AND($U211="",$C211=""),"",IFERROR(INDEX(EvID,MATCH(INDEX(FormData,$W211,f_Event),EvID,0)),IFERROR(INDEX(EvID,MATCH(INDEX(FormData,$W211,f_Event),EvName,0)),IFERROR(INDEX(EvID,MATCH(INT($C211),EvDate,0)),""))))</f>
        <v/>
      </c>
      <c r="C211" s="15">
        <f>IF($W211="","",INDEX(FormData,$W211,f_Time))</f>
        <v/>
      </c>
      <c r="D211" s="14">
        <f>IF($W211="","",IFERROR(UPPER(LEFT(TRIM(INDEX(FormData,$W211,f_Name)),1)&amp;IFERROR(MID(TRIM(INDEX(FormData,$W211,f_Name)),FIND("^",SUBSTITUTE(TRIM(INDEX(FormData,$W211,f_Name))," ","^",LEN(TRIM(INDEX(FormData,$W211,f_Name)))-LEN(SUBSTITUTE(TRIM(INDEX(FormData,$W211,f_Name))," ",""))))+1,1),"")),""))</f>
        <v/>
      </c>
      <c r="E211" s="16">
        <f>IF($W211="","",IFERROR(IF(SUMPRODUCT(MAX((WhoKW&lt;&gt;"")*ISNUMBER(SEARCH(WhoKW,INDEX(FormData,$W211,f_Who)&amp;""))*(ROW(WhoKW)-MIN(ROW(WhoKW))+1)))=0,"",INDEX(WhoVal,SUMPRODUCT(MAX((WhoKW&lt;&gt;"")*ISNUMBER(SEARCH(WhoKW,INDEX(FormData,$W211,f_Who)&amp;""))*(ROW(WhoKW)-MIN(ROW(WhoKW))+1))))),""))</f>
        <v/>
      </c>
      <c r="F211" s="17">
        <f>IF($W211="","",TRIM(IFERROR(INDEX(FormData,$W211,f_Org1)&amp;"","")&amp;" "&amp;IFERROR(INDEX(FormData,$W211,f_Org2)&amp;"","")))</f>
        <v/>
      </c>
      <c r="G211" s="16">
        <f>IF($W211="","",IFERROR(INDEX(FormData,$W211,f_Region)&amp;"",""))</f>
        <v/>
      </c>
      <c r="H211" s="16">
        <f>IF($W211="","",IFERROR(IF(SUMPRODUCT(MAX((SitKW&lt;&gt;"")*ISNUMBER(SEARCH(SitKW,INDEX(FormData,$W211,f_Sit)&amp;""))*(ROW(SitKW)-MIN(ROW(SitKW))+1)))=0,"",INDEX(SitVal,SUMPRODUCT(MAX((SitKW&lt;&gt;"")*ISNUMBER(SEARCH(SitKW,INDEX(FormData,$W211,f_Sit)&amp;""))*(ROW(SitKW)-MIN(ROW(SitKW))+1))))),""))</f>
        <v/>
      </c>
      <c r="I211" s="14">
        <f>IF($W211="","",IFERROR(INDEX(FormData,$W211,f_Appr)&amp;"",""))</f>
        <v/>
      </c>
      <c r="J211" s="16">
        <f>IF($W211="","",IFERROR(INDEX(FormData,$W211,f_Trade)&amp;"",""))</f>
        <v/>
      </c>
      <c r="K211" s="16" t="n"/>
      <c r="L211" s="17" t="n"/>
      <c r="M211" s="16" t="n"/>
      <c r="N211" s="17" t="n"/>
      <c r="O211" s="14" t="n"/>
      <c r="P211" s="14" t="n"/>
      <c r="Q211" s="18" t="n"/>
      <c r="R211" s="18" t="n"/>
      <c r="S211" s="13">
        <f>IF($P211&lt;&gt;"✓","",IF($R211&lt;&gt;"","Done",IF($Q211="","Open — no date",IF($Q211&lt;TODAY(),"Overdue",IF($Q211-TODAY()&lt;=DueSoon,"Due soon","Scheduled")))))</f>
        <v/>
      </c>
      <c r="T211" s="14">
        <f>IF($W211="","",IFERROR(IF(INDEX(FormData,$W211,f_Consent)&amp;""="","",IF(ISNUMBER(SEARCH("yes",INDEX(FormData,$W211,f_Consent))),"Yes","No")),""))</f>
        <v/>
      </c>
      <c r="U211" s="14" t="n"/>
      <c r="V211" s="13">
        <f>IF($U211="","",IF($W211="","not found","✓"))</f>
        <v/>
      </c>
      <c r="W211">
        <f>IF($U211="","",IFERROR(MATCH($U211,INDEX(FormData,0,f_Id),0),IFERROR(MATCH(--$U211,INDEX(FormData,0,f_Id),0),IFERROR(MATCH($U211&amp;"",INDEX(FormData,0,f_Id),0),""))))</f>
        <v/>
      </c>
      <c r="X211">
        <f>IF(AND($B211&lt;&gt;"",$B211='Event Report'!$C$3),ROW(),"")</f>
        <v/>
      </c>
      <c r="Y211">
        <f>IF(AND($P211="✓",$R211=""),IF($Q211="",90000,$Q211)+ROW()/100000,"")</f>
        <v/>
      </c>
      <c r="Z211">
        <f>IF(OR($U211&lt;&gt;"",$D211&lt;&gt;"",$E211&lt;&gt;"",$N211&lt;&gt;""),1,"")</f>
        <v/>
      </c>
    </row>
    <row r="212">
      <c r="A212" s="13" t="inlineStr">
        <is>
          <t>P-0208</t>
        </is>
      </c>
      <c r="B212" s="14">
        <f>IF(AND($U212="",$C212=""),"",IFERROR(INDEX(EvID,MATCH(INDEX(FormData,$W212,f_Event),EvID,0)),IFERROR(INDEX(EvID,MATCH(INDEX(FormData,$W212,f_Event),EvName,0)),IFERROR(INDEX(EvID,MATCH(INT($C212),EvDate,0)),""))))</f>
        <v/>
      </c>
      <c r="C212" s="15">
        <f>IF($W212="","",INDEX(FormData,$W212,f_Time))</f>
        <v/>
      </c>
      <c r="D212" s="14">
        <f>IF($W212="","",IFERROR(UPPER(LEFT(TRIM(INDEX(FormData,$W212,f_Name)),1)&amp;IFERROR(MID(TRIM(INDEX(FormData,$W212,f_Name)),FIND("^",SUBSTITUTE(TRIM(INDEX(FormData,$W212,f_Name))," ","^",LEN(TRIM(INDEX(FormData,$W212,f_Name)))-LEN(SUBSTITUTE(TRIM(INDEX(FormData,$W212,f_Name))," ",""))))+1,1),"")),""))</f>
        <v/>
      </c>
      <c r="E212" s="16">
        <f>IF($W212="","",IFERROR(IF(SUMPRODUCT(MAX((WhoKW&lt;&gt;"")*ISNUMBER(SEARCH(WhoKW,INDEX(FormData,$W212,f_Who)&amp;""))*(ROW(WhoKW)-MIN(ROW(WhoKW))+1)))=0,"",INDEX(WhoVal,SUMPRODUCT(MAX((WhoKW&lt;&gt;"")*ISNUMBER(SEARCH(WhoKW,INDEX(FormData,$W212,f_Who)&amp;""))*(ROW(WhoKW)-MIN(ROW(WhoKW))+1))))),""))</f>
        <v/>
      </c>
      <c r="F212" s="17">
        <f>IF($W212="","",TRIM(IFERROR(INDEX(FormData,$W212,f_Org1)&amp;"","")&amp;" "&amp;IFERROR(INDEX(FormData,$W212,f_Org2)&amp;"","")))</f>
        <v/>
      </c>
      <c r="G212" s="16">
        <f>IF($W212="","",IFERROR(INDEX(FormData,$W212,f_Region)&amp;"",""))</f>
        <v/>
      </c>
      <c r="H212" s="16">
        <f>IF($W212="","",IFERROR(IF(SUMPRODUCT(MAX((SitKW&lt;&gt;"")*ISNUMBER(SEARCH(SitKW,INDEX(FormData,$W212,f_Sit)&amp;""))*(ROW(SitKW)-MIN(ROW(SitKW))+1)))=0,"",INDEX(SitVal,SUMPRODUCT(MAX((SitKW&lt;&gt;"")*ISNUMBER(SEARCH(SitKW,INDEX(FormData,$W212,f_Sit)&amp;""))*(ROW(SitKW)-MIN(ROW(SitKW))+1))))),""))</f>
        <v/>
      </c>
      <c r="I212" s="14">
        <f>IF($W212="","",IFERROR(INDEX(FormData,$W212,f_Appr)&amp;"",""))</f>
        <v/>
      </c>
      <c r="J212" s="16">
        <f>IF($W212="","",IFERROR(INDEX(FormData,$W212,f_Trade)&amp;"",""))</f>
        <v/>
      </c>
      <c r="K212" s="16" t="n"/>
      <c r="L212" s="17" t="n"/>
      <c r="M212" s="16" t="n"/>
      <c r="N212" s="17" t="n"/>
      <c r="O212" s="14" t="n"/>
      <c r="P212" s="14" t="n"/>
      <c r="Q212" s="18" t="n"/>
      <c r="R212" s="18" t="n"/>
      <c r="S212" s="13">
        <f>IF($P212&lt;&gt;"✓","",IF($R212&lt;&gt;"","Done",IF($Q212="","Open — no date",IF($Q212&lt;TODAY(),"Overdue",IF($Q212-TODAY()&lt;=DueSoon,"Due soon","Scheduled")))))</f>
        <v/>
      </c>
      <c r="T212" s="14">
        <f>IF($W212="","",IFERROR(IF(INDEX(FormData,$W212,f_Consent)&amp;""="","",IF(ISNUMBER(SEARCH("yes",INDEX(FormData,$W212,f_Consent))),"Yes","No")),""))</f>
        <v/>
      </c>
      <c r="U212" s="14" t="n"/>
      <c r="V212" s="13">
        <f>IF($U212="","",IF($W212="","not found","✓"))</f>
        <v/>
      </c>
      <c r="W212">
        <f>IF($U212="","",IFERROR(MATCH($U212,INDEX(FormData,0,f_Id),0),IFERROR(MATCH(--$U212,INDEX(FormData,0,f_Id),0),IFERROR(MATCH($U212&amp;"",INDEX(FormData,0,f_Id),0),""))))</f>
        <v/>
      </c>
      <c r="X212">
        <f>IF(AND($B212&lt;&gt;"",$B212='Event Report'!$C$3),ROW(),"")</f>
        <v/>
      </c>
      <c r="Y212">
        <f>IF(AND($P212="✓",$R212=""),IF($Q212="",90000,$Q212)+ROW()/100000,"")</f>
        <v/>
      </c>
      <c r="Z212">
        <f>IF(OR($U212&lt;&gt;"",$D212&lt;&gt;"",$E212&lt;&gt;"",$N212&lt;&gt;""),1,"")</f>
        <v/>
      </c>
    </row>
    <row r="213">
      <c r="A213" s="13" t="inlineStr">
        <is>
          <t>P-0209</t>
        </is>
      </c>
      <c r="B213" s="14">
        <f>IF(AND($U213="",$C213=""),"",IFERROR(INDEX(EvID,MATCH(INDEX(FormData,$W213,f_Event),EvID,0)),IFERROR(INDEX(EvID,MATCH(INDEX(FormData,$W213,f_Event),EvName,0)),IFERROR(INDEX(EvID,MATCH(INT($C213),EvDate,0)),""))))</f>
        <v/>
      </c>
      <c r="C213" s="15">
        <f>IF($W213="","",INDEX(FormData,$W213,f_Time))</f>
        <v/>
      </c>
      <c r="D213" s="14">
        <f>IF($W213="","",IFERROR(UPPER(LEFT(TRIM(INDEX(FormData,$W213,f_Name)),1)&amp;IFERROR(MID(TRIM(INDEX(FormData,$W213,f_Name)),FIND("^",SUBSTITUTE(TRIM(INDEX(FormData,$W213,f_Name))," ","^",LEN(TRIM(INDEX(FormData,$W213,f_Name)))-LEN(SUBSTITUTE(TRIM(INDEX(FormData,$W213,f_Name))," ",""))))+1,1),"")),""))</f>
        <v/>
      </c>
      <c r="E213" s="16">
        <f>IF($W213="","",IFERROR(IF(SUMPRODUCT(MAX((WhoKW&lt;&gt;"")*ISNUMBER(SEARCH(WhoKW,INDEX(FormData,$W213,f_Who)&amp;""))*(ROW(WhoKW)-MIN(ROW(WhoKW))+1)))=0,"",INDEX(WhoVal,SUMPRODUCT(MAX((WhoKW&lt;&gt;"")*ISNUMBER(SEARCH(WhoKW,INDEX(FormData,$W213,f_Who)&amp;""))*(ROW(WhoKW)-MIN(ROW(WhoKW))+1))))),""))</f>
        <v/>
      </c>
      <c r="F213" s="17">
        <f>IF($W213="","",TRIM(IFERROR(INDEX(FormData,$W213,f_Org1)&amp;"","")&amp;" "&amp;IFERROR(INDEX(FormData,$W213,f_Org2)&amp;"","")))</f>
        <v/>
      </c>
      <c r="G213" s="16">
        <f>IF($W213="","",IFERROR(INDEX(FormData,$W213,f_Region)&amp;"",""))</f>
        <v/>
      </c>
      <c r="H213" s="16">
        <f>IF($W213="","",IFERROR(IF(SUMPRODUCT(MAX((SitKW&lt;&gt;"")*ISNUMBER(SEARCH(SitKW,INDEX(FormData,$W213,f_Sit)&amp;""))*(ROW(SitKW)-MIN(ROW(SitKW))+1)))=0,"",INDEX(SitVal,SUMPRODUCT(MAX((SitKW&lt;&gt;"")*ISNUMBER(SEARCH(SitKW,INDEX(FormData,$W213,f_Sit)&amp;""))*(ROW(SitKW)-MIN(ROW(SitKW))+1))))),""))</f>
        <v/>
      </c>
      <c r="I213" s="14">
        <f>IF($W213="","",IFERROR(INDEX(FormData,$W213,f_Appr)&amp;"",""))</f>
        <v/>
      </c>
      <c r="J213" s="16">
        <f>IF($W213="","",IFERROR(INDEX(FormData,$W213,f_Trade)&amp;"",""))</f>
        <v/>
      </c>
      <c r="K213" s="16" t="n"/>
      <c r="L213" s="17" t="n"/>
      <c r="M213" s="16" t="n"/>
      <c r="N213" s="17" t="n"/>
      <c r="O213" s="14" t="n"/>
      <c r="P213" s="14" t="n"/>
      <c r="Q213" s="18" t="n"/>
      <c r="R213" s="18" t="n"/>
      <c r="S213" s="13">
        <f>IF($P213&lt;&gt;"✓","",IF($R213&lt;&gt;"","Done",IF($Q213="","Open — no date",IF($Q213&lt;TODAY(),"Overdue",IF($Q213-TODAY()&lt;=DueSoon,"Due soon","Scheduled")))))</f>
        <v/>
      </c>
      <c r="T213" s="14">
        <f>IF($W213="","",IFERROR(IF(INDEX(FormData,$W213,f_Consent)&amp;""="","",IF(ISNUMBER(SEARCH("yes",INDEX(FormData,$W213,f_Consent))),"Yes","No")),""))</f>
        <v/>
      </c>
      <c r="U213" s="14" t="n"/>
      <c r="V213" s="13">
        <f>IF($U213="","",IF($W213="","not found","✓"))</f>
        <v/>
      </c>
      <c r="W213">
        <f>IF($U213="","",IFERROR(MATCH($U213,INDEX(FormData,0,f_Id),0),IFERROR(MATCH(--$U213,INDEX(FormData,0,f_Id),0),IFERROR(MATCH($U213&amp;"",INDEX(FormData,0,f_Id),0),""))))</f>
        <v/>
      </c>
      <c r="X213">
        <f>IF(AND($B213&lt;&gt;"",$B213='Event Report'!$C$3),ROW(),"")</f>
        <v/>
      </c>
      <c r="Y213">
        <f>IF(AND($P213="✓",$R213=""),IF($Q213="",90000,$Q213)+ROW()/100000,"")</f>
        <v/>
      </c>
      <c r="Z213">
        <f>IF(OR($U213&lt;&gt;"",$D213&lt;&gt;"",$E213&lt;&gt;"",$N213&lt;&gt;""),1,"")</f>
        <v/>
      </c>
    </row>
    <row r="214">
      <c r="A214" s="13" t="inlineStr">
        <is>
          <t>P-0210</t>
        </is>
      </c>
      <c r="B214" s="14">
        <f>IF(AND($U214="",$C214=""),"",IFERROR(INDEX(EvID,MATCH(INDEX(FormData,$W214,f_Event),EvID,0)),IFERROR(INDEX(EvID,MATCH(INDEX(FormData,$W214,f_Event),EvName,0)),IFERROR(INDEX(EvID,MATCH(INT($C214),EvDate,0)),""))))</f>
        <v/>
      </c>
      <c r="C214" s="15">
        <f>IF($W214="","",INDEX(FormData,$W214,f_Time))</f>
        <v/>
      </c>
      <c r="D214" s="14">
        <f>IF($W214="","",IFERROR(UPPER(LEFT(TRIM(INDEX(FormData,$W214,f_Name)),1)&amp;IFERROR(MID(TRIM(INDEX(FormData,$W214,f_Name)),FIND("^",SUBSTITUTE(TRIM(INDEX(FormData,$W214,f_Name))," ","^",LEN(TRIM(INDEX(FormData,$W214,f_Name)))-LEN(SUBSTITUTE(TRIM(INDEX(FormData,$W214,f_Name))," ",""))))+1,1),"")),""))</f>
        <v/>
      </c>
      <c r="E214" s="16">
        <f>IF($W214="","",IFERROR(IF(SUMPRODUCT(MAX((WhoKW&lt;&gt;"")*ISNUMBER(SEARCH(WhoKW,INDEX(FormData,$W214,f_Who)&amp;""))*(ROW(WhoKW)-MIN(ROW(WhoKW))+1)))=0,"",INDEX(WhoVal,SUMPRODUCT(MAX((WhoKW&lt;&gt;"")*ISNUMBER(SEARCH(WhoKW,INDEX(FormData,$W214,f_Who)&amp;""))*(ROW(WhoKW)-MIN(ROW(WhoKW))+1))))),""))</f>
        <v/>
      </c>
      <c r="F214" s="17">
        <f>IF($W214="","",TRIM(IFERROR(INDEX(FormData,$W214,f_Org1)&amp;"","")&amp;" "&amp;IFERROR(INDEX(FormData,$W214,f_Org2)&amp;"","")))</f>
        <v/>
      </c>
      <c r="G214" s="16">
        <f>IF($W214="","",IFERROR(INDEX(FormData,$W214,f_Region)&amp;"",""))</f>
        <v/>
      </c>
      <c r="H214" s="16">
        <f>IF($W214="","",IFERROR(IF(SUMPRODUCT(MAX((SitKW&lt;&gt;"")*ISNUMBER(SEARCH(SitKW,INDEX(FormData,$W214,f_Sit)&amp;""))*(ROW(SitKW)-MIN(ROW(SitKW))+1)))=0,"",INDEX(SitVal,SUMPRODUCT(MAX((SitKW&lt;&gt;"")*ISNUMBER(SEARCH(SitKW,INDEX(FormData,$W214,f_Sit)&amp;""))*(ROW(SitKW)-MIN(ROW(SitKW))+1))))),""))</f>
        <v/>
      </c>
      <c r="I214" s="14">
        <f>IF($W214="","",IFERROR(INDEX(FormData,$W214,f_Appr)&amp;"",""))</f>
        <v/>
      </c>
      <c r="J214" s="16">
        <f>IF($W214="","",IFERROR(INDEX(FormData,$W214,f_Trade)&amp;"",""))</f>
        <v/>
      </c>
      <c r="K214" s="16" t="n"/>
      <c r="L214" s="17" t="n"/>
      <c r="M214" s="16" t="n"/>
      <c r="N214" s="17" t="n"/>
      <c r="O214" s="14" t="n"/>
      <c r="P214" s="14" t="n"/>
      <c r="Q214" s="18" t="n"/>
      <c r="R214" s="18" t="n"/>
      <c r="S214" s="13">
        <f>IF($P214&lt;&gt;"✓","",IF($R214&lt;&gt;"","Done",IF($Q214="","Open — no date",IF($Q214&lt;TODAY(),"Overdue",IF($Q214-TODAY()&lt;=DueSoon,"Due soon","Scheduled")))))</f>
        <v/>
      </c>
      <c r="T214" s="14">
        <f>IF($W214="","",IFERROR(IF(INDEX(FormData,$W214,f_Consent)&amp;""="","",IF(ISNUMBER(SEARCH("yes",INDEX(FormData,$W214,f_Consent))),"Yes","No")),""))</f>
        <v/>
      </c>
      <c r="U214" s="14" t="n"/>
      <c r="V214" s="13">
        <f>IF($U214="","",IF($W214="","not found","✓"))</f>
        <v/>
      </c>
      <c r="W214">
        <f>IF($U214="","",IFERROR(MATCH($U214,INDEX(FormData,0,f_Id),0),IFERROR(MATCH(--$U214,INDEX(FormData,0,f_Id),0),IFERROR(MATCH($U214&amp;"",INDEX(FormData,0,f_Id),0),""))))</f>
        <v/>
      </c>
      <c r="X214">
        <f>IF(AND($B214&lt;&gt;"",$B214='Event Report'!$C$3),ROW(),"")</f>
        <v/>
      </c>
      <c r="Y214">
        <f>IF(AND($P214="✓",$R214=""),IF($Q214="",90000,$Q214)+ROW()/100000,"")</f>
        <v/>
      </c>
      <c r="Z214">
        <f>IF(OR($U214&lt;&gt;"",$D214&lt;&gt;"",$E214&lt;&gt;"",$N214&lt;&gt;""),1,"")</f>
        <v/>
      </c>
    </row>
    <row r="215">
      <c r="A215" s="13" t="inlineStr">
        <is>
          <t>P-0211</t>
        </is>
      </c>
      <c r="B215" s="14">
        <f>IF(AND($U215="",$C215=""),"",IFERROR(INDEX(EvID,MATCH(INDEX(FormData,$W215,f_Event),EvID,0)),IFERROR(INDEX(EvID,MATCH(INDEX(FormData,$W215,f_Event),EvName,0)),IFERROR(INDEX(EvID,MATCH(INT($C215),EvDate,0)),""))))</f>
        <v/>
      </c>
      <c r="C215" s="15">
        <f>IF($W215="","",INDEX(FormData,$W215,f_Time))</f>
        <v/>
      </c>
      <c r="D215" s="14">
        <f>IF($W215="","",IFERROR(UPPER(LEFT(TRIM(INDEX(FormData,$W215,f_Name)),1)&amp;IFERROR(MID(TRIM(INDEX(FormData,$W215,f_Name)),FIND("^",SUBSTITUTE(TRIM(INDEX(FormData,$W215,f_Name))," ","^",LEN(TRIM(INDEX(FormData,$W215,f_Name)))-LEN(SUBSTITUTE(TRIM(INDEX(FormData,$W215,f_Name))," ",""))))+1,1),"")),""))</f>
        <v/>
      </c>
      <c r="E215" s="16">
        <f>IF($W215="","",IFERROR(IF(SUMPRODUCT(MAX((WhoKW&lt;&gt;"")*ISNUMBER(SEARCH(WhoKW,INDEX(FormData,$W215,f_Who)&amp;""))*(ROW(WhoKW)-MIN(ROW(WhoKW))+1)))=0,"",INDEX(WhoVal,SUMPRODUCT(MAX((WhoKW&lt;&gt;"")*ISNUMBER(SEARCH(WhoKW,INDEX(FormData,$W215,f_Who)&amp;""))*(ROW(WhoKW)-MIN(ROW(WhoKW))+1))))),""))</f>
        <v/>
      </c>
      <c r="F215" s="17">
        <f>IF($W215="","",TRIM(IFERROR(INDEX(FormData,$W215,f_Org1)&amp;"","")&amp;" "&amp;IFERROR(INDEX(FormData,$W215,f_Org2)&amp;"","")))</f>
        <v/>
      </c>
      <c r="G215" s="16">
        <f>IF($W215="","",IFERROR(INDEX(FormData,$W215,f_Region)&amp;"",""))</f>
        <v/>
      </c>
      <c r="H215" s="16">
        <f>IF($W215="","",IFERROR(IF(SUMPRODUCT(MAX((SitKW&lt;&gt;"")*ISNUMBER(SEARCH(SitKW,INDEX(FormData,$W215,f_Sit)&amp;""))*(ROW(SitKW)-MIN(ROW(SitKW))+1)))=0,"",INDEX(SitVal,SUMPRODUCT(MAX((SitKW&lt;&gt;"")*ISNUMBER(SEARCH(SitKW,INDEX(FormData,$W215,f_Sit)&amp;""))*(ROW(SitKW)-MIN(ROW(SitKW))+1))))),""))</f>
        <v/>
      </c>
      <c r="I215" s="14">
        <f>IF($W215="","",IFERROR(INDEX(FormData,$W215,f_Appr)&amp;"",""))</f>
        <v/>
      </c>
      <c r="J215" s="16">
        <f>IF($W215="","",IFERROR(INDEX(FormData,$W215,f_Trade)&amp;"",""))</f>
        <v/>
      </c>
      <c r="K215" s="16" t="n"/>
      <c r="L215" s="17" t="n"/>
      <c r="M215" s="16" t="n"/>
      <c r="N215" s="17" t="n"/>
      <c r="O215" s="14" t="n"/>
      <c r="P215" s="14" t="n"/>
      <c r="Q215" s="18" t="n"/>
      <c r="R215" s="18" t="n"/>
      <c r="S215" s="13">
        <f>IF($P215&lt;&gt;"✓","",IF($R215&lt;&gt;"","Done",IF($Q215="","Open — no date",IF($Q215&lt;TODAY(),"Overdue",IF($Q215-TODAY()&lt;=DueSoon,"Due soon","Scheduled")))))</f>
        <v/>
      </c>
      <c r="T215" s="14">
        <f>IF($W215="","",IFERROR(IF(INDEX(FormData,$W215,f_Consent)&amp;""="","",IF(ISNUMBER(SEARCH("yes",INDEX(FormData,$W215,f_Consent))),"Yes","No")),""))</f>
        <v/>
      </c>
      <c r="U215" s="14" t="n"/>
      <c r="V215" s="13">
        <f>IF($U215="","",IF($W215="","not found","✓"))</f>
        <v/>
      </c>
      <c r="W215">
        <f>IF($U215="","",IFERROR(MATCH($U215,INDEX(FormData,0,f_Id),0),IFERROR(MATCH(--$U215,INDEX(FormData,0,f_Id),0),IFERROR(MATCH($U215&amp;"",INDEX(FormData,0,f_Id),0),""))))</f>
        <v/>
      </c>
      <c r="X215">
        <f>IF(AND($B215&lt;&gt;"",$B215='Event Report'!$C$3),ROW(),"")</f>
        <v/>
      </c>
      <c r="Y215">
        <f>IF(AND($P215="✓",$R215=""),IF($Q215="",90000,$Q215)+ROW()/100000,"")</f>
        <v/>
      </c>
      <c r="Z215">
        <f>IF(OR($U215&lt;&gt;"",$D215&lt;&gt;"",$E215&lt;&gt;"",$N215&lt;&gt;""),1,"")</f>
        <v/>
      </c>
    </row>
    <row r="216">
      <c r="A216" s="13" t="inlineStr">
        <is>
          <t>P-0212</t>
        </is>
      </c>
      <c r="B216" s="14">
        <f>IF(AND($U216="",$C216=""),"",IFERROR(INDEX(EvID,MATCH(INDEX(FormData,$W216,f_Event),EvID,0)),IFERROR(INDEX(EvID,MATCH(INDEX(FormData,$W216,f_Event),EvName,0)),IFERROR(INDEX(EvID,MATCH(INT($C216),EvDate,0)),""))))</f>
        <v/>
      </c>
      <c r="C216" s="15">
        <f>IF($W216="","",INDEX(FormData,$W216,f_Time))</f>
        <v/>
      </c>
      <c r="D216" s="14">
        <f>IF($W216="","",IFERROR(UPPER(LEFT(TRIM(INDEX(FormData,$W216,f_Name)),1)&amp;IFERROR(MID(TRIM(INDEX(FormData,$W216,f_Name)),FIND("^",SUBSTITUTE(TRIM(INDEX(FormData,$W216,f_Name))," ","^",LEN(TRIM(INDEX(FormData,$W216,f_Name)))-LEN(SUBSTITUTE(TRIM(INDEX(FormData,$W216,f_Name))," ",""))))+1,1),"")),""))</f>
        <v/>
      </c>
      <c r="E216" s="16">
        <f>IF($W216="","",IFERROR(IF(SUMPRODUCT(MAX((WhoKW&lt;&gt;"")*ISNUMBER(SEARCH(WhoKW,INDEX(FormData,$W216,f_Who)&amp;""))*(ROW(WhoKW)-MIN(ROW(WhoKW))+1)))=0,"",INDEX(WhoVal,SUMPRODUCT(MAX((WhoKW&lt;&gt;"")*ISNUMBER(SEARCH(WhoKW,INDEX(FormData,$W216,f_Who)&amp;""))*(ROW(WhoKW)-MIN(ROW(WhoKW))+1))))),""))</f>
        <v/>
      </c>
      <c r="F216" s="17">
        <f>IF($W216="","",TRIM(IFERROR(INDEX(FormData,$W216,f_Org1)&amp;"","")&amp;" "&amp;IFERROR(INDEX(FormData,$W216,f_Org2)&amp;"","")))</f>
        <v/>
      </c>
      <c r="G216" s="16">
        <f>IF($W216="","",IFERROR(INDEX(FormData,$W216,f_Region)&amp;"",""))</f>
        <v/>
      </c>
      <c r="H216" s="16">
        <f>IF($W216="","",IFERROR(IF(SUMPRODUCT(MAX((SitKW&lt;&gt;"")*ISNUMBER(SEARCH(SitKW,INDEX(FormData,$W216,f_Sit)&amp;""))*(ROW(SitKW)-MIN(ROW(SitKW))+1)))=0,"",INDEX(SitVal,SUMPRODUCT(MAX((SitKW&lt;&gt;"")*ISNUMBER(SEARCH(SitKW,INDEX(FormData,$W216,f_Sit)&amp;""))*(ROW(SitKW)-MIN(ROW(SitKW))+1))))),""))</f>
        <v/>
      </c>
      <c r="I216" s="14">
        <f>IF($W216="","",IFERROR(INDEX(FormData,$W216,f_Appr)&amp;"",""))</f>
        <v/>
      </c>
      <c r="J216" s="16">
        <f>IF($W216="","",IFERROR(INDEX(FormData,$W216,f_Trade)&amp;"",""))</f>
        <v/>
      </c>
      <c r="K216" s="16" t="n"/>
      <c r="L216" s="17" t="n"/>
      <c r="M216" s="16" t="n"/>
      <c r="N216" s="17" t="n"/>
      <c r="O216" s="14" t="n"/>
      <c r="P216" s="14" t="n"/>
      <c r="Q216" s="18" t="n"/>
      <c r="R216" s="18" t="n"/>
      <c r="S216" s="13">
        <f>IF($P216&lt;&gt;"✓","",IF($R216&lt;&gt;"","Done",IF($Q216="","Open — no date",IF($Q216&lt;TODAY(),"Overdue",IF($Q216-TODAY()&lt;=DueSoon,"Due soon","Scheduled")))))</f>
        <v/>
      </c>
      <c r="T216" s="14">
        <f>IF($W216="","",IFERROR(IF(INDEX(FormData,$W216,f_Consent)&amp;""="","",IF(ISNUMBER(SEARCH("yes",INDEX(FormData,$W216,f_Consent))),"Yes","No")),""))</f>
        <v/>
      </c>
      <c r="U216" s="14" t="n"/>
      <c r="V216" s="13">
        <f>IF($U216="","",IF($W216="","not found","✓"))</f>
        <v/>
      </c>
      <c r="W216">
        <f>IF($U216="","",IFERROR(MATCH($U216,INDEX(FormData,0,f_Id),0),IFERROR(MATCH(--$U216,INDEX(FormData,0,f_Id),0),IFERROR(MATCH($U216&amp;"",INDEX(FormData,0,f_Id),0),""))))</f>
        <v/>
      </c>
      <c r="X216">
        <f>IF(AND($B216&lt;&gt;"",$B216='Event Report'!$C$3),ROW(),"")</f>
        <v/>
      </c>
      <c r="Y216">
        <f>IF(AND($P216="✓",$R216=""),IF($Q216="",90000,$Q216)+ROW()/100000,"")</f>
        <v/>
      </c>
      <c r="Z216">
        <f>IF(OR($U216&lt;&gt;"",$D216&lt;&gt;"",$E216&lt;&gt;"",$N216&lt;&gt;""),1,"")</f>
        <v/>
      </c>
    </row>
    <row r="217">
      <c r="A217" s="13" t="inlineStr">
        <is>
          <t>P-0213</t>
        </is>
      </c>
      <c r="B217" s="14">
        <f>IF(AND($U217="",$C217=""),"",IFERROR(INDEX(EvID,MATCH(INDEX(FormData,$W217,f_Event),EvID,0)),IFERROR(INDEX(EvID,MATCH(INDEX(FormData,$W217,f_Event),EvName,0)),IFERROR(INDEX(EvID,MATCH(INT($C217),EvDate,0)),""))))</f>
        <v/>
      </c>
      <c r="C217" s="15">
        <f>IF($W217="","",INDEX(FormData,$W217,f_Time))</f>
        <v/>
      </c>
      <c r="D217" s="14">
        <f>IF($W217="","",IFERROR(UPPER(LEFT(TRIM(INDEX(FormData,$W217,f_Name)),1)&amp;IFERROR(MID(TRIM(INDEX(FormData,$W217,f_Name)),FIND("^",SUBSTITUTE(TRIM(INDEX(FormData,$W217,f_Name))," ","^",LEN(TRIM(INDEX(FormData,$W217,f_Name)))-LEN(SUBSTITUTE(TRIM(INDEX(FormData,$W217,f_Name))," ",""))))+1,1),"")),""))</f>
        <v/>
      </c>
      <c r="E217" s="16">
        <f>IF($W217="","",IFERROR(IF(SUMPRODUCT(MAX((WhoKW&lt;&gt;"")*ISNUMBER(SEARCH(WhoKW,INDEX(FormData,$W217,f_Who)&amp;""))*(ROW(WhoKW)-MIN(ROW(WhoKW))+1)))=0,"",INDEX(WhoVal,SUMPRODUCT(MAX((WhoKW&lt;&gt;"")*ISNUMBER(SEARCH(WhoKW,INDEX(FormData,$W217,f_Who)&amp;""))*(ROW(WhoKW)-MIN(ROW(WhoKW))+1))))),""))</f>
        <v/>
      </c>
      <c r="F217" s="17">
        <f>IF($W217="","",TRIM(IFERROR(INDEX(FormData,$W217,f_Org1)&amp;"","")&amp;" "&amp;IFERROR(INDEX(FormData,$W217,f_Org2)&amp;"","")))</f>
        <v/>
      </c>
      <c r="G217" s="16">
        <f>IF($W217="","",IFERROR(INDEX(FormData,$W217,f_Region)&amp;"",""))</f>
        <v/>
      </c>
      <c r="H217" s="16">
        <f>IF($W217="","",IFERROR(IF(SUMPRODUCT(MAX((SitKW&lt;&gt;"")*ISNUMBER(SEARCH(SitKW,INDEX(FormData,$W217,f_Sit)&amp;""))*(ROW(SitKW)-MIN(ROW(SitKW))+1)))=0,"",INDEX(SitVal,SUMPRODUCT(MAX((SitKW&lt;&gt;"")*ISNUMBER(SEARCH(SitKW,INDEX(FormData,$W217,f_Sit)&amp;""))*(ROW(SitKW)-MIN(ROW(SitKW))+1))))),""))</f>
        <v/>
      </c>
      <c r="I217" s="14">
        <f>IF($W217="","",IFERROR(INDEX(FormData,$W217,f_Appr)&amp;"",""))</f>
        <v/>
      </c>
      <c r="J217" s="16">
        <f>IF($W217="","",IFERROR(INDEX(FormData,$W217,f_Trade)&amp;"",""))</f>
        <v/>
      </c>
      <c r="K217" s="16" t="n"/>
      <c r="L217" s="17" t="n"/>
      <c r="M217" s="16" t="n"/>
      <c r="N217" s="17" t="n"/>
      <c r="O217" s="14" t="n"/>
      <c r="P217" s="14" t="n"/>
      <c r="Q217" s="18" t="n"/>
      <c r="R217" s="18" t="n"/>
      <c r="S217" s="13">
        <f>IF($P217&lt;&gt;"✓","",IF($R217&lt;&gt;"","Done",IF($Q217="","Open — no date",IF($Q217&lt;TODAY(),"Overdue",IF($Q217-TODAY()&lt;=DueSoon,"Due soon","Scheduled")))))</f>
        <v/>
      </c>
      <c r="T217" s="14">
        <f>IF($W217="","",IFERROR(IF(INDEX(FormData,$W217,f_Consent)&amp;""="","",IF(ISNUMBER(SEARCH("yes",INDEX(FormData,$W217,f_Consent))),"Yes","No")),""))</f>
        <v/>
      </c>
      <c r="U217" s="14" t="n"/>
      <c r="V217" s="13">
        <f>IF($U217="","",IF($W217="","not found","✓"))</f>
        <v/>
      </c>
      <c r="W217">
        <f>IF($U217="","",IFERROR(MATCH($U217,INDEX(FormData,0,f_Id),0),IFERROR(MATCH(--$U217,INDEX(FormData,0,f_Id),0),IFERROR(MATCH($U217&amp;"",INDEX(FormData,0,f_Id),0),""))))</f>
        <v/>
      </c>
      <c r="X217">
        <f>IF(AND($B217&lt;&gt;"",$B217='Event Report'!$C$3),ROW(),"")</f>
        <v/>
      </c>
      <c r="Y217">
        <f>IF(AND($P217="✓",$R217=""),IF($Q217="",90000,$Q217)+ROW()/100000,"")</f>
        <v/>
      </c>
      <c r="Z217">
        <f>IF(OR($U217&lt;&gt;"",$D217&lt;&gt;"",$E217&lt;&gt;"",$N217&lt;&gt;""),1,"")</f>
        <v/>
      </c>
    </row>
    <row r="218">
      <c r="A218" s="13" t="inlineStr">
        <is>
          <t>P-0214</t>
        </is>
      </c>
      <c r="B218" s="14">
        <f>IF(AND($U218="",$C218=""),"",IFERROR(INDEX(EvID,MATCH(INDEX(FormData,$W218,f_Event),EvID,0)),IFERROR(INDEX(EvID,MATCH(INDEX(FormData,$W218,f_Event),EvName,0)),IFERROR(INDEX(EvID,MATCH(INT($C218),EvDate,0)),""))))</f>
        <v/>
      </c>
      <c r="C218" s="15">
        <f>IF($W218="","",INDEX(FormData,$W218,f_Time))</f>
        <v/>
      </c>
      <c r="D218" s="14">
        <f>IF($W218="","",IFERROR(UPPER(LEFT(TRIM(INDEX(FormData,$W218,f_Name)),1)&amp;IFERROR(MID(TRIM(INDEX(FormData,$W218,f_Name)),FIND("^",SUBSTITUTE(TRIM(INDEX(FormData,$W218,f_Name))," ","^",LEN(TRIM(INDEX(FormData,$W218,f_Name)))-LEN(SUBSTITUTE(TRIM(INDEX(FormData,$W218,f_Name))," ",""))))+1,1),"")),""))</f>
        <v/>
      </c>
      <c r="E218" s="16">
        <f>IF($W218="","",IFERROR(IF(SUMPRODUCT(MAX((WhoKW&lt;&gt;"")*ISNUMBER(SEARCH(WhoKW,INDEX(FormData,$W218,f_Who)&amp;""))*(ROW(WhoKW)-MIN(ROW(WhoKW))+1)))=0,"",INDEX(WhoVal,SUMPRODUCT(MAX((WhoKW&lt;&gt;"")*ISNUMBER(SEARCH(WhoKW,INDEX(FormData,$W218,f_Who)&amp;""))*(ROW(WhoKW)-MIN(ROW(WhoKW))+1))))),""))</f>
        <v/>
      </c>
      <c r="F218" s="17">
        <f>IF($W218="","",TRIM(IFERROR(INDEX(FormData,$W218,f_Org1)&amp;"","")&amp;" "&amp;IFERROR(INDEX(FormData,$W218,f_Org2)&amp;"","")))</f>
        <v/>
      </c>
      <c r="G218" s="16">
        <f>IF($W218="","",IFERROR(INDEX(FormData,$W218,f_Region)&amp;"",""))</f>
        <v/>
      </c>
      <c r="H218" s="16">
        <f>IF($W218="","",IFERROR(IF(SUMPRODUCT(MAX((SitKW&lt;&gt;"")*ISNUMBER(SEARCH(SitKW,INDEX(FormData,$W218,f_Sit)&amp;""))*(ROW(SitKW)-MIN(ROW(SitKW))+1)))=0,"",INDEX(SitVal,SUMPRODUCT(MAX((SitKW&lt;&gt;"")*ISNUMBER(SEARCH(SitKW,INDEX(FormData,$W218,f_Sit)&amp;""))*(ROW(SitKW)-MIN(ROW(SitKW))+1))))),""))</f>
        <v/>
      </c>
      <c r="I218" s="14">
        <f>IF($W218="","",IFERROR(INDEX(FormData,$W218,f_Appr)&amp;"",""))</f>
        <v/>
      </c>
      <c r="J218" s="16">
        <f>IF($W218="","",IFERROR(INDEX(FormData,$W218,f_Trade)&amp;"",""))</f>
        <v/>
      </c>
      <c r="K218" s="16" t="n"/>
      <c r="L218" s="17" t="n"/>
      <c r="M218" s="16" t="n"/>
      <c r="N218" s="17" t="n"/>
      <c r="O218" s="14" t="n"/>
      <c r="P218" s="14" t="n"/>
      <c r="Q218" s="18" t="n"/>
      <c r="R218" s="18" t="n"/>
      <c r="S218" s="13">
        <f>IF($P218&lt;&gt;"✓","",IF($R218&lt;&gt;"","Done",IF($Q218="","Open — no date",IF($Q218&lt;TODAY(),"Overdue",IF($Q218-TODAY()&lt;=DueSoon,"Due soon","Scheduled")))))</f>
        <v/>
      </c>
      <c r="T218" s="14">
        <f>IF($W218="","",IFERROR(IF(INDEX(FormData,$W218,f_Consent)&amp;""="","",IF(ISNUMBER(SEARCH("yes",INDEX(FormData,$W218,f_Consent))),"Yes","No")),""))</f>
        <v/>
      </c>
      <c r="U218" s="14" t="n"/>
      <c r="V218" s="13">
        <f>IF($U218="","",IF($W218="","not found","✓"))</f>
        <v/>
      </c>
      <c r="W218">
        <f>IF($U218="","",IFERROR(MATCH($U218,INDEX(FormData,0,f_Id),0),IFERROR(MATCH(--$U218,INDEX(FormData,0,f_Id),0),IFERROR(MATCH($U218&amp;"",INDEX(FormData,0,f_Id),0),""))))</f>
        <v/>
      </c>
      <c r="X218">
        <f>IF(AND($B218&lt;&gt;"",$B218='Event Report'!$C$3),ROW(),"")</f>
        <v/>
      </c>
      <c r="Y218">
        <f>IF(AND($P218="✓",$R218=""),IF($Q218="",90000,$Q218)+ROW()/100000,"")</f>
        <v/>
      </c>
      <c r="Z218">
        <f>IF(OR($U218&lt;&gt;"",$D218&lt;&gt;"",$E218&lt;&gt;"",$N218&lt;&gt;""),1,"")</f>
        <v/>
      </c>
    </row>
    <row r="219">
      <c r="A219" s="13" t="inlineStr">
        <is>
          <t>P-0215</t>
        </is>
      </c>
      <c r="B219" s="14">
        <f>IF(AND($U219="",$C219=""),"",IFERROR(INDEX(EvID,MATCH(INDEX(FormData,$W219,f_Event),EvID,0)),IFERROR(INDEX(EvID,MATCH(INDEX(FormData,$W219,f_Event),EvName,0)),IFERROR(INDEX(EvID,MATCH(INT($C219),EvDate,0)),""))))</f>
        <v/>
      </c>
      <c r="C219" s="15">
        <f>IF($W219="","",INDEX(FormData,$W219,f_Time))</f>
        <v/>
      </c>
      <c r="D219" s="14">
        <f>IF($W219="","",IFERROR(UPPER(LEFT(TRIM(INDEX(FormData,$W219,f_Name)),1)&amp;IFERROR(MID(TRIM(INDEX(FormData,$W219,f_Name)),FIND("^",SUBSTITUTE(TRIM(INDEX(FormData,$W219,f_Name))," ","^",LEN(TRIM(INDEX(FormData,$W219,f_Name)))-LEN(SUBSTITUTE(TRIM(INDEX(FormData,$W219,f_Name))," ",""))))+1,1),"")),""))</f>
        <v/>
      </c>
      <c r="E219" s="16">
        <f>IF($W219="","",IFERROR(IF(SUMPRODUCT(MAX((WhoKW&lt;&gt;"")*ISNUMBER(SEARCH(WhoKW,INDEX(FormData,$W219,f_Who)&amp;""))*(ROW(WhoKW)-MIN(ROW(WhoKW))+1)))=0,"",INDEX(WhoVal,SUMPRODUCT(MAX((WhoKW&lt;&gt;"")*ISNUMBER(SEARCH(WhoKW,INDEX(FormData,$W219,f_Who)&amp;""))*(ROW(WhoKW)-MIN(ROW(WhoKW))+1))))),""))</f>
        <v/>
      </c>
      <c r="F219" s="17">
        <f>IF($W219="","",TRIM(IFERROR(INDEX(FormData,$W219,f_Org1)&amp;"","")&amp;" "&amp;IFERROR(INDEX(FormData,$W219,f_Org2)&amp;"","")))</f>
        <v/>
      </c>
      <c r="G219" s="16">
        <f>IF($W219="","",IFERROR(INDEX(FormData,$W219,f_Region)&amp;"",""))</f>
        <v/>
      </c>
      <c r="H219" s="16">
        <f>IF($W219="","",IFERROR(IF(SUMPRODUCT(MAX((SitKW&lt;&gt;"")*ISNUMBER(SEARCH(SitKW,INDEX(FormData,$W219,f_Sit)&amp;""))*(ROW(SitKW)-MIN(ROW(SitKW))+1)))=0,"",INDEX(SitVal,SUMPRODUCT(MAX((SitKW&lt;&gt;"")*ISNUMBER(SEARCH(SitKW,INDEX(FormData,$W219,f_Sit)&amp;""))*(ROW(SitKW)-MIN(ROW(SitKW))+1))))),""))</f>
        <v/>
      </c>
      <c r="I219" s="14">
        <f>IF($W219="","",IFERROR(INDEX(FormData,$W219,f_Appr)&amp;"",""))</f>
        <v/>
      </c>
      <c r="J219" s="16">
        <f>IF($W219="","",IFERROR(INDEX(FormData,$W219,f_Trade)&amp;"",""))</f>
        <v/>
      </c>
      <c r="K219" s="16" t="n"/>
      <c r="L219" s="17" t="n"/>
      <c r="M219" s="16" t="n"/>
      <c r="N219" s="17" t="n"/>
      <c r="O219" s="14" t="n"/>
      <c r="P219" s="14" t="n"/>
      <c r="Q219" s="18" t="n"/>
      <c r="R219" s="18" t="n"/>
      <c r="S219" s="13">
        <f>IF($P219&lt;&gt;"✓","",IF($R219&lt;&gt;"","Done",IF($Q219="","Open — no date",IF($Q219&lt;TODAY(),"Overdue",IF($Q219-TODAY()&lt;=DueSoon,"Due soon","Scheduled")))))</f>
        <v/>
      </c>
      <c r="T219" s="14">
        <f>IF($W219="","",IFERROR(IF(INDEX(FormData,$W219,f_Consent)&amp;""="","",IF(ISNUMBER(SEARCH("yes",INDEX(FormData,$W219,f_Consent))),"Yes","No")),""))</f>
        <v/>
      </c>
      <c r="U219" s="14" t="n"/>
      <c r="V219" s="13">
        <f>IF($U219="","",IF($W219="","not found","✓"))</f>
        <v/>
      </c>
      <c r="W219">
        <f>IF($U219="","",IFERROR(MATCH($U219,INDEX(FormData,0,f_Id),0),IFERROR(MATCH(--$U219,INDEX(FormData,0,f_Id),0),IFERROR(MATCH($U219&amp;"",INDEX(FormData,0,f_Id),0),""))))</f>
        <v/>
      </c>
      <c r="X219">
        <f>IF(AND($B219&lt;&gt;"",$B219='Event Report'!$C$3),ROW(),"")</f>
        <v/>
      </c>
      <c r="Y219">
        <f>IF(AND($P219="✓",$R219=""),IF($Q219="",90000,$Q219)+ROW()/100000,"")</f>
        <v/>
      </c>
      <c r="Z219">
        <f>IF(OR($U219&lt;&gt;"",$D219&lt;&gt;"",$E219&lt;&gt;"",$N219&lt;&gt;""),1,"")</f>
        <v/>
      </c>
    </row>
    <row r="220">
      <c r="A220" s="13" t="inlineStr">
        <is>
          <t>P-0216</t>
        </is>
      </c>
      <c r="B220" s="14">
        <f>IF(AND($U220="",$C220=""),"",IFERROR(INDEX(EvID,MATCH(INDEX(FormData,$W220,f_Event),EvID,0)),IFERROR(INDEX(EvID,MATCH(INDEX(FormData,$W220,f_Event),EvName,0)),IFERROR(INDEX(EvID,MATCH(INT($C220),EvDate,0)),""))))</f>
        <v/>
      </c>
      <c r="C220" s="15">
        <f>IF($W220="","",INDEX(FormData,$W220,f_Time))</f>
        <v/>
      </c>
      <c r="D220" s="14">
        <f>IF($W220="","",IFERROR(UPPER(LEFT(TRIM(INDEX(FormData,$W220,f_Name)),1)&amp;IFERROR(MID(TRIM(INDEX(FormData,$W220,f_Name)),FIND("^",SUBSTITUTE(TRIM(INDEX(FormData,$W220,f_Name))," ","^",LEN(TRIM(INDEX(FormData,$W220,f_Name)))-LEN(SUBSTITUTE(TRIM(INDEX(FormData,$W220,f_Name))," ",""))))+1,1),"")),""))</f>
        <v/>
      </c>
      <c r="E220" s="16">
        <f>IF($W220="","",IFERROR(IF(SUMPRODUCT(MAX((WhoKW&lt;&gt;"")*ISNUMBER(SEARCH(WhoKW,INDEX(FormData,$W220,f_Who)&amp;""))*(ROW(WhoKW)-MIN(ROW(WhoKW))+1)))=0,"",INDEX(WhoVal,SUMPRODUCT(MAX((WhoKW&lt;&gt;"")*ISNUMBER(SEARCH(WhoKW,INDEX(FormData,$W220,f_Who)&amp;""))*(ROW(WhoKW)-MIN(ROW(WhoKW))+1))))),""))</f>
        <v/>
      </c>
      <c r="F220" s="17">
        <f>IF($W220="","",TRIM(IFERROR(INDEX(FormData,$W220,f_Org1)&amp;"","")&amp;" "&amp;IFERROR(INDEX(FormData,$W220,f_Org2)&amp;"","")))</f>
        <v/>
      </c>
      <c r="G220" s="16">
        <f>IF($W220="","",IFERROR(INDEX(FormData,$W220,f_Region)&amp;"",""))</f>
        <v/>
      </c>
      <c r="H220" s="16">
        <f>IF($W220="","",IFERROR(IF(SUMPRODUCT(MAX((SitKW&lt;&gt;"")*ISNUMBER(SEARCH(SitKW,INDEX(FormData,$W220,f_Sit)&amp;""))*(ROW(SitKW)-MIN(ROW(SitKW))+1)))=0,"",INDEX(SitVal,SUMPRODUCT(MAX((SitKW&lt;&gt;"")*ISNUMBER(SEARCH(SitKW,INDEX(FormData,$W220,f_Sit)&amp;""))*(ROW(SitKW)-MIN(ROW(SitKW))+1))))),""))</f>
        <v/>
      </c>
      <c r="I220" s="14">
        <f>IF($W220="","",IFERROR(INDEX(FormData,$W220,f_Appr)&amp;"",""))</f>
        <v/>
      </c>
      <c r="J220" s="16">
        <f>IF($W220="","",IFERROR(INDEX(FormData,$W220,f_Trade)&amp;"",""))</f>
        <v/>
      </c>
      <c r="K220" s="16" t="n"/>
      <c r="L220" s="17" t="n"/>
      <c r="M220" s="16" t="n"/>
      <c r="N220" s="17" t="n"/>
      <c r="O220" s="14" t="n"/>
      <c r="P220" s="14" t="n"/>
      <c r="Q220" s="18" t="n"/>
      <c r="R220" s="18" t="n"/>
      <c r="S220" s="13">
        <f>IF($P220&lt;&gt;"✓","",IF($R220&lt;&gt;"","Done",IF($Q220="","Open — no date",IF($Q220&lt;TODAY(),"Overdue",IF($Q220-TODAY()&lt;=DueSoon,"Due soon","Scheduled")))))</f>
        <v/>
      </c>
      <c r="T220" s="14">
        <f>IF($W220="","",IFERROR(IF(INDEX(FormData,$W220,f_Consent)&amp;""="","",IF(ISNUMBER(SEARCH("yes",INDEX(FormData,$W220,f_Consent))),"Yes","No")),""))</f>
        <v/>
      </c>
      <c r="U220" s="14" t="n"/>
      <c r="V220" s="13">
        <f>IF($U220="","",IF($W220="","not found","✓"))</f>
        <v/>
      </c>
      <c r="W220">
        <f>IF($U220="","",IFERROR(MATCH($U220,INDEX(FormData,0,f_Id),0),IFERROR(MATCH(--$U220,INDEX(FormData,0,f_Id),0),IFERROR(MATCH($U220&amp;"",INDEX(FormData,0,f_Id),0),""))))</f>
        <v/>
      </c>
      <c r="X220">
        <f>IF(AND($B220&lt;&gt;"",$B220='Event Report'!$C$3),ROW(),"")</f>
        <v/>
      </c>
      <c r="Y220">
        <f>IF(AND($P220="✓",$R220=""),IF($Q220="",90000,$Q220)+ROW()/100000,"")</f>
        <v/>
      </c>
      <c r="Z220">
        <f>IF(OR($U220&lt;&gt;"",$D220&lt;&gt;"",$E220&lt;&gt;"",$N220&lt;&gt;""),1,"")</f>
        <v/>
      </c>
    </row>
    <row r="221">
      <c r="A221" s="13" t="inlineStr">
        <is>
          <t>P-0217</t>
        </is>
      </c>
      <c r="B221" s="14">
        <f>IF(AND($U221="",$C221=""),"",IFERROR(INDEX(EvID,MATCH(INDEX(FormData,$W221,f_Event),EvID,0)),IFERROR(INDEX(EvID,MATCH(INDEX(FormData,$W221,f_Event),EvName,0)),IFERROR(INDEX(EvID,MATCH(INT($C221),EvDate,0)),""))))</f>
        <v/>
      </c>
      <c r="C221" s="15">
        <f>IF($W221="","",INDEX(FormData,$W221,f_Time))</f>
        <v/>
      </c>
      <c r="D221" s="14">
        <f>IF($W221="","",IFERROR(UPPER(LEFT(TRIM(INDEX(FormData,$W221,f_Name)),1)&amp;IFERROR(MID(TRIM(INDEX(FormData,$W221,f_Name)),FIND("^",SUBSTITUTE(TRIM(INDEX(FormData,$W221,f_Name))," ","^",LEN(TRIM(INDEX(FormData,$W221,f_Name)))-LEN(SUBSTITUTE(TRIM(INDEX(FormData,$W221,f_Name))," ",""))))+1,1),"")),""))</f>
        <v/>
      </c>
      <c r="E221" s="16">
        <f>IF($W221="","",IFERROR(IF(SUMPRODUCT(MAX((WhoKW&lt;&gt;"")*ISNUMBER(SEARCH(WhoKW,INDEX(FormData,$W221,f_Who)&amp;""))*(ROW(WhoKW)-MIN(ROW(WhoKW))+1)))=0,"",INDEX(WhoVal,SUMPRODUCT(MAX((WhoKW&lt;&gt;"")*ISNUMBER(SEARCH(WhoKW,INDEX(FormData,$W221,f_Who)&amp;""))*(ROW(WhoKW)-MIN(ROW(WhoKW))+1))))),""))</f>
        <v/>
      </c>
      <c r="F221" s="17">
        <f>IF($W221="","",TRIM(IFERROR(INDEX(FormData,$W221,f_Org1)&amp;"","")&amp;" "&amp;IFERROR(INDEX(FormData,$W221,f_Org2)&amp;"","")))</f>
        <v/>
      </c>
      <c r="G221" s="16">
        <f>IF($W221="","",IFERROR(INDEX(FormData,$W221,f_Region)&amp;"",""))</f>
        <v/>
      </c>
      <c r="H221" s="16">
        <f>IF($W221="","",IFERROR(IF(SUMPRODUCT(MAX((SitKW&lt;&gt;"")*ISNUMBER(SEARCH(SitKW,INDEX(FormData,$W221,f_Sit)&amp;""))*(ROW(SitKW)-MIN(ROW(SitKW))+1)))=0,"",INDEX(SitVal,SUMPRODUCT(MAX((SitKW&lt;&gt;"")*ISNUMBER(SEARCH(SitKW,INDEX(FormData,$W221,f_Sit)&amp;""))*(ROW(SitKW)-MIN(ROW(SitKW))+1))))),""))</f>
        <v/>
      </c>
      <c r="I221" s="14">
        <f>IF($W221="","",IFERROR(INDEX(FormData,$W221,f_Appr)&amp;"",""))</f>
        <v/>
      </c>
      <c r="J221" s="16">
        <f>IF($W221="","",IFERROR(INDEX(FormData,$W221,f_Trade)&amp;"",""))</f>
        <v/>
      </c>
      <c r="K221" s="16" t="n"/>
      <c r="L221" s="17" t="n"/>
      <c r="M221" s="16" t="n"/>
      <c r="N221" s="17" t="n"/>
      <c r="O221" s="14" t="n"/>
      <c r="P221" s="14" t="n"/>
      <c r="Q221" s="18" t="n"/>
      <c r="R221" s="18" t="n"/>
      <c r="S221" s="13">
        <f>IF($P221&lt;&gt;"✓","",IF($R221&lt;&gt;"","Done",IF($Q221="","Open — no date",IF($Q221&lt;TODAY(),"Overdue",IF($Q221-TODAY()&lt;=DueSoon,"Due soon","Scheduled")))))</f>
        <v/>
      </c>
      <c r="T221" s="14">
        <f>IF($W221="","",IFERROR(IF(INDEX(FormData,$W221,f_Consent)&amp;""="","",IF(ISNUMBER(SEARCH("yes",INDEX(FormData,$W221,f_Consent))),"Yes","No")),""))</f>
        <v/>
      </c>
      <c r="U221" s="14" t="n"/>
      <c r="V221" s="13">
        <f>IF($U221="","",IF($W221="","not found","✓"))</f>
        <v/>
      </c>
      <c r="W221">
        <f>IF($U221="","",IFERROR(MATCH($U221,INDEX(FormData,0,f_Id),0),IFERROR(MATCH(--$U221,INDEX(FormData,0,f_Id),0),IFERROR(MATCH($U221&amp;"",INDEX(FormData,0,f_Id),0),""))))</f>
        <v/>
      </c>
      <c r="X221">
        <f>IF(AND($B221&lt;&gt;"",$B221='Event Report'!$C$3),ROW(),"")</f>
        <v/>
      </c>
      <c r="Y221">
        <f>IF(AND($P221="✓",$R221=""),IF($Q221="",90000,$Q221)+ROW()/100000,"")</f>
        <v/>
      </c>
      <c r="Z221">
        <f>IF(OR($U221&lt;&gt;"",$D221&lt;&gt;"",$E221&lt;&gt;"",$N221&lt;&gt;""),1,"")</f>
        <v/>
      </c>
    </row>
    <row r="222">
      <c r="A222" s="13" t="inlineStr">
        <is>
          <t>P-0218</t>
        </is>
      </c>
      <c r="B222" s="14">
        <f>IF(AND($U222="",$C222=""),"",IFERROR(INDEX(EvID,MATCH(INDEX(FormData,$W222,f_Event),EvID,0)),IFERROR(INDEX(EvID,MATCH(INDEX(FormData,$W222,f_Event),EvName,0)),IFERROR(INDEX(EvID,MATCH(INT($C222),EvDate,0)),""))))</f>
        <v/>
      </c>
      <c r="C222" s="15">
        <f>IF($W222="","",INDEX(FormData,$W222,f_Time))</f>
        <v/>
      </c>
      <c r="D222" s="14">
        <f>IF($W222="","",IFERROR(UPPER(LEFT(TRIM(INDEX(FormData,$W222,f_Name)),1)&amp;IFERROR(MID(TRIM(INDEX(FormData,$W222,f_Name)),FIND("^",SUBSTITUTE(TRIM(INDEX(FormData,$W222,f_Name))," ","^",LEN(TRIM(INDEX(FormData,$W222,f_Name)))-LEN(SUBSTITUTE(TRIM(INDEX(FormData,$W222,f_Name))," ",""))))+1,1),"")),""))</f>
        <v/>
      </c>
      <c r="E222" s="16">
        <f>IF($W222="","",IFERROR(IF(SUMPRODUCT(MAX((WhoKW&lt;&gt;"")*ISNUMBER(SEARCH(WhoKW,INDEX(FormData,$W222,f_Who)&amp;""))*(ROW(WhoKW)-MIN(ROW(WhoKW))+1)))=0,"",INDEX(WhoVal,SUMPRODUCT(MAX((WhoKW&lt;&gt;"")*ISNUMBER(SEARCH(WhoKW,INDEX(FormData,$W222,f_Who)&amp;""))*(ROW(WhoKW)-MIN(ROW(WhoKW))+1))))),""))</f>
        <v/>
      </c>
      <c r="F222" s="17">
        <f>IF($W222="","",TRIM(IFERROR(INDEX(FormData,$W222,f_Org1)&amp;"","")&amp;" "&amp;IFERROR(INDEX(FormData,$W222,f_Org2)&amp;"","")))</f>
        <v/>
      </c>
      <c r="G222" s="16">
        <f>IF($W222="","",IFERROR(INDEX(FormData,$W222,f_Region)&amp;"",""))</f>
        <v/>
      </c>
      <c r="H222" s="16">
        <f>IF($W222="","",IFERROR(IF(SUMPRODUCT(MAX((SitKW&lt;&gt;"")*ISNUMBER(SEARCH(SitKW,INDEX(FormData,$W222,f_Sit)&amp;""))*(ROW(SitKW)-MIN(ROW(SitKW))+1)))=0,"",INDEX(SitVal,SUMPRODUCT(MAX((SitKW&lt;&gt;"")*ISNUMBER(SEARCH(SitKW,INDEX(FormData,$W222,f_Sit)&amp;""))*(ROW(SitKW)-MIN(ROW(SitKW))+1))))),""))</f>
        <v/>
      </c>
      <c r="I222" s="14">
        <f>IF($W222="","",IFERROR(INDEX(FormData,$W222,f_Appr)&amp;"",""))</f>
        <v/>
      </c>
      <c r="J222" s="16">
        <f>IF($W222="","",IFERROR(INDEX(FormData,$W222,f_Trade)&amp;"",""))</f>
        <v/>
      </c>
      <c r="K222" s="16" t="n"/>
      <c r="L222" s="17" t="n"/>
      <c r="M222" s="16" t="n"/>
      <c r="N222" s="17" t="n"/>
      <c r="O222" s="14" t="n"/>
      <c r="P222" s="14" t="n"/>
      <c r="Q222" s="18" t="n"/>
      <c r="R222" s="18" t="n"/>
      <c r="S222" s="13">
        <f>IF($P222&lt;&gt;"✓","",IF($R222&lt;&gt;"","Done",IF($Q222="","Open — no date",IF($Q222&lt;TODAY(),"Overdue",IF($Q222-TODAY()&lt;=DueSoon,"Due soon","Scheduled")))))</f>
        <v/>
      </c>
      <c r="T222" s="14">
        <f>IF($W222="","",IFERROR(IF(INDEX(FormData,$W222,f_Consent)&amp;""="","",IF(ISNUMBER(SEARCH("yes",INDEX(FormData,$W222,f_Consent))),"Yes","No")),""))</f>
        <v/>
      </c>
      <c r="U222" s="14" t="n"/>
      <c r="V222" s="13">
        <f>IF($U222="","",IF($W222="","not found","✓"))</f>
        <v/>
      </c>
      <c r="W222">
        <f>IF($U222="","",IFERROR(MATCH($U222,INDEX(FormData,0,f_Id),0),IFERROR(MATCH(--$U222,INDEX(FormData,0,f_Id),0),IFERROR(MATCH($U222&amp;"",INDEX(FormData,0,f_Id),0),""))))</f>
        <v/>
      </c>
      <c r="X222">
        <f>IF(AND($B222&lt;&gt;"",$B222='Event Report'!$C$3),ROW(),"")</f>
        <v/>
      </c>
      <c r="Y222">
        <f>IF(AND($P222="✓",$R222=""),IF($Q222="",90000,$Q222)+ROW()/100000,"")</f>
        <v/>
      </c>
      <c r="Z222">
        <f>IF(OR($U222&lt;&gt;"",$D222&lt;&gt;"",$E222&lt;&gt;"",$N222&lt;&gt;""),1,"")</f>
        <v/>
      </c>
    </row>
    <row r="223">
      <c r="A223" s="13" t="inlineStr">
        <is>
          <t>P-0219</t>
        </is>
      </c>
      <c r="B223" s="14">
        <f>IF(AND($U223="",$C223=""),"",IFERROR(INDEX(EvID,MATCH(INDEX(FormData,$W223,f_Event),EvID,0)),IFERROR(INDEX(EvID,MATCH(INDEX(FormData,$W223,f_Event),EvName,0)),IFERROR(INDEX(EvID,MATCH(INT($C223),EvDate,0)),""))))</f>
        <v/>
      </c>
      <c r="C223" s="15">
        <f>IF($W223="","",INDEX(FormData,$W223,f_Time))</f>
        <v/>
      </c>
      <c r="D223" s="14">
        <f>IF($W223="","",IFERROR(UPPER(LEFT(TRIM(INDEX(FormData,$W223,f_Name)),1)&amp;IFERROR(MID(TRIM(INDEX(FormData,$W223,f_Name)),FIND("^",SUBSTITUTE(TRIM(INDEX(FormData,$W223,f_Name))," ","^",LEN(TRIM(INDEX(FormData,$W223,f_Name)))-LEN(SUBSTITUTE(TRIM(INDEX(FormData,$W223,f_Name))," ",""))))+1,1),"")),""))</f>
        <v/>
      </c>
      <c r="E223" s="16">
        <f>IF($W223="","",IFERROR(IF(SUMPRODUCT(MAX((WhoKW&lt;&gt;"")*ISNUMBER(SEARCH(WhoKW,INDEX(FormData,$W223,f_Who)&amp;""))*(ROW(WhoKW)-MIN(ROW(WhoKW))+1)))=0,"",INDEX(WhoVal,SUMPRODUCT(MAX((WhoKW&lt;&gt;"")*ISNUMBER(SEARCH(WhoKW,INDEX(FormData,$W223,f_Who)&amp;""))*(ROW(WhoKW)-MIN(ROW(WhoKW))+1))))),""))</f>
        <v/>
      </c>
      <c r="F223" s="17">
        <f>IF($W223="","",TRIM(IFERROR(INDEX(FormData,$W223,f_Org1)&amp;"","")&amp;" "&amp;IFERROR(INDEX(FormData,$W223,f_Org2)&amp;"","")))</f>
        <v/>
      </c>
      <c r="G223" s="16">
        <f>IF($W223="","",IFERROR(INDEX(FormData,$W223,f_Region)&amp;"",""))</f>
        <v/>
      </c>
      <c r="H223" s="16">
        <f>IF($W223="","",IFERROR(IF(SUMPRODUCT(MAX((SitKW&lt;&gt;"")*ISNUMBER(SEARCH(SitKW,INDEX(FormData,$W223,f_Sit)&amp;""))*(ROW(SitKW)-MIN(ROW(SitKW))+1)))=0,"",INDEX(SitVal,SUMPRODUCT(MAX((SitKW&lt;&gt;"")*ISNUMBER(SEARCH(SitKW,INDEX(FormData,$W223,f_Sit)&amp;""))*(ROW(SitKW)-MIN(ROW(SitKW))+1))))),""))</f>
        <v/>
      </c>
      <c r="I223" s="14">
        <f>IF($W223="","",IFERROR(INDEX(FormData,$W223,f_Appr)&amp;"",""))</f>
        <v/>
      </c>
      <c r="J223" s="16">
        <f>IF($W223="","",IFERROR(INDEX(FormData,$W223,f_Trade)&amp;"",""))</f>
        <v/>
      </c>
      <c r="K223" s="16" t="n"/>
      <c r="L223" s="17" t="n"/>
      <c r="M223" s="16" t="n"/>
      <c r="N223" s="17" t="n"/>
      <c r="O223" s="14" t="n"/>
      <c r="P223" s="14" t="n"/>
      <c r="Q223" s="18" t="n"/>
      <c r="R223" s="18" t="n"/>
      <c r="S223" s="13">
        <f>IF($P223&lt;&gt;"✓","",IF($R223&lt;&gt;"","Done",IF($Q223="","Open — no date",IF($Q223&lt;TODAY(),"Overdue",IF($Q223-TODAY()&lt;=DueSoon,"Due soon","Scheduled")))))</f>
        <v/>
      </c>
      <c r="T223" s="14">
        <f>IF($W223="","",IFERROR(IF(INDEX(FormData,$W223,f_Consent)&amp;""="","",IF(ISNUMBER(SEARCH("yes",INDEX(FormData,$W223,f_Consent))),"Yes","No")),""))</f>
        <v/>
      </c>
      <c r="U223" s="14" t="n"/>
      <c r="V223" s="13">
        <f>IF($U223="","",IF($W223="","not found","✓"))</f>
        <v/>
      </c>
      <c r="W223">
        <f>IF($U223="","",IFERROR(MATCH($U223,INDEX(FormData,0,f_Id),0),IFERROR(MATCH(--$U223,INDEX(FormData,0,f_Id),0),IFERROR(MATCH($U223&amp;"",INDEX(FormData,0,f_Id),0),""))))</f>
        <v/>
      </c>
      <c r="X223">
        <f>IF(AND($B223&lt;&gt;"",$B223='Event Report'!$C$3),ROW(),"")</f>
        <v/>
      </c>
      <c r="Y223">
        <f>IF(AND($P223="✓",$R223=""),IF($Q223="",90000,$Q223)+ROW()/100000,"")</f>
        <v/>
      </c>
      <c r="Z223">
        <f>IF(OR($U223&lt;&gt;"",$D223&lt;&gt;"",$E223&lt;&gt;"",$N223&lt;&gt;""),1,"")</f>
        <v/>
      </c>
    </row>
    <row r="224">
      <c r="A224" s="13" t="inlineStr">
        <is>
          <t>P-0220</t>
        </is>
      </c>
      <c r="B224" s="14">
        <f>IF(AND($U224="",$C224=""),"",IFERROR(INDEX(EvID,MATCH(INDEX(FormData,$W224,f_Event),EvID,0)),IFERROR(INDEX(EvID,MATCH(INDEX(FormData,$W224,f_Event),EvName,0)),IFERROR(INDEX(EvID,MATCH(INT($C224),EvDate,0)),""))))</f>
        <v/>
      </c>
      <c r="C224" s="15">
        <f>IF($W224="","",INDEX(FormData,$W224,f_Time))</f>
        <v/>
      </c>
      <c r="D224" s="14">
        <f>IF($W224="","",IFERROR(UPPER(LEFT(TRIM(INDEX(FormData,$W224,f_Name)),1)&amp;IFERROR(MID(TRIM(INDEX(FormData,$W224,f_Name)),FIND("^",SUBSTITUTE(TRIM(INDEX(FormData,$W224,f_Name))," ","^",LEN(TRIM(INDEX(FormData,$W224,f_Name)))-LEN(SUBSTITUTE(TRIM(INDEX(FormData,$W224,f_Name))," ",""))))+1,1),"")),""))</f>
        <v/>
      </c>
      <c r="E224" s="16">
        <f>IF($W224="","",IFERROR(IF(SUMPRODUCT(MAX((WhoKW&lt;&gt;"")*ISNUMBER(SEARCH(WhoKW,INDEX(FormData,$W224,f_Who)&amp;""))*(ROW(WhoKW)-MIN(ROW(WhoKW))+1)))=0,"",INDEX(WhoVal,SUMPRODUCT(MAX((WhoKW&lt;&gt;"")*ISNUMBER(SEARCH(WhoKW,INDEX(FormData,$W224,f_Who)&amp;""))*(ROW(WhoKW)-MIN(ROW(WhoKW))+1))))),""))</f>
        <v/>
      </c>
      <c r="F224" s="17">
        <f>IF($W224="","",TRIM(IFERROR(INDEX(FormData,$W224,f_Org1)&amp;"","")&amp;" "&amp;IFERROR(INDEX(FormData,$W224,f_Org2)&amp;"","")))</f>
        <v/>
      </c>
      <c r="G224" s="16">
        <f>IF($W224="","",IFERROR(INDEX(FormData,$W224,f_Region)&amp;"",""))</f>
        <v/>
      </c>
      <c r="H224" s="16">
        <f>IF($W224="","",IFERROR(IF(SUMPRODUCT(MAX((SitKW&lt;&gt;"")*ISNUMBER(SEARCH(SitKW,INDEX(FormData,$W224,f_Sit)&amp;""))*(ROW(SitKW)-MIN(ROW(SitKW))+1)))=0,"",INDEX(SitVal,SUMPRODUCT(MAX((SitKW&lt;&gt;"")*ISNUMBER(SEARCH(SitKW,INDEX(FormData,$W224,f_Sit)&amp;""))*(ROW(SitKW)-MIN(ROW(SitKW))+1))))),""))</f>
        <v/>
      </c>
      <c r="I224" s="14">
        <f>IF($W224="","",IFERROR(INDEX(FormData,$W224,f_Appr)&amp;"",""))</f>
        <v/>
      </c>
      <c r="J224" s="16">
        <f>IF($W224="","",IFERROR(INDEX(FormData,$W224,f_Trade)&amp;"",""))</f>
        <v/>
      </c>
      <c r="K224" s="16" t="n"/>
      <c r="L224" s="17" t="n"/>
      <c r="M224" s="16" t="n"/>
      <c r="N224" s="17" t="n"/>
      <c r="O224" s="14" t="n"/>
      <c r="P224" s="14" t="n"/>
      <c r="Q224" s="18" t="n"/>
      <c r="R224" s="18" t="n"/>
      <c r="S224" s="13">
        <f>IF($P224&lt;&gt;"✓","",IF($R224&lt;&gt;"","Done",IF($Q224="","Open — no date",IF($Q224&lt;TODAY(),"Overdue",IF($Q224-TODAY()&lt;=DueSoon,"Due soon","Scheduled")))))</f>
        <v/>
      </c>
      <c r="T224" s="14">
        <f>IF($W224="","",IFERROR(IF(INDEX(FormData,$W224,f_Consent)&amp;""="","",IF(ISNUMBER(SEARCH("yes",INDEX(FormData,$W224,f_Consent))),"Yes","No")),""))</f>
        <v/>
      </c>
      <c r="U224" s="14" t="n"/>
      <c r="V224" s="13">
        <f>IF($U224="","",IF($W224="","not found","✓"))</f>
        <v/>
      </c>
      <c r="W224">
        <f>IF($U224="","",IFERROR(MATCH($U224,INDEX(FormData,0,f_Id),0),IFERROR(MATCH(--$U224,INDEX(FormData,0,f_Id),0),IFERROR(MATCH($U224&amp;"",INDEX(FormData,0,f_Id),0),""))))</f>
        <v/>
      </c>
      <c r="X224">
        <f>IF(AND($B224&lt;&gt;"",$B224='Event Report'!$C$3),ROW(),"")</f>
        <v/>
      </c>
      <c r="Y224">
        <f>IF(AND($P224="✓",$R224=""),IF($Q224="",90000,$Q224)+ROW()/100000,"")</f>
        <v/>
      </c>
      <c r="Z224">
        <f>IF(OR($U224&lt;&gt;"",$D224&lt;&gt;"",$E224&lt;&gt;"",$N224&lt;&gt;""),1,"")</f>
        <v/>
      </c>
    </row>
    <row r="225">
      <c r="A225" s="13" t="inlineStr">
        <is>
          <t>P-0221</t>
        </is>
      </c>
      <c r="B225" s="14">
        <f>IF(AND($U225="",$C225=""),"",IFERROR(INDEX(EvID,MATCH(INDEX(FormData,$W225,f_Event),EvID,0)),IFERROR(INDEX(EvID,MATCH(INDEX(FormData,$W225,f_Event),EvName,0)),IFERROR(INDEX(EvID,MATCH(INT($C225),EvDate,0)),""))))</f>
        <v/>
      </c>
      <c r="C225" s="15">
        <f>IF($W225="","",INDEX(FormData,$W225,f_Time))</f>
        <v/>
      </c>
      <c r="D225" s="14">
        <f>IF($W225="","",IFERROR(UPPER(LEFT(TRIM(INDEX(FormData,$W225,f_Name)),1)&amp;IFERROR(MID(TRIM(INDEX(FormData,$W225,f_Name)),FIND("^",SUBSTITUTE(TRIM(INDEX(FormData,$W225,f_Name))," ","^",LEN(TRIM(INDEX(FormData,$W225,f_Name)))-LEN(SUBSTITUTE(TRIM(INDEX(FormData,$W225,f_Name))," ",""))))+1,1),"")),""))</f>
        <v/>
      </c>
      <c r="E225" s="16">
        <f>IF($W225="","",IFERROR(IF(SUMPRODUCT(MAX((WhoKW&lt;&gt;"")*ISNUMBER(SEARCH(WhoKW,INDEX(FormData,$W225,f_Who)&amp;""))*(ROW(WhoKW)-MIN(ROW(WhoKW))+1)))=0,"",INDEX(WhoVal,SUMPRODUCT(MAX((WhoKW&lt;&gt;"")*ISNUMBER(SEARCH(WhoKW,INDEX(FormData,$W225,f_Who)&amp;""))*(ROW(WhoKW)-MIN(ROW(WhoKW))+1))))),""))</f>
        <v/>
      </c>
      <c r="F225" s="17">
        <f>IF($W225="","",TRIM(IFERROR(INDEX(FormData,$W225,f_Org1)&amp;"","")&amp;" "&amp;IFERROR(INDEX(FormData,$W225,f_Org2)&amp;"","")))</f>
        <v/>
      </c>
      <c r="G225" s="16">
        <f>IF($W225="","",IFERROR(INDEX(FormData,$W225,f_Region)&amp;"",""))</f>
        <v/>
      </c>
      <c r="H225" s="16">
        <f>IF($W225="","",IFERROR(IF(SUMPRODUCT(MAX((SitKW&lt;&gt;"")*ISNUMBER(SEARCH(SitKW,INDEX(FormData,$W225,f_Sit)&amp;""))*(ROW(SitKW)-MIN(ROW(SitKW))+1)))=0,"",INDEX(SitVal,SUMPRODUCT(MAX((SitKW&lt;&gt;"")*ISNUMBER(SEARCH(SitKW,INDEX(FormData,$W225,f_Sit)&amp;""))*(ROW(SitKW)-MIN(ROW(SitKW))+1))))),""))</f>
        <v/>
      </c>
      <c r="I225" s="14">
        <f>IF($W225="","",IFERROR(INDEX(FormData,$W225,f_Appr)&amp;"",""))</f>
        <v/>
      </c>
      <c r="J225" s="16">
        <f>IF($W225="","",IFERROR(INDEX(FormData,$W225,f_Trade)&amp;"",""))</f>
        <v/>
      </c>
      <c r="K225" s="16" t="n"/>
      <c r="L225" s="17" t="n"/>
      <c r="M225" s="16" t="n"/>
      <c r="N225" s="17" t="n"/>
      <c r="O225" s="14" t="n"/>
      <c r="P225" s="14" t="n"/>
      <c r="Q225" s="18" t="n"/>
      <c r="R225" s="18" t="n"/>
      <c r="S225" s="13">
        <f>IF($P225&lt;&gt;"✓","",IF($R225&lt;&gt;"","Done",IF($Q225="","Open — no date",IF($Q225&lt;TODAY(),"Overdue",IF($Q225-TODAY()&lt;=DueSoon,"Due soon","Scheduled")))))</f>
        <v/>
      </c>
      <c r="T225" s="14">
        <f>IF($W225="","",IFERROR(IF(INDEX(FormData,$W225,f_Consent)&amp;""="","",IF(ISNUMBER(SEARCH("yes",INDEX(FormData,$W225,f_Consent))),"Yes","No")),""))</f>
        <v/>
      </c>
      <c r="U225" s="14" t="n"/>
      <c r="V225" s="13">
        <f>IF($U225="","",IF($W225="","not found","✓"))</f>
        <v/>
      </c>
      <c r="W225">
        <f>IF($U225="","",IFERROR(MATCH($U225,INDEX(FormData,0,f_Id),0),IFERROR(MATCH(--$U225,INDEX(FormData,0,f_Id),0),IFERROR(MATCH($U225&amp;"",INDEX(FormData,0,f_Id),0),""))))</f>
        <v/>
      </c>
      <c r="X225">
        <f>IF(AND($B225&lt;&gt;"",$B225='Event Report'!$C$3),ROW(),"")</f>
        <v/>
      </c>
      <c r="Y225">
        <f>IF(AND($P225="✓",$R225=""),IF($Q225="",90000,$Q225)+ROW()/100000,"")</f>
        <v/>
      </c>
      <c r="Z225">
        <f>IF(OR($U225&lt;&gt;"",$D225&lt;&gt;"",$E225&lt;&gt;"",$N225&lt;&gt;""),1,"")</f>
        <v/>
      </c>
    </row>
    <row r="226">
      <c r="A226" s="13" t="inlineStr">
        <is>
          <t>P-0222</t>
        </is>
      </c>
      <c r="B226" s="14">
        <f>IF(AND($U226="",$C226=""),"",IFERROR(INDEX(EvID,MATCH(INDEX(FormData,$W226,f_Event),EvID,0)),IFERROR(INDEX(EvID,MATCH(INDEX(FormData,$W226,f_Event),EvName,0)),IFERROR(INDEX(EvID,MATCH(INT($C226),EvDate,0)),""))))</f>
        <v/>
      </c>
      <c r="C226" s="15">
        <f>IF($W226="","",INDEX(FormData,$W226,f_Time))</f>
        <v/>
      </c>
      <c r="D226" s="14">
        <f>IF($W226="","",IFERROR(UPPER(LEFT(TRIM(INDEX(FormData,$W226,f_Name)),1)&amp;IFERROR(MID(TRIM(INDEX(FormData,$W226,f_Name)),FIND("^",SUBSTITUTE(TRIM(INDEX(FormData,$W226,f_Name))," ","^",LEN(TRIM(INDEX(FormData,$W226,f_Name)))-LEN(SUBSTITUTE(TRIM(INDEX(FormData,$W226,f_Name))," ",""))))+1,1),"")),""))</f>
        <v/>
      </c>
      <c r="E226" s="16">
        <f>IF($W226="","",IFERROR(IF(SUMPRODUCT(MAX((WhoKW&lt;&gt;"")*ISNUMBER(SEARCH(WhoKW,INDEX(FormData,$W226,f_Who)&amp;""))*(ROW(WhoKW)-MIN(ROW(WhoKW))+1)))=0,"",INDEX(WhoVal,SUMPRODUCT(MAX((WhoKW&lt;&gt;"")*ISNUMBER(SEARCH(WhoKW,INDEX(FormData,$W226,f_Who)&amp;""))*(ROW(WhoKW)-MIN(ROW(WhoKW))+1))))),""))</f>
        <v/>
      </c>
      <c r="F226" s="17">
        <f>IF($W226="","",TRIM(IFERROR(INDEX(FormData,$W226,f_Org1)&amp;"","")&amp;" "&amp;IFERROR(INDEX(FormData,$W226,f_Org2)&amp;"","")))</f>
        <v/>
      </c>
      <c r="G226" s="16">
        <f>IF($W226="","",IFERROR(INDEX(FormData,$W226,f_Region)&amp;"",""))</f>
        <v/>
      </c>
      <c r="H226" s="16">
        <f>IF($W226="","",IFERROR(IF(SUMPRODUCT(MAX((SitKW&lt;&gt;"")*ISNUMBER(SEARCH(SitKW,INDEX(FormData,$W226,f_Sit)&amp;""))*(ROW(SitKW)-MIN(ROW(SitKW))+1)))=0,"",INDEX(SitVal,SUMPRODUCT(MAX((SitKW&lt;&gt;"")*ISNUMBER(SEARCH(SitKW,INDEX(FormData,$W226,f_Sit)&amp;""))*(ROW(SitKW)-MIN(ROW(SitKW))+1))))),""))</f>
        <v/>
      </c>
      <c r="I226" s="14">
        <f>IF($W226="","",IFERROR(INDEX(FormData,$W226,f_Appr)&amp;"",""))</f>
        <v/>
      </c>
      <c r="J226" s="16">
        <f>IF($W226="","",IFERROR(INDEX(FormData,$W226,f_Trade)&amp;"",""))</f>
        <v/>
      </c>
      <c r="K226" s="16" t="n"/>
      <c r="L226" s="17" t="n"/>
      <c r="M226" s="16" t="n"/>
      <c r="N226" s="17" t="n"/>
      <c r="O226" s="14" t="n"/>
      <c r="P226" s="14" t="n"/>
      <c r="Q226" s="18" t="n"/>
      <c r="R226" s="18" t="n"/>
      <c r="S226" s="13">
        <f>IF($P226&lt;&gt;"✓","",IF($R226&lt;&gt;"","Done",IF($Q226="","Open — no date",IF($Q226&lt;TODAY(),"Overdue",IF($Q226-TODAY()&lt;=DueSoon,"Due soon","Scheduled")))))</f>
        <v/>
      </c>
      <c r="T226" s="14">
        <f>IF($W226="","",IFERROR(IF(INDEX(FormData,$W226,f_Consent)&amp;""="","",IF(ISNUMBER(SEARCH("yes",INDEX(FormData,$W226,f_Consent))),"Yes","No")),""))</f>
        <v/>
      </c>
      <c r="U226" s="14" t="n"/>
      <c r="V226" s="13">
        <f>IF($U226="","",IF($W226="","not found","✓"))</f>
        <v/>
      </c>
      <c r="W226">
        <f>IF($U226="","",IFERROR(MATCH($U226,INDEX(FormData,0,f_Id),0),IFERROR(MATCH(--$U226,INDEX(FormData,0,f_Id),0),IFERROR(MATCH($U226&amp;"",INDEX(FormData,0,f_Id),0),""))))</f>
        <v/>
      </c>
      <c r="X226">
        <f>IF(AND($B226&lt;&gt;"",$B226='Event Report'!$C$3),ROW(),"")</f>
        <v/>
      </c>
      <c r="Y226">
        <f>IF(AND($P226="✓",$R226=""),IF($Q226="",90000,$Q226)+ROW()/100000,"")</f>
        <v/>
      </c>
      <c r="Z226">
        <f>IF(OR($U226&lt;&gt;"",$D226&lt;&gt;"",$E226&lt;&gt;"",$N226&lt;&gt;""),1,"")</f>
        <v/>
      </c>
    </row>
    <row r="227">
      <c r="A227" s="13" t="inlineStr">
        <is>
          <t>P-0223</t>
        </is>
      </c>
      <c r="B227" s="14">
        <f>IF(AND($U227="",$C227=""),"",IFERROR(INDEX(EvID,MATCH(INDEX(FormData,$W227,f_Event),EvID,0)),IFERROR(INDEX(EvID,MATCH(INDEX(FormData,$W227,f_Event),EvName,0)),IFERROR(INDEX(EvID,MATCH(INT($C227),EvDate,0)),""))))</f>
        <v/>
      </c>
      <c r="C227" s="15">
        <f>IF($W227="","",INDEX(FormData,$W227,f_Time))</f>
        <v/>
      </c>
      <c r="D227" s="14">
        <f>IF($W227="","",IFERROR(UPPER(LEFT(TRIM(INDEX(FormData,$W227,f_Name)),1)&amp;IFERROR(MID(TRIM(INDEX(FormData,$W227,f_Name)),FIND("^",SUBSTITUTE(TRIM(INDEX(FormData,$W227,f_Name))," ","^",LEN(TRIM(INDEX(FormData,$W227,f_Name)))-LEN(SUBSTITUTE(TRIM(INDEX(FormData,$W227,f_Name))," ",""))))+1,1),"")),""))</f>
        <v/>
      </c>
      <c r="E227" s="16">
        <f>IF($W227="","",IFERROR(IF(SUMPRODUCT(MAX((WhoKW&lt;&gt;"")*ISNUMBER(SEARCH(WhoKW,INDEX(FormData,$W227,f_Who)&amp;""))*(ROW(WhoKW)-MIN(ROW(WhoKW))+1)))=0,"",INDEX(WhoVal,SUMPRODUCT(MAX((WhoKW&lt;&gt;"")*ISNUMBER(SEARCH(WhoKW,INDEX(FormData,$W227,f_Who)&amp;""))*(ROW(WhoKW)-MIN(ROW(WhoKW))+1))))),""))</f>
        <v/>
      </c>
      <c r="F227" s="17">
        <f>IF($W227="","",TRIM(IFERROR(INDEX(FormData,$W227,f_Org1)&amp;"","")&amp;" "&amp;IFERROR(INDEX(FormData,$W227,f_Org2)&amp;"","")))</f>
        <v/>
      </c>
      <c r="G227" s="16">
        <f>IF($W227="","",IFERROR(INDEX(FormData,$W227,f_Region)&amp;"",""))</f>
        <v/>
      </c>
      <c r="H227" s="16">
        <f>IF($W227="","",IFERROR(IF(SUMPRODUCT(MAX((SitKW&lt;&gt;"")*ISNUMBER(SEARCH(SitKW,INDEX(FormData,$W227,f_Sit)&amp;""))*(ROW(SitKW)-MIN(ROW(SitKW))+1)))=0,"",INDEX(SitVal,SUMPRODUCT(MAX((SitKW&lt;&gt;"")*ISNUMBER(SEARCH(SitKW,INDEX(FormData,$W227,f_Sit)&amp;""))*(ROW(SitKW)-MIN(ROW(SitKW))+1))))),""))</f>
        <v/>
      </c>
      <c r="I227" s="14">
        <f>IF($W227="","",IFERROR(INDEX(FormData,$W227,f_Appr)&amp;"",""))</f>
        <v/>
      </c>
      <c r="J227" s="16">
        <f>IF($W227="","",IFERROR(INDEX(FormData,$W227,f_Trade)&amp;"",""))</f>
        <v/>
      </c>
      <c r="K227" s="16" t="n"/>
      <c r="L227" s="17" t="n"/>
      <c r="M227" s="16" t="n"/>
      <c r="N227" s="17" t="n"/>
      <c r="O227" s="14" t="n"/>
      <c r="P227" s="14" t="n"/>
      <c r="Q227" s="18" t="n"/>
      <c r="R227" s="18" t="n"/>
      <c r="S227" s="13">
        <f>IF($P227&lt;&gt;"✓","",IF($R227&lt;&gt;"","Done",IF($Q227="","Open — no date",IF($Q227&lt;TODAY(),"Overdue",IF($Q227-TODAY()&lt;=DueSoon,"Due soon","Scheduled")))))</f>
        <v/>
      </c>
      <c r="T227" s="14">
        <f>IF($W227="","",IFERROR(IF(INDEX(FormData,$W227,f_Consent)&amp;""="","",IF(ISNUMBER(SEARCH("yes",INDEX(FormData,$W227,f_Consent))),"Yes","No")),""))</f>
        <v/>
      </c>
      <c r="U227" s="14" t="n"/>
      <c r="V227" s="13">
        <f>IF($U227="","",IF($W227="","not found","✓"))</f>
        <v/>
      </c>
      <c r="W227">
        <f>IF($U227="","",IFERROR(MATCH($U227,INDEX(FormData,0,f_Id),0),IFERROR(MATCH(--$U227,INDEX(FormData,0,f_Id),0),IFERROR(MATCH($U227&amp;"",INDEX(FormData,0,f_Id),0),""))))</f>
        <v/>
      </c>
      <c r="X227">
        <f>IF(AND($B227&lt;&gt;"",$B227='Event Report'!$C$3),ROW(),"")</f>
        <v/>
      </c>
      <c r="Y227">
        <f>IF(AND($P227="✓",$R227=""),IF($Q227="",90000,$Q227)+ROW()/100000,"")</f>
        <v/>
      </c>
      <c r="Z227">
        <f>IF(OR($U227&lt;&gt;"",$D227&lt;&gt;"",$E227&lt;&gt;"",$N227&lt;&gt;""),1,"")</f>
        <v/>
      </c>
    </row>
    <row r="228">
      <c r="A228" s="13" t="inlineStr">
        <is>
          <t>P-0224</t>
        </is>
      </c>
      <c r="B228" s="14">
        <f>IF(AND($U228="",$C228=""),"",IFERROR(INDEX(EvID,MATCH(INDEX(FormData,$W228,f_Event),EvID,0)),IFERROR(INDEX(EvID,MATCH(INDEX(FormData,$W228,f_Event),EvName,0)),IFERROR(INDEX(EvID,MATCH(INT($C228),EvDate,0)),""))))</f>
        <v/>
      </c>
      <c r="C228" s="15">
        <f>IF($W228="","",INDEX(FormData,$W228,f_Time))</f>
        <v/>
      </c>
      <c r="D228" s="14">
        <f>IF($W228="","",IFERROR(UPPER(LEFT(TRIM(INDEX(FormData,$W228,f_Name)),1)&amp;IFERROR(MID(TRIM(INDEX(FormData,$W228,f_Name)),FIND("^",SUBSTITUTE(TRIM(INDEX(FormData,$W228,f_Name))," ","^",LEN(TRIM(INDEX(FormData,$W228,f_Name)))-LEN(SUBSTITUTE(TRIM(INDEX(FormData,$W228,f_Name))," ",""))))+1,1),"")),""))</f>
        <v/>
      </c>
      <c r="E228" s="16">
        <f>IF($W228="","",IFERROR(IF(SUMPRODUCT(MAX((WhoKW&lt;&gt;"")*ISNUMBER(SEARCH(WhoKW,INDEX(FormData,$W228,f_Who)&amp;""))*(ROW(WhoKW)-MIN(ROW(WhoKW))+1)))=0,"",INDEX(WhoVal,SUMPRODUCT(MAX((WhoKW&lt;&gt;"")*ISNUMBER(SEARCH(WhoKW,INDEX(FormData,$W228,f_Who)&amp;""))*(ROW(WhoKW)-MIN(ROW(WhoKW))+1))))),""))</f>
        <v/>
      </c>
      <c r="F228" s="17">
        <f>IF($W228="","",TRIM(IFERROR(INDEX(FormData,$W228,f_Org1)&amp;"","")&amp;" "&amp;IFERROR(INDEX(FormData,$W228,f_Org2)&amp;"","")))</f>
        <v/>
      </c>
      <c r="G228" s="16">
        <f>IF($W228="","",IFERROR(INDEX(FormData,$W228,f_Region)&amp;"",""))</f>
        <v/>
      </c>
      <c r="H228" s="16">
        <f>IF($W228="","",IFERROR(IF(SUMPRODUCT(MAX((SitKW&lt;&gt;"")*ISNUMBER(SEARCH(SitKW,INDEX(FormData,$W228,f_Sit)&amp;""))*(ROW(SitKW)-MIN(ROW(SitKW))+1)))=0,"",INDEX(SitVal,SUMPRODUCT(MAX((SitKW&lt;&gt;"")*ISNUMBER(SEARCH(SitKW,INDEX(FormData,$W228,f_Sit)&amp;""))*(ROW(SitKW)-MIN(ROW(SitKW))+1))))),""))</f>
        <v/>
      </c>
      <c r="I228" s="14">
        <f>IF($W228="","",IFERROR(INDEX(FormData,$W228,f_Appr)&amp;"",""))</f>
        <v/>
      </c>
      <c r="J228" s="16">
        <f>IF($W228="","",IFERROR(INDEX(FormData,$W228,f_Trade)&amp;"",""))</f>
        <v/>
      </c>
      <c r="K228" s="16" t="n"/>
      <c r="L228" s="17" t="n"/>
      <c r="M228" s="16" t="n"/>
      <c r="N228" s="17" t="n"/>
      <c r="O228" s="14" t="n"/>
      <c r="P228" s="14" t="n"/>
      <c r="Q228" s="18" t="n"/>
      <c r="R228" s="18" t="n"/>
      <c r="S228" s="13">
        <f>IF($P228&lt;&gt;"✓","",IF($R228&lt;&gt;"","Done",IF($Q228="","Open — no date",IF($Q228&lt;TODAY(),"Overdue",IF($Q228-TODAY()&lt;=DueSoon,"Due soon","Scheduled")))))</f>
        <v/>
      </c>
      <c r="T228" s="14">
        <f>IF($W228="","",IFERROR(IF(INDEX(FormData,$W228,f_Consent)&amp;""="","",IF(ISNUMBER(SEARCH("yes",INDEX(FormData,$W228,f_Consent))),"Yes","No")),""))</f>
        <v/>
      </c>
      <c r="U228" s="14" t="n"/>
      <c r="V228" s="13">
        <f>IF($U228="","",IF($W228="","not found","✓"))</f>
        <v/>
      </c>
      <c r="W228">
        <f>IF($U228="","",IFERROR(MATCH($U228,INDEX(FormData,0,f_Id),0),IFERROR(MATCH(--$U228,INDEX(FormData,0,f_Id),0),IFERROR(MATCH($U228&amp;"",INDEX(FormData,0,f_Id),0),""))))</f>
        <v/>
      </c>
      <c r="X228">
        <f>IF(AND($B228&lt;&gt;"",$B228='Event Report'!$C$3),ROW(),"")</f>
        <v/>
      </c>
      <c r="Y228">
        <f>IF(AND($P228="✓",$R228=""),IF($Q228="",90000,$Q228)+ROW()/100000,"")</f>
        <v/>
      </c>
      <c r="Z228">
        <f>IF(OR($U228&lt;&gt;"",$D228&lt;&gt;"",$E228&lt;&gt;"",$N228&lt;&gt;""),1,"")</f>
        <v/>
      </c>
    </row>
    <row r="229">
      <c r="A229" s="13" t="inlineStr">
        <is>
          <t>P-0225</t>
        </is>
      </c>
      <c r="B229" s="14">
        <f>IF(AND($U229="",$C229=""),"",IFERROR(INDEX(EvID,MATCH(INDEX(FormData,$W229,f_Event),EvID,0)),IFERROR(INDEX(EvID,MATCH(INDEX(FormData,$W229,f_Event),EvName,0)),IFERROR(INDEX(EvID,MATCH(INT($C229),EvDate,0)),""))))</f>
        <v/>
      </c>
      <c r="C229" s="15">
        <f>IF($W229="","",INDEX(FormData,$W229,f_Time))</f>
        <v/>
      </c>
      <c r="D229" s="14">
        <f>IF($W229="","",IFERROR(UPPER(LEFT(TRIM(INDEX(FormData,$W229,f_Name)),1)&amp;IFERROR(MID(TRIM(INDEX(FormData,$W229,f_Name)),FIND("^",SUBSTITUTE(TRIM(INDEX(FormData,$W229,f_Name))," ","^",LEN(TRIM(INDEX(FormData,$W229,f_Name)))-LEN(SUBSTITUTE(TRIM(INDEX(FormData,$W229,f_Name))," ",""))))+1,1),"")),""))</f>
        <v/>
      </c>
      <c r="E229" s="16">
        <f>IF($W229="","",IFERROR(IF(SUMPRODUCT(MAX((WhoKW&lt;&gt;"")*ISNUMBER(SEARCH(WhoKW,INDEX(FormData,$W229,f_Who)&amp;""))*(ROW(WhoKW)-MIN(ROW(WhoKW))+1)))=0,"",INDEX(WhoVal,SUMPRODUCT(MAX((WhoKW&lt;&gt;"")*ISNUMBER(SEARCH(WhoKW,INDEX(FormData,$W229,f_Who)&amp;""))*(ROW(WhoKW)-MIN(ROW(WhoKW))+1))))),""))</f>
        <v/>
      </c>
      <c r="F229" s="17">
        <f>IF($W229="","",TRIM(IFERROR(INDEX(FormData,$W229,f_Org1)&amp;"","")&amp;" "&amp;IFERROR(INDEX(FormData,$W229,f_Org2)&amp;"","")))</f>
        <v/>
      </c>
      <c r="G229" s="16">
        <f>IF($W229="","",IFERROR(INDEX(FormData,$W229,f_Region)&amp;"",""))</f>
        <v/>
      </c>
      <c r="H229" s="16">
        <f>IF($W229="","",IFERROR(IF(SUMPRODUCT(MAX((SitKW&lt;&gt;"")*ISNUMBER(SEARCH(SitKW,INDEX(FormData,$W229,f_Sit)&amp;""))*(ROW(SitKW)-MIN(ROW(SitKW))+1)))=0,"",INDEX(SitVal,SUMPRODUCT(MAX((SitKW&lt;&gt;"")*ISNUMBER(SEARCH(SitKW,INDEX(FormData,$W229,f_Sit)&amp;""))*(ROW(SitKW)-MIN(ROW(SitKW))+1))))),""))</f>
        <v/>
      </c>
      <c r="I229" s="14">
        <f>IF($W229="","",IFERROR(INDEX(FormData,$W229,f_Appr)&amp;"",""))</f>
        <v/>
      </c>
      <c r="J229" s="16">
        <f>IF($W229="","",IFERROR(INDEX(FormData,$W229,f_Trade)&amp;"",""))</f>
        <v/>
      </c>
      <c r="K229" s="16" t="n"/>
      <c r="L229" s="17" t="n"/>
      <c r="M229" s="16" t="n"/>
      <c r="N229" s="17" t="n"/>
      <c r="O229" s="14" t="n"/>
      <c r="P229" s="14" t="n"/>
      <c r="Q229" s="18" t="n"/>
      <c r="R229" s="18" t="n"/>
      <c r="S229" s="13">
        <f>IF($P229&lt;&gt;"✓","",IF($R229&lt;&gt;"","Done",IF($Q229="","Open — no date",IF($Q229&lt;TODAY(),"Overdue",IF($Q229-TODAY()&lt;=DueSoon,"Due soon","Scheduled")))))</f>
        <v/>
      </c>
      <c r="T229" s="14">
        <f>IF($W229="","",IFERROR(IF(INDEX(FormData,$W229,f_Consent)&amp;""="","",IF(ISNUMBER(SEARCH("yes",INDEX(FormData,$W229,f_Consent))),"Yes","No")),""))</f>
        <v/>
      </c>
      <c r="U229" s="14" t="n"/>
      <c r="V229" s="13">
        <f>IF($U229="","",IF($W229="","not found","✓"))</f>
        <v/>
      </c>
      <c r="W229">
        <f>IF($U229="","",IFERROR(MATCH($U229,INDEX(FormData,0,f_Id),0),IFERROR(MATCH(--$U229,INDEX(FormData,0,f_Id),0),IFERROR(MATCH($U229&amp;"",INDEX(FormData,0,f_Id),0),""))))</f>
        <v/>
      </c>
      <c r="X229">
        <f>IF(AND($B229&lt;&gt;"",$B229='Event Report'!$C$3),ROW(),"")</f>
        <v/>
      </c>
      <c r="Y229">
        <f>IF(AND($P229="✓",$R229=""),IF($Q229="",90000,$Q229)+ROW()/100000,"")</f>
        <v/>
      </c>
      <c r="Z229">
        <f>IF(OR($U229&lt;&gt;"",$D229&lt;&gt;"",$E229&lt;&gt;"",$N229&lt;&gt;""),1,"")</f>
        <v/>
      </c>
    </row>
    <row r="230">
      <c r="A230" s="13" t="inlineStr">
        <is>
          <t>P-0226</t>
        </is>
      </c>
      <c r="B230" s="14">
        <f>IF(AND($U230="",$C230=""),"",IFERROR(INDEX(EvID,MATCH(INDEX(FormData,$W230,f_Event),EvID,0)),IFERROR(INDEX(EvID,MATCH(INDEX(FormData,$W230,f_Event),EvName,0)),IFERROR(INDEX(EvID,MATCH(INT($C230),EvDate,0)),""))))</f>
        <v/>
      </c>
      <c r="C230" s="15">
        <f>IF($W230="","",INDEX(FormData,$W230,f_Time))</f>
        <v/>
      </c>
      <c r="D230" s="14">
        <f>IF($W230="","",IFERROR(UPPER(LEFT(TRIM(INDEX(FormData,$W230,f_Name)),1)&amp;IFERROR(MID(TRIM(INDEX(FormData,$W230,f_Name)),FIND("^",SUBSTITUTE(TRIM(INDEX(FormData,$W230,f_Name))," ","^",LEN(TRIM(INDEX(FormData,$W230,f_Name)))-LEN(SUBSTITUTE(TRIM(INDEX(FormData,$W230,f_Name))," ",""))))+1,1),"")),""))</f>
        <v/>
      </c>
      <c r="E230" s="16">
        <f>IF($W230="","",IFERROR(IF(SUMPRODUCT(MAX((WhoKW&lt;&gt;"")*ISNUMBER(SEARCH(WhoKW,INDEX(FormData,$W230,f_Who)&amp;""))*(ROW(WhoKW)-MIN(ROW(WhoKW))+1)))=0,"",INDEX(WhoVal,SUMPRODUCT(MAX((WhoKW&lt;&gt;"")*ISNUMBER(SEARCH(WhoKW,INDEX(FormData,$W230,f_Who)&amp;""))*(ROW(WhoKW)-MIN(ROW(WhoKW))+1))))),""))</f>
        <v/>
      </c>
      <c r="F230" s="17">
        <f>IF($W230="","",TRIM(IFERROR(INDEX(FormData,$W230,f_Org1)&amp;"","")&amp;" "&amp;IFERROR(INDEX(FormData,$W230,f_Org2)&amp;"","")))</f>
        <v/>
      </c>
      <c r="G230" s="16">
        <f>IF($W230="","",IFERROR(INDEX(FormData,$W230,f_Region)&amp;"",""))</f>
        <v/>
      </c>
      <c r="H230" s="16">
        <f>IF($W230="","",IFERROR(IF(SUMPRODUCT(MAX((SitKW&lt;&gt;"")*ISNUMBER(SEARCH(SitKW,INDEX(FormData,$W230,f_Sit)&amp;""))*(ROW(SitKW)-MIN(ROW(SitKW))+1)))=0,"",INDEX(SitVal,SUMPRODUCT(MAX((SitKW&lt;&gt;"")*ISNUMBER(SEARCH(SitKW,INDEX(FormData,$W230,f_Sit)&amp;""))*(ROW(SitKW)-MIN(ROW(SitKW))+1))))),""))</f>
        <v/>
      </c>
      <c r="I230" s="14">
        <f>IF($W230="","",IFERROR(INDEX(FormData,$W230,f_Appr)&amp;"",""))</f>
        <v/>
      </c>
      <c r="J230" s="16">
        <f>IF($W230="","",IFERROR(INDEX(FormData,$W230,f_Trade)&amp;"",""))</f>
        <v/>
      </c>
      <c r="K230" s="16" t="n"/>
      <c r="L230" s="17" t="n"/>
      <c r="M230" s="16" t="n"/>
      <c r="N230" s="17" t="n"/>
      <c r="O230" s="14" t="n"/>
      <c r="P230" s="14" t="n"/>
      <c r="Q230" s="18" t="n"/>
      <c r="R230" s="18" t="n"/>
      <c r="S230" s="13">
        <f>IF($P230&lt;&gt;"✓","",IF($R230&lt;&gt;"","Done",IF($Q230="","Open — no date",IF($Q230&lt;TODAY(),"Overdue",IF($Q230-TODAY()&lt;=DueSoon,"Due soon","Scheduled")))))</f>
        <v/>
      </c>
      <c r="T230" s="14">
        <f>IF($W230="","",IFERROR(IF(INDEX(FormData,$W230,f_Consent)&amp;""="","",IF(ISNUMBER(SEARCH("yes",INDEX(FormData,$W230,f_Consent))),"Yes","No")),""))</f>
        <v/>
      </c>
      <c r="U230" s="14" t="n"/>
      <c r="V230" s="13">
        <f>IF($U230="","",IF($W230="","not found","✓"))</f>
        <v/>
      </c>
      <c r="W230">
        <f>IF($U230="","",IFERROR(MATCH($U230,INDEX(FormData,0,f_Id),0),IFERROR(MATCH(--$U230,INDEX(FormData,0,f_Id),0),IFERROR(MATCH($U230&amp;"",INDEX(FormData,0,f_Id),0),""))))</f>
        <v/>
      </c>
      <c r="X230">
        <f>IF(AND($B230&lt;&gt;"",$B230='Event Report'!$C$3),ROW(),"")</f>
        <v/>
      </c>
      <c r="Y230">
        <f>IF(AND($P230="✓",$R230=""),IF($Q230="",90000,$Q230)+ROW()/100000,"")</f>
        <v/>
      </c>
      <c r="Z230">
        <f>IF(OR($U230&lt;&gt;"",$D230&lt;&gt;"",$E230&lt;&gt;"",$N230&lt;&gt;""),1,"")</f>
        <v/>
      </c>
    </row>
    <row r="231">
      <c r="A231" s="13" t="inlineStr">
        <is>
          <t>P-0227</t>
        </is>
      </c>
      <c r="B231" s="14">
        <f>IF(AND($U231="",$C231=""),"",IFERROR(INDEX(EvID,MATCH(INDEX(FormData,$W231,f_Event),EvID,0)),IFERROR(INDEX(EvID,MATCH(INDEX(FormData,$W231,f_Event),EvName,0)),IFERROR(INDEX(EvID,MATCH(INT($C231),EvDate,0)),""))))</f>
        <v/>
      </c>
      <c r="C231" s="15">
        <f>IF($W231="","",INDEX(FormData,$W231,f_Time))</f>
        <v/>
      </c>
      <c r="D231" s="14">
        <f>IF($W231="","",IFERROR(UPPER(LEFT(TRIM(INDEX(FormData,$W231,f_Name)),1)&amp;IFERROR(MID(TRIM(INDEX(FormData,$W231,f_Name)),FIND("^",SUBSTITUTE(TRIM(INDEX(FormData,$W231,f_Name))," ","^",LEN(TRIM(INDEX(FormData,$W231,f_Name)))-LEN(SUBSTITUTE(TRIM(INDEX(FormData,$W231,f_Name))," ",""))))+1,1),"")),""))</f>
        <v/>
      </c>
      <c r="E231" s="16">
        <f>IF($W231="","",IFERROR(IF(SUMPRODUCT(MAX((WhoKW&lt;&gt;"")*ISNUMBER(SEARCH(WhoKW,INDEX(FormData,$W231,f_Who)&amp;""))*(ROW(WhoKW)-MIN(ROW(WhoKW))+1)))=0,"",INDEX(WhoVal,SUMPRODUCT(MAX((WhoKW&lt;&gt;"")*ISNUMBER(SEARCH(WhoKW,INDEX(FormData,$W231,f_Who)&amp;""))*(ROW(WhoKW)-MIN(ROW(WhoKW))+1))))),""))</f>
        <v/>
      </c>
      <c r="F231" s="17">
        <f>IF($W231="","",TRIM(IFERROR(INDEX(FormData,$W231,f_Org1)&amp;"","")&amp;" "&amp;IFERROR(INDEX(FormData,$W231,f_Org2)&amp;"","")))</f>
        <v/>
      </c>
      <c r="G231" s="16">
        <f>IF($W231="","",IFERROR(INDEX(FormData,$W231,f_Region)&amp;"",""))</f>
        <v/>
      </c>
      <c r="H231" s="16">
        <f>IF($W231="","",IFERROR(IF(SUMPRODUCT(MAX((SitKW&lt;&gt;"")*ISNUMBER(SEARCH(SitKW,INDEX(FormData,$W231,f_Sit)&amp;""))*(ROW(SitKW)-MIN(ROW(SitKW))+1)))=0,"",INDEX(SitVal,SUMPRODUCT(MAX((SitKW&lt;&gt;"")*ISNUMBER(SEARCH(SitKW,INDEX(FormData,$W231,f_Sit)&amp;""))*(ROW(SitKW)-MIN(ROW(SitKW))+1))))),""))</f>
        <v/>
      </c>
      <c r="I231" s="14">
        <f>IF($W231="","",IFERROR(INDEX(FormData,$W231,f_Appr)&amp;"",""))</f>
        <v/>
      </c>
      <c r="J231" s="16">
        <f>IF($W231="","",IFERROR(INDEX(FormData,$W231,f_Trade)&amp;"",""))</f>
        <v/>
      </c>
      <c r="K231" s="16" t="n"/>
      <c r="L231" s="17" t="n"/>
      <c r="M231" s="16" t="n"/>
      <c r="N231" s="17" t="n"/>
      <c r="O231" s="14" t="n"/>
      <c r="P231" s="14" t="n"/>
      <c r="Q231" s="18" t="n"/>
      <c r="R231" s="18" t="n"/>
      <c r="S231" s="13">
        <f>IF($P231&lt;&gt;"✓","",IF($R231&lt;&gt;"","Done",IF($Q231="","Open — no date",IF($Q231&lt;TODAY(),"Overdue",IF($Q231-TODAY()&lt;=DueSoon,"Due soon","Scheduled")))))</f>
        <v/>
      </c>
      <c r="T231" s="14">
        <f>IF($W231="","",IFERROR(IF(INDEX(FormData,$W231,f_Consent)&amp;""="","",IF(ISNUMBER(SEARCH("yes",INDEX(FormData,$W231,f_Consent))),"Yes","No")),""))</f>
        <v/>
      </c>
      <c r="U231" s="14" t="n"/>
      <c r="V231" s="13">
        <f>IF($U231="","",IF($W231="","not found","✓"))</f>
        <v/>
      </c>
      <c r="W231">
        <f>IF($U231="","",IFERROR(MATCH($U231,INDEX(FormData,0,f_Id),0),IFERROR(MATCH(--$U231,INDEX(FormData,0,f_Id),0),IFERROR(MATCH($U231&amp;"",INDEX(FormData,0,f_Id),0),""))))</f>
        <v/>
      </c>
      <c r="X231">
        <f>IF(AND($B231&lt;&gt;"",$B231='Event Report'!$C$3),ROW(),"")</f>
        <v/>
      </c>
      <c r="Y231">
        <f>IF(AND($P231="✓",$R231=""),IF($Q231="",90000,$Q231)+ROW()/100000,"")</f>
        <v/>
      </c>
      <c r="Z231">
        <f>IF(OR($U231&lt;&gt;"",$D231&lt;&gt;"",$E231&lt;&gt;"",$N231&lt;&gt;""),1,"")</f>
        <v/>
      </c>
    </row>
    <row r="232">
      <c r="A232" s="13" t="inlineStr">
        <is>
          <t>P-0228</t>
        </is>
      </c>
      <c r="B232" s="14">
        <f>IF(AND($U232="",$C232=""),"",IFERROR(INDEX(EvID,MATCH(INDEX(FormData,$W232,f_Event),EvID,0)),IFERROR(INDEX(EvID,MATCH(INDEX(FormData,$W232,f_Event),EvName,0)),IFERROR(INDEX(EvID,MATCH(INT($C232),EvDate,0)),""))))</f>
        <v/>
      </c>
      <c r="C232" s="15">
        <f>IF($W232="","",INDEX(FormData,$W232,f_Time))</f>
        <v/>
      </c>
      <c r="D232" s="14">
        <f>IF($W232="","",IFERROR(UPPER(LEFT(TRIM(INDEX(FormData,$W232,f_Name)),1)&amp;IFERROR(MID(TRIM(INDEX(FormData,$W232,f_Name)),FIND("^",SUBSTITUTE(TRIM(INDEX(FormData,$W232,f_Name))," ","^",LEN(TRIM(INDEX(FormData,$W232,f_Name)))-LEN(SUBSTITUTE(TRIM(INDEX(FormData,$W232,f_Name))," ",""))))+1,1),"")),""))</f>
        <v/>
      </c>
      <c r="E232" s="16">
        <f>IF($W232="","",IFERROR(IF(SUMPRODUCT(MAX((WhoKW&lt;&gt;"")*ISNUMBER(SEARCH(WhoKW,INDEX(FormData,$W232,f_Who)&amp;""))*(ROW(WhoKW)-MIN(ROW(WhoKW))+1)))=0,"",INDEX(WhoVal,SUMPRODUCT(MAX((WhoKW&lt;&gt;"")*ISNUMBER(SEARCH(WhoKW,INDEX(FormData,$W232,f_Who)&amp;""))*(ROW(WhoKW)-MIN(ROW(WhoKW))+1))))),""))</f>
        <v/>
      </c>
      <c r="F232" s="17">
        <f>IF($W232="","",TRIM(IFERROR(INDEX(FormData,$W232,f_Org1)&amp;"","")&amp;" "&amp;IFERROR(INDEX(FormData,$W232,f_Org2)&amp;"","")))</f>
        <v/>
      </c>
      <c r="G232" s="16">
        <f>IF($W232="","",IFERROR(INDEX(FormData,$W232,f_Region)&amp;"",""))</f>
        <v/>
      </c>
      <c r="H232" s="16">
        <f>IF($W232="","",IFERROR(IF(SUMPRODUCT(MAX((SitKW&lt;&gt;"")*ISNUMBER(SEARCH(SitKW,INDEX(FormData,$W232,f_Sit)&amp;""))*(ROW(SitKW)-MIN(ROW(SitKW))+1)))=0,"",INDEX(SitVal,SUMPRODUCT(MAX((SitKW&lt;&gt;"")*ISNUMBER(SEARCH(SitKW,INDEX(FormData,$W232,f_Sit)&amp;""))*(ROW(SitKW)-MIN(ROW(SitKW))+1))))),""))</f>
        <v/>
      </c>
      <c r="I232" s="14">
        <f>IF($W232="","",IFERROR(INDEX(FormData,$W232,f_Appr)&amp;"",""))</f>
        <v/>
      </c>
      <c r="J232" s="16">
        <f>IF($W232="","",IFERROR(INDEX(FormData,$W232,f_Trade)&amp;"",""))</f>
        <v/>
      </c>
      <c r="K232" s="16" t="n"/>
      <c r="L232" s="17" t="n"/>
      <c r="M232" s="16" t="n"/>
      <c r="N232" s="17" t="n"/>
      <c r="O232" s="14" t="n"/>
      <c r="P232" s="14" t="n"/>
      <c r="Q232" s="18" t="n"/>
      <c r="R232" s="18" t="n"/>
      <c r="S232" s="13">
        <f>IF($P232&lt;&gt;"✓","",IF($R232&lt;&gt;"","Done",IF($Q232="","Open — no date",IF($Q232&lt;TODAY(),"Overdue",IF($Q232-TODAY()&lt;=DueSoon,"Due soon","Scheduled")))))</f>
        <v/>
      </c>
      <c r="T232" s="14">
        <f>IF($W232="","",IFERROR(IF(INDEX(FormData,$W232,f_Consent)&amp;""="","",IF(ISNUMBER(SEARCH("yes",INDEX(FormData,$W232,f_Consent))),"Yes","No")),""))</f>
        <v/>
      </c>
      <c r="U232" s="14" t="n"/>
      <c r="V232" s="13">
        <f>IF($U232="","",IF($W232="","not found","✓"))</f>
        <v/>
      </c>
      <c r="W232">
        <f>IF($U232="","",IFERROR(MATCH($U232,INDEX(FormData,0,f_Id),0),IFERROR(MATCH(--$U232,INDEX(FormData,0,f_Id),0),IFERROR(MATCH($U232&amp;"",INDEX(FormData,0,f_Id),0),""))))</f>
        <v/>
      </c>
      <c r="X232">
        <f>IF(AND($B232&lt;&gt;"",$B232='Event Report'!$C$3),ROW(),"")</f>
        <v/>
      </c>
      <c r="Y232">
        <f>IF(AND($P232="✓",$R232=""),IF($Q232="",90000,$Q232)+ROW()/100000,"")</f>
        <v/>
      </c>
      <c r="Z232">
        <f>IF(OR($U232&lt;&gt;"",$D232&lt;&gt;"",$E232&lt;&gt;"",$N232&lt;&gt;""),1,"")</f>
        <v/>
      </c>
    </row>
    <row r="233">
      <c r="A233" s="13" t="inlineStr">
        <is>
          <t>P-0229</t>
        </is>
      </c>
      <c r="B233" s="14">
        <f>IF(AND($U233="",$C233=""),"",IFERROR(INDEX(EvID,MATCH(INDEX(FormData,$W233,f_Event),EvID,0)),IFERROR(INDEX(EvID,MATCH(INDEX(FormData,$W233,f_Event),EvName,0)),IFERROR(INDEX(EvID,MATCH(INT($C233),EvDate,0)),""))))</f>
        <v/>
      </c>
      <c r="C233" s="15">
        <f>IF($W233="","",INDEX(FormData,$W233,f_Time))</f>
        <v/>
      </c>
      <c r="D233" s="14">
        <f>IF($W233="","",IFERROR(UPPER(LEFT(TRIM(INDEX(FormData,$W233,f_Name)),1)&amp;IFERROR(MID(TRIM(INDEX(FormData,$W233,f_Name)),FIND("^",SUBSTITUTE(TRIM(INDEX(FormData,$W233,f_Name))," ","^",LEN(TRIM(INDEX(FormData,$W233,f_Name)))-LEN(SUBSTITUTE(TRIM(INDEX(FormData,$W233,f_Name))," ",""))))+1,1),"")),""))</f>
        <v/>
      </c>
      <c r="E233" s="16">
        <f>IF($W233="","",IFERROR(IF(SUMPRODUCT(MAX((WhoKW&lt;&gt;"")*ISNUMBER(SEARCH(WhoKW,INDEX(FormData,$W233,f_Who)&amp;""))*(ROW(WhoKW)-MIN(ROW(WhoKW))+1)))=0,"",INDEX(WhoVal,SUMPRODUCT(MAX((WhoKW&lt;&gt;"")*ISNUMBER(SEARCH(WhoKW,INDEX(FormData,$W233,f_Who)&amp;""))*(ROW(WhoKW)-MIN(ROW(WhoKW))+1))))),""))</f>
        <v/>
      </c>
      <c r="F233" s="17">
        <f>IF($W233="","",TRIM(IFERROR(INDEX(FormData,$W233,f_Org1)&amp;"","")&amp;" "&amp;IFERROR(INDEX(FormData,$W233,f_Org2)&amp;"","")))</f>
        <v/>
      </c>
      <c r="G233" s="16">
        <f>IF($W233="","",IFERROR(INDEX(FormData,$W233,f_Region)&amp;"",""))</f>
        <v/>
      </c>
      <c r="H233" s="16">
        <f>IF($W233="","",IFERROR(IF(SUMPRODUCT(MAX((SitKW&lt;&gt;"")*ISNUMBER(SEARCH(SitKW,INDEX(FormData,$W233,f_Sit)&amp;""))*(ROW(SitKW)-MIN(ROW(SitKW))+1)))=0,"",INDEX(SitVal,SUMPRODUCT(MAX((SitKW&lt;&gt;"")*ISNUMBER(SEARCH(SitKW,INDEX(FormData,$W233,f_Sit)&amp;""))*(ROW(SitKW)-MIN(ROW(SitKW))+1))))),""))</f>
        <v/>
      </c>
      <c r="I233" s="14">
        <f>IF($W233="","",IFERROR(INDEX(FormData,$W233,f_Appr)&amp;"",""))</f>
        <v/>
      </c>
      <c r="J233" s="16">
        <f>IF($W233="","",IFERROR(INDEX(FormData,$W233,f_Trade)&amp;"",""))</f>
        <v/>
      </c>
      <c r="K233" s="16" t="n"/>
      <c r="L233" s="17" t="n"/>
      <c r="M233" s="16" t="n"/>
      <c r="N233" s="17" t="n"/>
      <c r="O233" s="14" t="n"/>
      <c r="P233" s="14" t="n"/>
      <c r="Q233" s="18" t="n"/>
      <c r="R233" s="18" t="n"/>
      <c r="S233" s="13">
        <f>IF($P233&lt;&gt;"✓","",IF($R233&lt;&gt;"","Done",IF($Q233="","Open — no date",IF($Q233&lt;TODAY(),"Overdue",IF($Q233-TODAY()&lt;=DueSoon,"Due soon","Scheduled")))))</f>
        <v/>
      </c>
      <c r="T233" s="14">
        <f>IF($W233="","",IFERROR(IF(INDEX(FormData,$W233,f_Consent)&amp;""="","",IF(ISNUMBER(SEARCH("yes",INDEX(FormData,$W233,f_Consent))),"Yes","No")),""))</f>
        <v/>
      </c>
      <c r="U233" s="14" t="n"/>
      <c r="V233" s="13">
        <f>IF($U233="","",IF($W233="","not found","✓"))</f>
        <v/>
      </c>
      <c r="W233">
        <f>IF($U233="","",IFERROR(MATCH($U233,INDEX(FormData,0,f_Id),0),IFERROR(MATCH(--$U233,INDEX(FormData,0,f_Id),0),IFERROR(MATCH($U233&amp;"",INDEX(FormData,0,f_Id),0),""))))</f>
        <v/>
      </c>
      <c r="X233">
        <f>IF(AND($B233&lt;&gt;"",$B233='Event Report'!$C$3),ROW(),"")</f>
        <v/>
      </c>
      <c r="Y233">
        <f>IF(AND($P233="✓",$R233=""),IF($Q233="",90000,$Q233)+ROW()/100000,"")</f>
        <v/>
      </c>
      <c r="Z233">
        <f>IF(OR($U233&lt;&gt;"",$D233&lt;&gt;"",$E233&lt;&gt;"",$N233&lt;&gt;""),1,"")</f>
        <v/>
      </c>
    </row>
    <row r="234">
      <c r="A234" s="13" t="inlineStr">
        <is>
          <t>P-0230</t>
        </is>
      </c>
      <c r="B234" s="14">
        <f>IF(AND($U234="",$C234=""),"",IFERROR(INDEX(EvID,MATCH(INDEX(FormData,$W234,f_Event),EvID,0)),IFERROR(INDEX(EvID,MATCH(INDEX(FormData,$W234,f_Event),EvName,0)),IFERROR(INDEX(EvID,MATCH(INT($C234),EvDate,0)),""))))</f>
        <v/>
      </c>
      <c r="C234" s="15">
        <f>IF($W234="","",INDEX(FormData,$W234,f_Time))</f>
        <v/>
      </c>
      <c r="D234" s="14">
        <f>IF($W234="","",IFERROR(UPPER(LEFT(TRIM(INDEX(FormData,$W234,f_Name)),1)&amp;IFERROR(MID(TRIM(INDEX(FormData,$W234,f_Name)),FIND("^",SUBSTITUTE(TRIM(INDEX(FormData,$W234,f_Name))," ","^",LEN(TRIM(INDEX(FormData,$W234,f_Name)))-LEN(SUBSTITUTE(TRIM(INDEX(FormData,$W234,f_Name))," ",""))))+1,1),"")),""))</f>
        <v/>
      </c>
      <c r="E234" s="16">
        <f>IF($W234="","",IFERROR(IF(SUMPRODUCT(MAX((WhoKW&lt;&gt;"")*ISNUMBER(SEARCH(WhoKW,INDEX(FormData,$W234,f_Who)&amp;""))*(ROW(WhoKW)-MIN(ROW(WhoKW))+1)))=0,"",INDEX(WhoVal,SUMPRODUCT(MAX((WhoKW&lt;&gt;"")*ISNUMBER(SEARCH(WhoKW,INDEX(FormData,$W234,f_Who)&amp;""))*(ROW(WhoKW)-MIN(ROW(WhoKW))+1))))),""))</f>
        <v/>
      </c>
      <c r="F234" s="17">
        <f>IF($W234="","",TRIM(IFERROR(INDEX(FormData,$W234,f_Org1)&amp;"","")&amp;" "&amp;IFERROR(INDEX(FormData,$W234,f_Org2)&amp;"","")))</f>
        <v/>
      </c>
      <c r="G234" s="16">
        <f>IF($W234="","",IFERROR(INDEX(FormData,$W234,f_Region)&amp;"",""))</f>
        <v/>
      </c>
      <c r="H234" s="16">
        <f>IF($W234="","",IFERROR(IF(SUMPRODUCT(MAX((SitKW&lt;&gt;"")*ISNUMBER(SEARCH(SitKW,INDEX(FormData,$W234,f_Sit)&amp;""))*(ROW(SitKW)-MIN(ROW(SitKW))+1)))=0,"",INDEX(SitVal,SUMPRODUCT(MAX((SitKW&lt;&gt;"")*ISNUMBER(SEARCH(SitKW,INDEX(FormData,$W234,f_Sit)&amp;""))*(ROW(SitKW)-MIN(ROW(SitKW))+1))))),""))</f>
        <v/>
      </c>
      <c r="I234" s="14">
        <f>IF($W234="","",IFERROR(INDEX(FormData,$W234,f_Appr)&amp;"",""))</f>
        <v/>
      </c>
      <c r="J234" s="16">
        <f>IF($W234="","",IFERROR(INDEX(FormData,$W234,f_Trade)&amp;"",""))</f>
        <v/>
      </c>
      <c r="K234" s="16" t="n"/>
      <c r="L234" s="17" t="n"/>
      <c r="M234" s="16" t="n"/>
      <c r="N234" s="17" t="n"/>
      <c r="O234" s="14" t="n"/>
      <c r="P234" s="14" t="n"/>
      <c r="Q234" s="18" t="n"/>
      <c r="R234" s="18" t="n"/>
      <c r="S234" s="13">
        <f>IF($P234&lt;&gt;"✓","",IF($R234&lt;&gt;"","Done",IF($Q234="","Open — no date",IF($Q234&lt;TODAY(),"Overdue",IF($Q234-TODAY()&lt;=DueSoon,"Due soon","Scheduled")))))</f>
        <v/>
      </c>
      <c r="T234" s="14">
        <f>IF($W234="","",IFERROR(IF(INDEX(FormData,$W234,f_Consent)&amp;""="","",IF(ISNUMBER(SEARCH("yes",INDEX(FormData,$W234,f_Consent))),"Yes","No")),""))</f>
        <v/>
      </c>
      <c r="U234" s="14" t="n"/>
      <c r="V234" s="13">
        <f>IF($U234="","",IF($W234="","not found","✓"))</f>
        <v/>
      </c>
      <c r="W234">
        <f>IF($U234="","",IFERROR(MATCH($U234,INDEX(FormData,0,f_Id),0),IFERROR(MATCH(--$U234,INDEX(FormData,0,f_Id),0),IFERROR(MATCH($U234&amp;"",INDEX(FormData,0,f_Id),0),""))))</f>
        <v/>
      </c>
      <c r="X234">
        <f>IF(AND($B234&lt;&gt;"",$B234='Event Report'!$C$3),ROW(),"")</f>
        <v/>
      </c>
      <c r="Y234">
        <f>IF(AND($P234="✓",$R234=""),IF($Q234="",90000,$Q234)+ROW()/100000,"")</f>
        <v/>
      </c>
      <c r="Z234">
        <f>IF(OR($U234&lt;&gt;"",$D234&lt;&gt;"",$E234&lt;&gt;"",$N234&lt;&gt;""),1,"")</f>
        <v/>
      </c>
    </row>
    <row r="235">
      <c r="A235" s="13" t="inlineStr">
        <is>
          <t>P-0231</t>
        </is>
      </c>
      <c r="B235" s="14">
        <f>IF(AND($U235="",$C235=""),"",IFERROR(INDEX(EvID,MATCH(INDEX(FormData,$W235,f_Event),EvID,0)),IFERROR(INDEX(EvID,MATCH(INDEX(FormData,$W235,f_Event),EvName,0)),IFERROR(INDEX(EvID,MATCH(INT($C235),EvDate,0)),""))))</f>
        <v/>
      </c>
      <c r="C235" s="15">
        <f>IF($W235="","",INDEX(FormData,$W235,f_Time))</f>
        <v/>
      </c>
      <c r="D235" s="14">
        <f>IF($W235="","",IFERROR(UPPER(LEFT(TRIM(INDEX(FormData,$W235,f_Name)),1)&amp;IFERROR(MID(TRIM(INDEX(FormData,$W235,f_Name)),FIND("^",SUBSTITUTE(TRIM(INDEX(FormData,$W235,f_Name))," ","^",LEN(TRIM(INDEX(FormData,$W235,f_Name)))-LEN(SUBSTITUTE(TRIM(INDEX(FormData,$W235,f_Name))," ",""))))+1,1),"")),""))</f>
        <v/>
      </c>
      <c r="E235" s="16">
        <f>IF($W235="","",IFERROR(IF(SUMPRODUCT(MAX((WhoKW&lt;&gt;"")*ISNUMBER(SEARCH(WhoKW,INDEX(FormData,$W235,f_Who)&amp;""))*(ROW(WhoKW)-MIN(ROW(WhoKW))+1)))=0,"",INDEX(WhoVal,SUMPRODUCT(MAX((WhoKW&lt;&gt;"")*ISNUMBER(SEARCH(WhoKW,INDEX(FormData,$W235,f_Who)&amp;""))*(ROW(WhoKW)-MIN(ROW(WhoKW))+1))))),""))</f>
        <v/>
      </c>
      <c r="F235" s="17">
        <f>IF($W235="","",TRIM(IFERROR(INDEX(FormData,$W235,f_Org1)&amp;"","")&amp;" "&amp;IFERROR(INDEX(FormData,$W235,f_Org2)&amp;"","")))</f>
        <v/>
      </c>
      <c r="G235" s="16">
        <f>IF($W235="","",IFERROR(INDEX(FormData,$W235,f_Region)&amp;"",""))</f>
        <v/>
      </c>
      <c r="H235" s="16">
        <f>IF($W235="","",IFERROR(IF(SUMPRODUCT(MAX((SitKW&lt;&gt;"")*ISNUMBER(SEARCH(SitKW,INDEX(FormData,$W235,f_Sit)&amp;""))*(ROW(SitKW)-MIN(ROW(SitKW))+1)))=0,"",INDEX(SitVal,SUMPRODUCT(MAX((SitKW&lt;&gt;"")*ISNUMBER(SEARCH(SitKW,INDEX(FormData,$W235,f_Sit)&amp;""))*(ROW(SitKW)-MIN(ROW(SitKW))+1))))),""))</f>
        <v/>
      </c>
      <c r="I235" s="14">
        <f>IF($W235="","",IFERROR(INDEX(FormData,$W235,f_Appr)&amp;"",""))</f>
        <v/>
      </c>
      <c r="J235" s="16">
        <f>IF($W235="","",IFERROR(INDEX(FormData,$W235,f_Trade)&amp;"",""))</f>
        <v/>
      </c>
      <c r="K235" s="16" t="n"/>
      <c r="L235" s="17" t="n"/>
      <c r="M235" s="16" t="n"/>
      <c r="N235" s="17" t="n"/>
      <c r="O235" s="14" t="n"/>
      <c r="P235" s="14" t="n"/>
      <c r="Q235" s="18" t="n"/>
      <c r="R235" s="18" t="n"/>
      <c r="S235" s="13">
        <f>IF($P235&lt;&gt;"✓","",IF($R235&lt;&gt;"","Done",IF($Q235="","Open — no date",IF($Q235&lt;TODAY(),"Overdue",IF($Q235-TODAY()&lt;=DueSoon,"Due soon","Scheduled")))))</f>
        <v/>
      </c>
      <c r="T235" s="14">
        <f>IF($W235="","",IFERROR(IF(INDEX(FormData,$W235,f_Consent)&amp;""="","",IF(ISNUMBER(SEARCH("yes",INDEX(FormData,$W235,f_Consent))),"Yes","No")),""))</f>
        <v/>
      </c>
      <c r="U235" s="14" t="n"/>
      <c r="V235" s="13">
        <f>IF($U235="","",IF($W235="","not found","✓"))</f>
        <v/>
      </c>
      <c r="W235">
        <f>IF($U235="","",IFERROR(MATCH($U235,INDEX(FormData,0,f_Id),0),IFERROR(MATCH(--$U235,INDEX(FormData,0,f_Id),0),IFERROR(MATCH($U235&amp;"",INDEX(FormData,0,f_Id),0),""))))</f>
        <v/>
      </c>
      <c r="X235">
        <f>IF(AND($B235&lt;&gt;"",$B235='Event Report'!$C$3),ROW(),"")</f>
        <v/>
      </c>
      <c r="Y235">
        <f>IF(AND($P235="✓",$R235=""),IF($Q235="",90000,$Q235)+ROW()/100000,"")</f>
        <v/>
      </c>
      <c r="Z235">
        <f>IF(OR($U235&lt;&gt;"",$D235&lt;&gt;"",$E235&lt;&gt;"",$N235&lt;&gt;""),1,"")</f>
        <v/>
      </c>
    </row>
    <row r="236">
      <c r="A236" s="13" t="inlineStr">
        <is>
          <t>P-0232</t>
        </is>
      </c>
      <c r="B236" s="14">
        <f>IF(AND($U236="",$C236=""),"",IFERROR(INDEX(EvID,MATCH(INDEX(FormData,$W236,f_Event),EvID,0)),IFERROR(INDEX(EvID,MATCH(INDEX(FormData,$W236,f_Event),EvName,0)),IFERROR(INDEX(EvID,MATCH(INT($C236),EvDate,0)),""))))</f>
        <v/>
      </c>
      <c r="C236" s="15">
        <f>IF($W236="","",INDEX(FormData,$W236,f_Time))</f>
        <v/>
      </c>
      <c r="D236" s="14">
        <f>IF($W236="","",IFERROR(UPPER(LEFT(TRIM(INDEX(FormData,$W236,f_Name)),1)&amp;IFERROR(MID(TRIM(INDEX(FormData,$W236,f_Name)),FIND("^",SUBSTITUTE(TRIM(INDEX(FormData,$W236,f_Name))," ","^",LEN(TRIM(INDEX(FormData,$W236,f_Name)))-LEN(SUBSTITUTE(TRIM(INDEX(FormData,$W236,f_Name))," ",""))))+1,1),"")),""))</f>
        <v/>
      </c>
      <c r="E236" s="16">
        <f>IF($W236="","",IFERROR(IF(SUMPRODUCT(MAX((WhoKW&lt;&gt;"")*ISNUMBER(SEARCH(WhoKW,INDEX(FormData,$W236,f_Who)&amp;""))*(ROW(WhoKW)-MIN(ROW(WhoKW))+1)))=0,"",INDEX(WhoVal,SUMPRODUCT(MAX((WhoKW&lt;&gt;"")*ISNUMBER(SEARCH(WhoKW,INDEX(FormData,$W236,f_Who)&amp;""))*(ROW(WhoKW)-MIN(ROW(WhoKW))+1))))),""))</f>
        <v/>
      </c>
      <c r="F236" s="17">
        <f>IF($W236="","",TRIM(IFERROR(INDEX(FormData,$W236,f_Org1)&amp;"","")&amp;" "&amp;IFERROR(INDEX(FormData,$W236,f_Org2)&amp;"","")))</f>
        <v/>
      </c>
      <c r="G236" s="16">
        <f>IF($W236="","",IFERROR(INDEX(FormData,$W236,f_Region)&amp;"",""))</f>
        <v/>
      </c>
      <c r="H236" s="16">
        <f>IF($W236="","",IFERROR(IF(SUMPRODUCT(MAX((SitKW&lt;&gt;"")*ISNUMBER(SEARCH(SitKW,INDEX(FormData,$W236,f_Sit)&amp;""))*(ROW(SitKW)-MIN(ROW(SitKW))+1)))=0,"",INDEX(SitVal,SUMPRODUCT(MAX((SitKW&lt;&gt;"")*ISNUMBER(SEARCH(SitKW,INDEX(FormData,$W236,f_Sit)&amp;""))*(ROW(SitKW)-MIN(ROW(SitKW))+1))))),""))</f>
        <v/>
      </c>
      <c r="I236" s="14">
        <f>IF($W236="","",IFERROR(INDEX(FormData,$W236,f_Appr)&amp;"",""))</f>
        <v/>
      </c>
      <c r="J236" s="16">
        <f>IF($W236="","",IFERROR(INDEX(FormData,$W236,f_Trade)&amp;"",""))</f>
        <v/>
      </c>
      <c r="K236" s="16" t="n"/>
      <c r="L236" s="17" t="n"/>
      <c r="M236" s="16" t="n"/>
      <c r="N236" s="17" t="n"/>
      <c r="O236" s="14" t="n"/>
      <c r="P236" s="14" t="n"/>
      <c r="Q236" s="18" t="n"/>
      <c r="R236" s="18" t="n"/>
      <c r="S236" s="13">
        <f>IF($P236&lt;&gt;"✓","",IF($R236&lt;&gt;"","Done",IF($Q236="","Open — no date",IF($Q236&lt;TODAY(),"Overdue",IF($Q236-TODAY()&lt;=DueSoon,"Due soon","Scheduled")))))</f>
        <v/>
      </c>
      <c r="T236" s="14">
        <f>IF($W236="","",IFERROR(IF(INDEX(FormData,$W236,f_Consent)&amp;""="","",IF(ISNUMBER(SEARCH("yes",INDEX(FormData,$W236,f_Consent))),"Yes","No")),""))</f>
        <v/>
      </c>
      <c r="U236" s="14" t="n"/>
      <c r="V236" s="13">
        <f>IF($U236="","",IF($W236="","not found","✓"))</f>
        <v/>
      </c>
      <c r="W236">
        <f>IF($U236="","",IFERROR(MATCH($U236,INDEX(FormData,0,f_Id),0),IFERROR(MATCH(--$U236,INDEX(FormData,0,f_Id),0),IFERROR(MATCH($U236&amp;"",INDEX(FormData,0,f_Id),0),""))))</f>
        <v/>
      </c>
      <c r="X236">
        <f>IF(AND($B236&lt;&gt;"",$B236='Event Report'!$C$3),ROW(),"")</f>
        <v/>
      </c>
      <c r="Y236">
        <f>IF(AND($P236="✓",$R236=""),IF($Q236="",90000,$Q236)+ROW()/100000,"")</f>
        <v/>
      </c>
      <c r="Z236">
        <f>IF(OR($U236&lt;&gt;"",$D236&lt;&gt;"",$E236&lt;&gt;"",$N236&lt;&gt;""),1,"")</f>
        <v/>
      </c>
    </row>
    <row r="237">
      <c r="A237" s="13" t="inlineStr">
        <is>
          <t>P-0233</t>
        </is>
      </c>
      <c r="B237" s="14">
        <f>IF(AND($U237="",$C237=""),"",IFERROR(INDEX(EvID,MATCH(INDEX(FormData,$W237,f_Event),EvID,0)),IFERROR(INDEX(EvID,MATCH(INDEX(FormData,$W237,f_Event),EvName,0)),IFERROR(INDEX(EvID,MATCH(INT($C237),EvDate,0)),""))))</f>
        <v/>
      </c>
      <c r="C237" s="15">
        <f>IF($W237="","",INDEX(FormData,$W237,f_Time))</f>
        <v/>
      </c>
      <c r="D237" s="14">
        <f>IF($W237="","",IFERROR(UPPER(LEFT(TRIM(INDEX(FormData,$W237,f_Name)),1)&amp;IFERROR(MID(TRIM(INDEX(FormData,$W237,f_Name)),FIND("^",SUBSTITUTE(TRIM(INDEX(FormData,$W237,f_Name))," ","^",LEN(TRIM(INDEX(FormData,$W237,f_Name)))-LEN(SUBSTITUTE(TRIM(INDEX(FormData,$W237,f_Name))," ",""))))+1,1),"")),""))</f>
        <v/>
      </c>
      <c r="E237" s="16">
        <f>IF($W237="","",IFERROR(IF(SUMPRODUCT(MAX((WhoKW&lt;&gt;"")*ISNUMBER(SEARCH(WhoKW,INDEX(FormData,$W237,f_Who)&amp;""))*(ROW(WhoKW)-MIN(ROW(WhoKW))+1)))=0,"",INDEX(WhoVal,SUMPRODUCT(MAX((WhoKW&lt;&gt;"")*ISNUMBER(SEARCH(WhoKW,INDEX(FormData,$W237,f_Who)&amp;""))*(ROW(WhoKW)-MIN(ROW(WhoKW))+1))))),""))</f>
        <v/>
      </c>
      <c r="F237" s="17">
        <f>IF($W237="","",TRIM(IFERROR(INDEX(FormData,$W237,f_Org1)&amp;"","")&amp;" "&amp;IFERROR(INDEX(FormData,$W237,f_Org2)&amp;"","")))</f>
        <v/>
      </c>
      <c r="G237" s="16">
        <f>IF($W237="","",IFERROR(INDEX(FormData,$W237,f_Region)&amp;"",""))</f>
        <v/>
      </c>
      <c r="H237" s="16">
        <f>IF($W237="","",IFERROR(IF(SUMPRODUCT(MAX((SitKW&lt;&gt;"")*ISNUMBER(SEARCH(SitKW,INDEX(FormData,$W237,f_Sit)&amp;""))*(ROW(SitKW)-MIN(ROW(SitKW))+1)))=0,"",INDEX(SitVal,SUMPRODUCT(MAX((SitKW&lt;&gt;"")*ISNUMBER(SEARCH(SitKW,INDEX(FormData,$W237,f_Sit)&amp;""))*(ROW(SitKW)-MIN(ROW(SitKW))+1))))),""))</f>
        <v/>
      </c>
      <c r="I237" s="14">
        <f>IF($W237="","",IFERROR(INDEX(FormData,$W237,f_Appr)&amp;"",""))</f>
        <v/>
      </c>
      <c r="J237" s="16">
        <f>IF($W237="","",IFERROR(INDEX(FormData,$W237,f_Trade)&amp;"",""))</f>
        <v/>
      </c>
      <c r="K237" s="16" t="n"/>
      <c r="L237" s="17" t="n"/>
      <c r="M237" s="16" t="n"/>
      <c r="N237" s="17" t="n"/>
      <c r="O237" s="14" t="n"/>
      <c r="P237" s="14" t="n"/>
      <c r="Q237" s="18" t="n"/>
      <c r="R237" s="18" t="n"/>
      <c r="S237" s="13">
        <f>IF($P237&lt;&gt;"✓","",IF($R237&lt;&gt;"","Done",IF($Q237="","Open — no date",IF($Q237&lt;TODAY(),"Overdue",IF($Q237-TODAY()&lt;=DueSoon,"Due soon","Scheduled")))))</f>
        <v/>
      </c>
      <c r="T237" s="14">
        <f>IF($W237="","",IFERROR(IF(INDEX(FormData,$W237,f_Consent)&amp;""="","",IF(ISNUMBER(SEARCH("yes",INDEX(FormData,$W237,f_Consent))),"Yes","No")),""))</f>
        <v/>
      </c>
      <c r="U237" s="14" t="n"/>
      <c r="V237" s="13">
        <f>IF($U237="","",IF($W237="","not found","✓"))</f>
        <v/>
      </c>
      <c r="W237">
        <f>IF($U237="","",IFERROR(MATCH($U237,INDEX(FormData,0,f_Id),0),IFERROR(MATCH(--$U237,INDEX(FormData,0,f_Id),0),IFERROR(MATCH($U237&amp;"",INDEX(FormData,0,f_Id),0),""))))</f>
        <v/>
      </c>
      <c r="X237">
        <f>IF(AND($B237&lt;&gt;"",$B237='Event Report'!$C$3),ROW(),"")</f>
        <v/>
      </c>
      <c r="Y237">
        <f>IF(AND($P237="✓",$R237=""),IF($Q237="",90000,$Q237)+ROW()/100000,"")</f>
        <v/>
      </c>
      <c r="Z237">
        <f>IF(OR($U237&lt;&gt;"",$D237&lt;&gt;"",$E237&lt;&gt;"",$N237&lt;&gt;""),1,"")</f>
        <v/>
      </c>
    </row>
    <row r="238">
      <c r="A238" s="13" t="inlineStr">
        <is>
          <t>P-0234</t>
        </is>
      </c>
      <c r="B238" s="14">
        <f>IF(AND($U238="",$C238=""),"",IFERROR(INDEX(EvID,MATCH(INDEX(FormData,$W238,f_Event),EvID,0)),IFERROR(INDEX(EvID,MATCH(INDEX(FormData,$W238,f_Event),EvName,0)),IFERROR(INDEX(EvID,MATCH(INT($C238),EvDate,0)),""))))</f>
        <v/>
      </c>
      <c r="C238" s="15">
        <f>IF($W238="","",INDEX(FormData,$W238,f_Time))</f>
        <v/>
      </c>
      <c r="D238" s="14">
        <f>IF($W238="","",IFERROR(UPPER(LEFT(TRIM(INDEX(FormData,$W238,f_Name)),1)&amp;IFERROR(MID(TRIM(INDEX(FormData,$W238,f_Name)),FIND("^",SUBSTITUTE(TRIM(INDEX(FormData,$W238,f_Name))," ","^",LEN(TRIM(INDEX(FormData,$W238,f_Name)))-LEN(SUBSTITUTE(TRIM(INDEX(FormData,$W238,f_Name))," ",""))))+1,1),"")),""))</f>
        <v/>
      </c>
      <c r="E238" s="16">
        <f>IF($W238="","",IFERROR(IF(SUMPRODUCT(MAX((WhoKW&lt;&gt;"")*ISNUMBER(SEARCH(WhoKW,INDEX(FormData,$W238,f_Who)&amp;""))*(ROW(WhoKW)-MIN(ROW(WhoKW))+1)))=0,"",INDEX(WhoVal,SUMPRODUCT(MAX((WhoKW&lt;&gt;"")*ISNUMBER(SEARCH(WhoKW,INDEX(FormData,$W238,f_Who)&amp;""))*(ROW(WhoKW)-MIN(ROW(WhoKW))+1))))),""))</f>
        <v/>
      </c>
      <c r="F238" s="17">
        <f>IF($W238="","",TRIM(IFERROR(INDEX(FormData,$W238,f_Org1)&amp;"","")&amp;" "&amp;IFERROR(INDEX(FormData,$W238,f_Org2)&amp;"","")))</f>
        <v/>
      </c>
      <c r="G238" s="16">
        <f>IF($W238="","",IFERROR(INDEX(FormData,$W238,f_Region)&amp;"",""))</f>
        <v/>
      </c>
      <c r="H238" s="16">
        <f>IF($W238="","",IFERROR(IF(SUMPRODUCT(MAX((SitKW&lt;&gt;"")*ISNUMBER(SEARCH(SitKW,INDEX(FormData,$W238,f_Sit)&amp;""))*(ROW(SitKW)-MIN(ROW(SitKW))+1)))=0,"",INDEX(SitVal,SUMPRODUCT(MAX((SitKW&lt;&gt;"")*ISNUMBER(SEARCH(SitKW,INDEX(FormData,$W238,f_Sit)&amp;""))*(ROW(SitKW)-MIN(ROW(SitKW))+1))))),""))</f>
        <v/>
      </c>
      <c r="I238" s="14">
        <f>IF($W238="","",IFERROR(INDEX(FormData,$W238,f_Appr)&amp;"",""))</f>
        <v/>
      </c>
      <c r="J238" s="16">
        <f>IF($W238="","",IFERROR(INDEX(FormData,$W238,f_Trade)&amp;"",""))</f>
        <v/>
      </c>
      <c r="K238" s="16" t="n"/>
      <c r="L238" s="17" t="n"/>
      <c r="M238" s="16" t="n"/>
      <c r="N238" s="17" t="n"/>
      <c r="O238" s="14" t="n"/>
      <c r="P238" s="14" t="n"/>
      <c r="Q238" s="18" t="n"/>
      <c r="R238" s="18" t="n"/>
      <c r="S238" s="13">
        <f>IF($P238&lt;&gt;"✓","",IF($R238&lt;&gt;"","Done",IF($Q238="","Open — no date",IF($Q238&lt;TODAY(),"Overdue",IF($Q238-TODAY()&lt;=DueSoon,"Due soon","Scheduled")))))</f>
        <v/>
      </c>
      <c r="T238" s="14">
        <f>IF($W238="","",IFERROR(IF(INDEX(FormData,$W238,f_Consent)&amp;""="","",IF(ISNUMBER(SEARCH("yes",INDEX(FormData,$W238,f_Consent))),"Yes","No")),""))</f>
        <v/>
      </c>
      <c r="U238" s="14" t="n"/>
      <c r="V238" s="13">
        <f>IF($U238="","",IF($W238="","not found","✓"))</f>
        <v/>
      </c>
      <c r="W238">
        <f>IF($U238="","",IFERROR(MATCH($U238,INDEX(FormData,0,f_Id),0),IFERROR(MATCH(--$U238,INDEX(FormData,0,f_Id),0),IFERROR(MATCH($U238&amp;"",INDEX(FormData,0,f_Id),0),""))))</f>
        <v/>
      </c>
      <c r="X238">
        <f>IF(AND($B238&lt;&gt;"",$B238='Event Report'!$C$3),ROW(),"")</f>
        <v/>
      </c>
      <c r="Y238">
        <f>IF(AND($P238="✓",$R238=""),IF($Q238="",90000,$Q238)+ROW()/100000,"")</f>
        <v/>
      </c>
      <c r="Z238">
        <f>IF(OR($U238&lt;&gt;"",$D238&lt;&gt;"",$E238&lt;&gt;"",$N238&lt;&gt;""),1,"")</f>
        <v/>
      </c>
    </row>
    <row r="239">
      <c r="A239" s="13" t="inlineStr">
        <is>
          <t>P-0235</t>
        </is>
      </c>
      <c r="B239" s="14">
        <f>IF(AND($U239="",$C239=""),"",IFERROR(INDEX(EvID,MATCH(INDEX(FormData,$W239,f_Event),EvID,0)),IFERROR(INDEX(EvID,MATCH(INDEX(FormData,$W239,f_Event),EvName,0)),IFERROR(INDEX(EvID,MATCH(INT($C239),EvDate,0)),""))))</f>
        <v/>
      </c>
      <c r="C239" s="15">
        <f>IF($W239="","",INDEX(FormData,$W239,f_Time))</f>
        <v/>
      </c>
      <c r="D239" s="14">
        <f>IF($W239="","",IFERROR(UPPER(LEFT(TRIM(INDEX(FormData,$W239,f_Name)),1)&amp;IFERROR(MID(TRIM(INDEX(FormData,$W239,f_Name)),FIND("^",SUBSTITUTE(TRIM(INDEX(FormData,$W239,f_Name))," ","^",LEN(TRIM(INDEX(FormData,$W239,f_Name)))-LEN(SUBSTITUTE(TRIM(INDEX(FormData,$W239,f_Name))," ",""))))+1,1),"")),""))</f>
        <v/>
      </c>
      <c r="E239" s="16">
        <f>IF($W239="","",IFERROR(IF(SUMPRODUCT(MAX((WhoKW&lt;&gt;"")*ISNUMBER(SEARCH(WhoKW,INDEX(FormData,$W239,f_Who)&amp;""))*(ROW(WhoKW)-MIN(ROW(WhoKW))+1)))=0,"",INDEX(WhoVal,SUMPRODUCT(MAX((WhoKW&lt;&gt;"")*ISNUMBER(SEARCH(WhoKW,INDEX(FormData,$W239,f_Who)&amp;""))*(ROW(WhoKW)-MIN(ROW(WhoKW))+1))))),""))</f>
        <v/>
      </c>
      <c r="F239" s="17">
        <f>IF($W239="","",TRIM(IFERROR(INDEX(FormData,$W239,f_Org1)&amp;"","")&amp;" "&amp;IFERROR(INDEX(FormData,$W239,f_Org2)&amp;"","")))</f>
        <v/>
      </c>
      <c r="G239" s="16">
        <f>IF($W239="","",IFERROR(INDEX(FormData,$W239,f_Region)&amp;"",""))</f>
        <v/>
      </c>
      <c r="H239" s="16">
        <f>IF($W239="","",IFERROR(IF(SUMPRODUCT(MAX((SitKW&lt;&gt;"")*ISNUMBER(SEARCH(SitKW,INDEX(FormData,$W239,f_Sit)&amp;""))*(ROW(SitKW)-MIN(ROW(SitKW))+1)))=0,"",INDEX(SitVal,SUMPRODUCT(MAX((SitKW&lt;&gt;"")*ISNUMBER(SEARCH(SitKW,INDEX(FormData,$W239,f_Sit)&amp;""))*(ROW(SitKW)-MIN(ROW(SitKW))+1))))),""))</f>
        <v/>
      </c>
      <c r="I239" s="14">
        <f>IF($W239="","",IFERROR(INDEX(FormData,$W239,f_Appr)&amp;"",""))</f>
        <v/>
      </c>
      <c r="J239" s="16">
        <f>IF($W239="","",IFERROR(INDEX(FormData,$W239,f_Trade)&amp;"",""))</f>
        <v/>
      </c>
      <c r="K239" s="16" t="n"/>
      <c r="L239" s="17" t="n"/>
      <c r="M239" s="16" t="n"/>
      <c r="N239" s="17" t="n"/>
      <c r="O239" s="14" t="n"/>
      <c r="P239" s="14" t="n"/>
      <c r="Q239" s="18" t="n"/>
      <c r="R239" s="18" t="n"/>
      <c r="S239" s="13">
        <f>IF($P239&lt;&gt;"✓","",IF($R239&lt;&gt;"","Done",IF($Q239="","Open — no date",IF($Q239&lt;TODAY(),"Overdue",IF($Q239-TODAY()&lt;=DueSoon,"Due soon","Scheduled")))))</f>
        <v/>
      </c>
      <c r="T239" s="14">
        <f>IF($W239="","",IFERROR(IF(INDEX(FormData,$W239,f_Consent)&amp;""="","",IF(ISNUMBER(SEARCH("yes",INDEX(FormData,$W239,f_Consent))),"Yes","No")),""))</f>
        <v/>
      </c>
      <c r="U239" s="14" t="n"/>
      <c r="V239" s="13">
        <f>IF($U239="","",IF($W239="","not found","✓"))</f>
        <v/>
      </c>
      <c r="W239">
        <f>IF($U239="","",IFERROR(MATCH($U239,INDEX(FormData,0,f_Id),0),IFERROR(MATCH(--$U239,INDEX(FormData,0,f_Id),0),IFERROR(MATCH($U239&amp;"",INDEX(FormData,0,f_Id),0),""))))</f>
        <v/>
      </c>
      <c r="X239">
        <f>IF(AND($B239&lt;&gt;"",$B239='Event Report'!$C$3),ROW(),"")</f>
        <v/>
      </c>
      <c r="Y239">
        <f>IF(AND($P239="✓",$R239=""),IF($Q239="",90000,$Q239)+ROW()/100000,"")</f>
        <v/>
      </c>
      <c r="Z239">
        <f>IF(OR($U239&lt;&gt;"",$D239&lt;&gt;"",$E239&lt;&gt;"",$N239&lt;&gt;""),1,"")</f>
        <v/>
      </c>
    </row>
    <row r="240">
      <c r="A240" s="13" t="inlineStr">
        <is>
          <t>P-0236</t>
        </is>
      </c>
      <c r="B240" s="14">
        <f>IF(AND($U240="",$C240=""),"",IFERROR(INDEX(EvID,MATCH(INDEX(FormData,$W240,f_Event),EvID,0)),IFERROR(INDEX(EvID,MATCH(INDEX(FormData,$W240,f_Event),EvName,0)),IFERROR(INDEX(EvID,MATCH(INT($C240),EvDate,0)),""))))</f>
        <v/>
      </c>
      <c r="C240" s="15">
        <f>IF($W240="","",INDEX(FormData,$W240,f_Time))</f>
        <v/>
      </c>
      <c r="D240" s="14">
        <f>IF($W240="","",IFERROR(UPPER(LEFT(TRIM(INDEX(FormData,$W240,f_Name)),1)&amp;IFERROR(MID(TRIM(INDEX(FormData,$W240,f_Name)),FIND("^",SUBSTITUTE(TRIM(INDEX(FormData,$W240,f_Name))," ","^",LEN(TRIM(INDEX(FormData,$W240,f_Name)))-LEN(SUBSTITUTE(TRIM(INDEX(FormData,$W240,f_Name))," ",""))))+1,1),"")),""))</f>
        <v/>
      </c>
      <c r="E240" s="16">
        <f>IF($W240="","",IFERROR(IF(SUMPRODUCT(MAX((WhoKW&lt;&gt;"")*ISNUMBER(SEARCH(WhoKW,INDEX(FormData,$W240,f_Who)&amp;""))*(ROW(WhoKW)-MIN(ROW(WhoKW))+1)))=0,"",INDEX(WhoVal,SUMPRODUCT(MAX((WhoKW&lt;&gt;"")*ISNUMBER(SEARCH(WhoKW,INDEX(FormData,$W240,f_Who)&amp;""))*(ROW(WhoKW)-MIN(ROW(WhoKW))+1))))),""))</f>
        <v/>
      </c>
      <c r="F240" s="17">
        <f>IF($W240="","",TRIM(IFERROR(INDEX(FormData,$W240,f_Org1)&amp;"","")&amp;" "&amp;IFERROR(INDEX(FormData,$W240,f_Org2)&amp;"","")))</f>
        <v/>
      </c>
      <c r="G240" s="16">
        <f>IF($W240="","",IFERROR(INDEX(FormData,$W240,f_Region)&amp;"",""))</f>
        <v/>
      </c>
      <c r="H240" s="16">
        <f>IF($W240="","",IFERROR(IF(SUMPRODUCT(MAX((SitKW&lt;&gt;"")*ISNUMBER(SEARCH(SitKW,INDEX(FormData,$W240,f_Sit)&amp;""))*(ROW(SitKW)-MIN(ROW(SitKW))+1)))=0,"",INDEX(SitVal,SUMPRODUCT(MAX((SitKW&lt;&gt;"")*ISNUMBER(SEARCH(SitKW,INDEX(FormData,$W240,f_Sit)&amp;""))*(ROW(SitKW)-MIN(ROW(SitKW))+1))))),""))</f>
        <v/>
      </c>
      <c r="I240" s="14">
        <f>IF($W240="","",IFERROR(INDEX(FormData,$W240,f_Appr)&amp;"",""))</f>
        <v/>
      </c>
      <c r="J240" s="16">
        <f>IF($W240="","",IFERROR(INDEX(FormData,$W240,f_Trade)&amp;"",""))</f>
        <v/>
      </c>
      <c r="K240" s="16" t="n"/>
      <c r="L240" s="17" t="n"/>
      <c r="M240" s="16" t="n"/>
      <c r="N240" s="17" t="n"/>
      <c r="O240" s="14" t="n"/>
      <c r="P240" s="14" t="n"/>
      <c r="Q240" s="18" t="n"/>
      <c r="R240" s="18" t="n"/>
      <c r="S240" s="13">
        <f>IF($P240&lt;&gt;"✓","",IF($R240&lt;&gt;"","Done",IF($Q240="","Open — no date",IF($Q240&lt;TODAY(),"Overdue",IF($Q240-TODAY()&lt;=DueSoon,"Due soon","Scheduled")))))</f>
        <v/>
      </c>
      <c r="T240" s="14">
        <f>IF($W240="","",IFERROR(IF(INDEX(FormData,$W240,f_Consent)&amp;""="","",IF(ISNUMBER(SEARCH("yes",INDEX(FormData,$W240,f_Consent))),"Yes","No")),""))</f>
        <v/>
      </c>
      <c r="U240" s="14" t="n"/>
      <c r="V240" s="13">
        <f>IF($U240="","",IF($W240="","not found","✓"))</f>
        <v/>
      </c>
      <c r="W240">
        <f>IF($U240="","",IFERROR(MATCH($U240,INDEX(FormData,0,f_Id),0),IFERROR(MATCH(--$U240,INDEX(FormData,0,f_Id),0),IFERROR(MATCH($U240&amp;"",INDEX(FormData,0,f_Id),0),""))))</f>
        <v/>
      </c>
      <c r="X240">
        <f>IF(AND($B240&lt;&gt;"",$B240='Event Report'!$C$3),ROW(),"")</f>
        <v/>
      </c>
      <c r="Y240">
        <f>IF(AND($P240="✓",$R240=""),IF($Q240="",90000,$Q240)+ROW()/100000,"")</f>
        <v/>
      </c>
      <c r="Z240">
        <f>IF(OR($U240&lt;&gt;"",$D240&lt;&gt;"",$E240&lt;&gt;"",$N240&lt;&gt;""),1,"")</f>
        <v/>
      </c>
    </row>
    <row r="241">
      <c r="A241" s="13" t="inlineStr">
        <is>
          <t>P-0237</t>
        </is>
      </c>
      <c r="B241" s="14">
        <f>IF(AND($U241="",$C241=""),"",IFERROR(INDEX(EvID,MATCH(INDEX(FormData,$W241,f_Event),EvID,0)),IFERROR(INDEX(EvID,MATCH(INDEX(FormData,$W241,f_Event),EvName,0)),IFERROR(INDEX(EvID,MATCH(INT($C241),EvDate,0)),""))))</f>
        <v/>
      </c>
      <c r="C241" s="15">
        <f>IF($W241="","",INDEX(FormData,$W241,f_Time))</f>
        <v/>
      </c>
      <c r="D241" s="14">
        <f>IF($W241="","",IFERROR(UPPER(LEFT(TRIM(INDEX(FormData,$W241,f_Name)),1)&amp;IFERROR(MID(TRIM(INDEX(FormData,$W241,f_Name)),FIND("^",SUBSTITUTE(TRIM(INDEX(FormData,$W241,f_Name))," ","^",LEN(TRIM(INDEX(FormData,$W241,f_Name)))-LEN(SUBSTITUTE(TRIM(INDEX(FormData,$W241,f_Name))," ",""))))+1,1),"")),""))</f>
        <v/>
      </c>
      <c r="E241" s="16">
        <f>IF($W241="","",IFERROR(IF(SUMPRODUCT(MAX((WhoKW&lt;&gt;"")*ISNUMBER(SEARCH(WhoKW,INDEX(FormData,$W241,f_Who)&amp;""))*(ROW(WhoKW)-MIN(ROW(WhoKW))+1)))=0,"",INDEX(WhoVal,SUMPRODUCT(MAX((WhoKW&lt;&gt;"")*ISNUMBER(SEARCH(WhoKW,INDEX(FormData,$W241,f_Who)&amp;""))*(ROW(WhoKW)-MIN(ROW(WhoKW))+1))))),""))</f>
        <v/>
      </c>
      <c r="F241" s="17">
        <f>IF($W241="","",TRIM(IFERROR(INDEX(FormData,$W241,f_Org1)&amp;"","")&amp;" "&amp;IFERROR(INDEX(FormData,$W241,f_Org2)&amp;"","")))</f>
        <v/>
      </c>
      <c r="G241" s="16">
        <f>IF($W241="","",IFERROR(INDEX(FormData,$W241,f_Region)&amp;"",""))</f>
        <v/>
      </c>
      <c r="H241" s="16">
        <f>IF($W241="","",IFERROR(IF(SUMPRODUCT(MAX((SitKW&lt;&gt;"")*ISNUMBER(SEARCH(SitKW,INDEX(FormData,$W241,f_Sit)&amp;""))*(ROW(SitKW)-MIN(ROW(SitKW))+1)))=0,"",INDEX(SitVal,SUMPRODUCT(MAX((SitKW&lt;&gt;"")*ISNUMBER(SEARCH(SitKW,INDEX(FormData,$W241,f_Sit)&amp;""))*(ROW(SitKW)-MIN(ROW(SitKW))+1))))),""))</f>
        <v/>
      </c>
      <c r="I241" s="14">
        <f>IF($W241="","",IFERROR(INDEX(FormData,$W241,f_Appr)&amp;"",""))</f>
        <v/>
      </c>
      <c r="J241" s="16">
        <f>IF($W241="","",IFERROR(INDEX(FormData,$W241,f_Trade)&amp;"",""))</f>
        <v/>
      </c>
      <c r="K241" s="16" t="n"/>
      <c r="L241" s="17" t="n"/>
      <c r="M241" s="16" t="n"/>
      <c r="N241" s="17" t="n"/>
      <c r="O241" s="14" t="n"/>
      <c r="P241" s="14" t="n"/>
      <c r="Q241" s="18" t="n"/>
      <c r="R241" s="18" t="n"/>
      <c r="S241" s="13">
        <f>IF($P241&lt;&gt;"✓","",IF($R241&lt;&gt;"","Done",IF($Q241="","Open — no date",IF($Q241&lt;TODAY(),"Overdue",IF($Q241-TODAY()&lt;=DueSoon,"Due soon","Scheduled")))))</f>
        <v/>
      </c>
      <c r="T241" s="14">
        <f>IF($W241="","",IFERROR(IF(INDEX(FormData,$W241,f_Consent)&amp;""="","",IF(ISNUMBER(SEARCH("yes",INDEX(FormData,$W241,f_Consent))),"Yes","No")),""))</f>
        <v/>
      </c>
      <c r="U241" s="14" t="n"/>
      <c r="V241" s="13">
        <f>IF($U241="","",IF($W241="","not found","✓"))</f>
        <v/>
      </c>
      <c r="W241">
        <f>IF($U241="","",IFERROR(MATCH($U241,INDEX(FormData,0,f_Id),0),IFERROR(MATCH(--$U241,INDEX(FormData,0,f_Id),0),IFERROR(MATCH($U241&amp;"",INDEX(FormData,0,f_Id),0),""))))</f>
        <v/>
      </c>
      <c r="X241">
        <f>IF(AND($B241&lt;&gt;"",$B241='Event Report'!$C$3),ROW(),"")</f>
        <v/>
      </c>
      <c r="Y241">
        <f>IF(AND($P241="✓",$R241=""),IF($Q241="",90000,$Q241)+ROW()/100000,"")</f>
        <v/>
      </c>
      <c r="Z241">
        <f>IF(OR($U241&lt;&gt;"",$D241&lt;&gt;"",$E241&lt;&gt;"",$N241&lt;&gt;""),1,"")</f>
        <v/>
      </c>
    </row>
    <row r="242">
      <c r="A242" s="13" t="inlineStr">
        <is>
          <t>P-0238</t>
        </is>
      </c>
      <c r="B242" s="14">
        <f>IF(AND($U242="",$C242=""),"",IFERROR(INDEX(EvID,MATCH(INDEX(FormData,$W242,f_Event),EvID,0)),IFERROR(INDEX(EvID,MATCH(INDEX(FormData,$W242,f_Event),EvName,0)),IFERROR(INDEX(EvID,MATCH(INT($C242),EvDate,0)),""))))</f>
        <v/>
      </c>
      <c r="C242" s="15">
        <f>IF($W242="","",INDEX(FormData,$W242,f_Time))</f>
        <v/>
      </c>
      <c r="D242" s="14">
        <f>IF($W242="","",IFERROR(UPPER(LEFT(TRIM(INDEX(FormData,$W242,f_Name)),1)&amp;IFERROR(MID(TRIM(INDEX(FormData,$W242,f_Name)),FIND("^",SUBSTITUTE(TRIM(INDEX(FormData,$W242,f_Name))," ","^",LEN(TRIM(INDEX(FormData,$W242,f_Name)))-LEN(SUBSTITUTE(TRIM(INDEX(FormData,$W242,f_Name))," ",""))))+1,1),"")),""))</f>
        <v/>
      </c>
      <c r="E242" s="16">
        <f>IF($W242="","",IFERROR(IF(SUMPRODUCT(MAX((WhoKW&lt;&gt;"")*ISNUMBER(SEARCH(WhoKW,INDEX(FormData,$W242,f_Who)&amp;""))*(ROW(WhoKW)-MIN(ROW(WhoKW))+1)))=0,"",INDEX(WhoVal,SUMPRODUCT(MAX((WhoKW&lt;&gt;"")*ISNUMBER(SEARCH(WhoKW,INDEX(FormData,$W242,f_Who)&amp;""))*(ROW(WhoKW)-MIN(ROW(WhoKW))+1))))),""))</f>
        <v/>
      </c>
      <c r="F242" s="17">
        <f>IF($W242="","",TRIM(IFERROR(INDEX(FormData,$W242,f_Org1)&amp;"","")&amp;" "&amp;IFERROR(INDEX(FormData,$W242,f_Org2)&amp;"","")))</f>
        <v/>
      </c>
      <c r="G242" s="16">
        <f>IF($W242="","",IFERROR(INDEX(FormData,$W242,f_Region)&amp;"",""))</f>
        <v/>
      </c>
      <c r="H242" s="16">
        <f>IF($W242="","",IFERROR(IF(SUMPRODUCT(MAX((SitKW&lt;&gt;"")*ISNUMBER(SEARCH(SitKW,INDEX(FormData,$W242,f_Sit)&amp;""))*(ROW(SitKW)-MIN(ROW(SitKW))+1)))=0,"",INDEX(SitVal,SUMPRODUCT(MAX((SitKW&lt;&gt;"")*ISNUMBER(SEARCH(SitKW,INDEX(FormData,$W242,f_Sit)&amp;""))*(ROW(SitKW)-MIN(ROW(SitKW))+1))))),""))</f>
        <v/>
      </c>
      <c r="I242" s="14">
        <f>IF($W242="","",IFERROR(INDEX(FormData,$W242,f_Appr)&amp;"",""))</f>
        <v/>
      </c>
      <c r="J242" s="16">
        <f>IF($W242="","",IFERROR(INDEX(FormData,$W242,f_Trade)&amp;"",""))</f>
        <v/>
      </c>
      <c r="K242" s="16" t="n"/>
      <c r="L242" s="17" t="n"/>
      <c r="M242" s="16" t="n"/>
      <c r="N242" s="17" t="n"/>
      <c r="O242" s="14" t="n"/>
      <c r="P242" s="14" t="n"/>
      <c r="Q242" s="18" t="n"/>
      <c r="R242" s="18" t="n"/>
      <c r="S242" s="13">
        <f>IF($P242&lt;&gt;"✓","",IF($R242&lt;&gt;"","Done",IF($Q242="","Open — no date",IF($Q242&lt;TODAY(),"Overdue",IF($Q242-TODAY()&lt;=DueSoon,"Due soon","Scheduled")))))</f>
        <v/>
      </c>
      <c r="T242" s="14">
        <f>IF($W242="","",IFERROR(IF(INDEX(FormData,$W242,f_Consent)&amp;""="","",IF(ISNUMBER(SEARCH("yes",INDEX(FormData,$W242,f_Consent))),"Yes","No")),""))</f>
        <v/>
      </c>
      <c r="U242" s="14" t="n"/>
      <c r="V242" s="13">
        <f>IF($U242="","",IF($W242="","not found","✓"))</f>
        <v/>
      </c>
      <c r="W242">
        <f>IF($U242="","",IFERROR(MATCH($U242,INDEX(FormData,0,f_Id),0),IFERROR(MATCH(--$U242,INDEX(FormData,0,f_Id),0),IFERROR(MATCH($U242&amp;"",INDEX(FormData,0,f_Id),0),""))))</f>
        <v/>
      </c>
      <c r="X242">
        <f>IF(AND($B242&lt;&gt;"",$B242='Event Report'!$C$3),ROW(),"")</f>
        <v/>
      </c>
      <c r="Y242">
        <f>IF(AND($P242="✓",$R242=""),IF($Q242="",90000,$Q242)+ROW()/100000,"")</f>
        <v/>
      </c>
      <c r="Z242">
        <f>IF(OR($U242&lt;&gt;"",$D242&lt;&gt;"",$E242&lt;&gt;"",$N242&lt;&gt;""),1,"")</f>
        <v/>
      </c>
    </row>
    <row r="243">
      <c r="A243" s="13" t="inlineStr">
        <is>
          <t>P-0239</t>
        </is>
      </c>
      <c r="B243" s="14">
        <f>IF(AND($U243="",$C243=""),"",IFERROR(INDEX(EvID,MATCH(INDEX(FormData,$W243,f_Event),EvID,0)),IFERROR(INDEX(EvID,MATCH(INDEX(FormData,$W243,f_Event),EvName,0)),IFERROR(INDEX(EvID,MATCH(INT($C243),EvDate,0)),""))))</f>
        <v/>
      </c>
      <c r="C243" s="15">
        <f>IF($W243="","",INDEX(FormData,$W243,f_Time))</f>
        <v/>
      </c>
      <c r="D243" s="14">
        <f>IF($W243="","",IFERROR(UPPER(LEFT(TRIM(INDEX(FormData,$W243,f_Name)),1)&amp;IFERROR(MID(TRIM(INDEX(FormData,$W243,f_Name)),FIND("^",SUBSTITUTE(TRIM(INDEX(FormData,$W243,f_Name))," ","^",LEN(TRIM(INDEX(FormData,$W243,f_Name)))-LEN(SUBSTITUTE(TRIM(INDEX(FormData,$W243,f_Name))," ",""))))+1,1),"")),""))</f>
        <v/>
      </c>
      <c r="E243" s="16">
        <f>IF($W243="","",IFERROR(IF(SUMPRODUCT(MAX((WhoKW&lt;&gt;"")*ISNUMBER(SEARCH(WhoKW,INDEX(FormData,$W243,f_Who)&amp;""))*(ROW(WhoKW)-MIN(ROW(WhoKW))+1)))=0,"",INDEX(WhoVal,SUMPRODUCT(MAX((WhoKW&lt;&gt;"")*ISNUMBER(SEARCH(WhoKW,INDEX(FormData,$W243,f_Who)&amp;""))*(ROW(WhoKW)-MIN(ROW(WhoKW))+1))))),""))</f>
        <v/>
      </c>
      <c r="F243" s="17">
        <f>IF($W243="","",TRIM(IFERROR(INDEX(FormData,$W243,f_Org1)&amp;"","")&amp;" "&amp;IFERROR(INDEX(FormData,$W243,f_Org2)&amp;"","")))</f>
        <v/>
      </c>
      <c r="G243" s="16">
        <f>IF($W243="","",IFERROR(INDEX(FormData,$W243,f_Region)&amp;"",""))</f>
        <v/>
      </c>
      <c r="H243" s="16">
        <f>IF($W243="","",IFERROR(IF(SUMPRODUCT(MAX((SitKW&lt;&gt;"")*ISNUMBER(SEARCH(SitKW,INDEX(FormData,$W243,f_Sit)&amp;""))*(ROW(SitKW)-MIN(ROW(SitKW))+1)))=0,"",INDEX(SitVal,SUMPRODUCT(MAX((SitKW&lt;&gt;"")*ISNUMBER(SEARCH(SitKW,INDEX(FormData,$W243,f_Sit)&amp;""))*(ROW(SitKW)-MIN(ROW(SitKW))+1))))),""))</f>
        <v/>
      </c>
      <c r="I243" s="14">
        <f>IF($W243="","",IFERROR(INDEX(FormData,$W243,f_Appr)&amp;"",""))</f>
        <v/>
      </c>
      <c r="J243" s="16">
        <f>IF($W243="","",IFERROR(INDEX(FormData,$W243,f_Trade)&amp;"",""))</f>
        <v/>
      </c>
      <c r="K243" s="16" t="n"/>
      <c r="L243" s="17" t="n"/>
      <c r="M243" s="16" t="n"/>
      <c r="N243" s="17" t="n"/>
      <c r="O243" s="14" t="n"/>
      <c r="P243" s="14" t="n"/>
      <c r="Q243" s="18" t="n"/>
      <c r="R243" s="18" t="n"/>
      <c r="S243" s="13">
        <f>IF($P243&lt;&gt;"✓","",IF($R243&lt;&gt;"","Done",IF($Q243="","Open — no date",IF($Q243&lt;TODAY(),"Overdue",IF($Q243-TODAY()&lt;=DueSoon,"Due soon","Scheduled")))))</f>
        <v/>
      </c>
      <c r="T243" s="14">
        <f>IF($W243="","",IFERROR(IF(INDEX(FormData,$W243,f_Consent)&amp;""="","",IF(ISNUMBER(SEARCH("yes",INDEX(FormData,$W243,f_Consent))),"Yes","No")),""))</f>
        <v/>
      </c>
      <c r="U243" s="14" t="n"/>
      <c r="V243" s="13">
        <f>IF($U243="","",IF($W243="","not found","✓"))</f>
        <v/>
      </c>
      <c r="W243">
        <f>IF($U243="","",IFERROR(MATCH($U243,INDEX(FormData,0,f_Id),0),IFERROR(MATCH(--$U243,INDEX(FormData,0,f_Id),0),IFERROR(MATCH($U243&amp;"",INDEX(FormData,0,f_Id),0),""))))</f>
        <v/>
      </c>
      <c r="X243">
        <f>IF(AND($B243&lt;&gt;"",$B243='Event Report'!$C$3),ROW(),"")</f>
        <v/>
      </c>
      <c r="Y243">
        <f>IF(AND($P243="✓",$R243=""),IF($Q243="",90000,$Q243)+ROW()/100000,"")</f>
        <v/>
      </c>
      <c r="Z243">
        <f>IF(OR($U243&lt;&gt;"",$D243&lt;&gt;"",$E243&lt;&gt;"",$N243&lt;&gt;""),1,"")</f>
        <v/>
      </c>
    </row>
    <row r="244">
      <c r="A244" s="13" t="inlineStr">
        <is>
          <t>P-0240</t>
        </is>
      </c>
      <c r="B244" s="14">
        <f>IF(AND($U244="",$C244=""),"",IFERROR(INDEX(EvID,MATCH(INDEX(FormData,$W244,f_Event),EvID,0)),IFERROR(INDEX(EvID,MATCH(INDEX(FormData,$W244,f_Event),EvName,0)),IFERROR(INDEX(EvID,MATCH(INT($C244),EvDate,0)),""))))</f>
        <v/>
      </c>
      <c r="C244" s="15">
        <f>IF($W244="","",INDEX(FormData,$W244,f_Time))</f>
        <v/>
      </c>
      <c r="D244" s="14">
        <f>IF($W244="","",IFERROR(UPPER(LEFT(TRIM(INDEX(FormData,$W244,f_Name)),1)&amp;IFERROR(MID(TRIM(INDEX(FormData,$W244,f_Name)),FIND("^",SUBSTITUTE(TRIM(INDEX(FormData,$W244,f_Name))," ","^",LEN(TRIM(INDEX(FormData,$W244,f_Name)))-LEN(SUBSTITUTE(TRIM(INDEX(FormData,$W244,f_Name))," ",""))))+1,1),"")),""))</f>
        <v/>
      </c>
      <c r="E244" s="16">
        <f>IF($W244="","",IFERROR(IF(SUMPRODUCT(MAX((WhoKW&lt;&gt;"")*ISNUMBER(SEARCH(WhoKW,INDEX(FormData,$W244,f_Who)&amp;""))*(ROW(WhoKW)-MIN(ROW(WhoKW))+1)))=0,"",INDEX(WhoVal,SUMPRODUCT(MAX((WhoKW&lt;&gt;"")*ISNUMBER(SEARCH(WhoKW,INDEX(FormData,$W244,f_Who)&amp;""))*(ROW(WhoKW)-MIN(ROW(WhoKW))+1))))),""))</f>
        <v/>
      </c>
      <c r="F244" s="17">
        <f>IF($W244="","",TRIM(IFERROR(INDEX(FormData,$W244,f_Org1)&amp;"","")&amp;" "&amp;IFERROR(INDEX(FormData,$W244,f_Org2)&amp;"","")))</f>
        <v/>
      </c>
      <c r="G244" s="16">
        <f>IF($W244="","",IFERROR(INDEX(FormData,$W244,f_Region)&amp;"",""))</f>
        <v/>
      </c>
      <c r="H244" s="16">
        <f>IF($W244="","",IFERROR(IF(SUMPRODUCT(MAX((SitKW&lt;&gt;"")*ISNUMBER(SEARCH(SitKW,INDEX(FormData,$W244,f_Sit)&amp;""))*(ROW(SitKW)-MIN(ROW(SitKW))+1)))=0,"",INDEX(SitVal,SUMPRODUCT(MAX((SitKW&lt;&gt;"")*ISNUMBER(SEARCH(SitKW,INDEX(FormData,$W244,f_Sit)&amp;""))*(ROW(SitKW)-MIN(ROW(SitKW))+1))))),""))</f>
        <v/>
      </c>
      <c r="I244" s="14">
        <f>IF($W244="","",IFERROR(INDEX(FormData,$W244,f_Appr)&amp;"",""))</f>
        <v/>
      </c>
      <c r="J244" s="16">
        <f>IF($W244="","",IFERROR(INDEX(FormData,$W244,f_Trade)&amp;"",""))</f>
        <v/>
      </c>
      <c r="K244" s="16" t="n"/>
      <c r="L244" s="17" t="n"/>
      <c r="M244" s="16" t="n"/>
      <c r="N244" s="17" t="n"/>
      <c r="O244" s="14" t="n"/>
      <c r="P244" s="14" t="n"/>
      <c r="Q244" s="18" t="n"/>
      <c r="R244" s="18" t="n"/>
      <c r="S244" s="13">
        <f>IF($P244&lt;&gt;"✓","",IF($R244&lt;&gt;"","Done",IF($Q244="","Open — no date",IF($Q244&lt;TODAY(),"Overdue",IF($Q244-TODAY()&lt;=DueSoon,"Due soon","Scheduled")))))</f>
        <v/>
      </c>
      <c r="T244" s="14">
        <f>IF($W244="","",IFERROR(IF(INDEX(FormData,$W244,f_Consent)&amp;""="","",IF(ISNUMBER(SEARCH("yes",INDEX(FormData,$W244,f_Consent))),"Yes","No")),""))</f>
        <v/>
      </c>
      <c r="U244" s="14" t="n"/>
      <c r="V244" s="13">
        <f>IF($U244="","",IF($W244="","not found","✓"))</f>
        <v/>
      </c>
      <c r="W244">
        <f>IF($U244="","",IFERROR(MATCH($U244,INDEX(FormData,0,f_Id),0),IFERROR(MATCH(--$U244,INDEX(FormData,0,f_Id),0),IFERROR(MATCH($U244&amp;"",INDEX(FormData,0,f_Id),0),""))))</f>
        <v/>
      </c>
      <c r="X244">
        <f>IF(AND($B244&lt;&gt;"",$B244='Event Report'!$C$3),ROW(),"")</f>
        <v/>
      </c>
      <c r="Y244">
        <f>IF(AND($P244="✓",$R244=""),IF($Q244="",90000,$Q244)+ROW()/100000,"")</f>
        <v/>
      </c>
      <c r="Z244">
        <f>IF(OR($U244&lt;&gt;"",$D244&lt;&gt;"",$E244&lt;&gt;"",$N244&lt;&gt;""),1,"")</f>
        <v/>
      </c>
    </row>
    <row r="245">
      <c r="A245" s="13" t="inlineStr">
        <is>
          <t>P-0241</t>
        </is>
      </c>
      <c r="B245" s="14">
        <f>IF(AND($U245="",$C245=""),"",IFERROR(INDEX(EvID,MATCH(INDEX(FormData,$W245,f_Event),EvID,0)),IFERROR(INDEX(EvID,MATCH(INDEX(FormData,$W245,f_Event),EvName,0)),IFERROR(INDEX(EvID,MATCH(INT($C245),EvDate,0)),""))))</f>
        <v/>
      </c>
      <c r="C245" s="15">
        <f>IF($W245="","",INDEX(FormData,$W245,f_Time))</f>
        <v/>
      </c>
      <c r="D245" s="14">
        <f>IF($W245="","",IFERROR(UPPER(LEFT(TRIM(INDEX(FormData,$W245,f_Name)),1)&amp;IFERROR(MID(TRIM(INDEX(FormData,$W245,f_Name)),FIND("^",SUBSTITUTE(TRIM(INDEX(FormData,$W245,f_Name))," ","^",LEN(TRIM(INDEX(FormData,$W245,f_Name)))-LEN(SUBSTITUTE(TRIM(INDEX(FormData,$W245,f_Name))," ",""))))+1,1),"")),""))</f>
        <v/>
      </c>
      <c r="E245" s="16">
        <f>IF($W245="","",IFERROR(IF(SUMPRODUCT(MAX((WhoKW&lt;&gt;"")*ISNUMBER(SEARCH(WhoKW,INDEX(FormData,$W245,f_Who)&amp;""))*(ROW(WhoKW)-MIN(ROW(WhoKW))+1)))=0,"",INDEX(WhoVal,SUMPRODUCT(MAX((WhoKW&lt;&gt;"")*ISNUMBER(SEARCH(WhoKW,INDEX(FormData,$W245,f_Who)&amp;""))*(ROW(WhoKW)-MIN(ROW(WhoKW))+1))))),""))</f>
        <v/>
      </c>
      <c r="F245" s="17">
        <f>IF($W245="","",TRIM(IFERROR(INDEX(FormData,$W245,f_Org1)&amp;"","")&amp;" "&amp;IFERROR(INDEX(FormData,$W245,f_Org2)&amp;"","")))</f>
        <v/>
      </c>
      <c r="G245" s="16">
        <f>IF($W245="","",IFERROR(INDEX(FormData,$W245,f_Region)&amp;"",""))</f>
        <v/>
      </c>
      <c r="H245" s="16">
        <f>IF($W245="","",IFERROR(IF(SUMPRODUCT(MAX((SitKW&lt;&gt;"")*ISNUMBER(SEARCH(SitKW,INDEX(FormData,$W245,f_Sit)&amp;""))*(ROW(SitKW)-MIN(ROW(SitKW))+1)))=0,"",INDEX(SitVal,SUMPRODUCT(MAX((SitKW&lt;&gt;"")*ISNUMBER(SEARCH(SitKW,INDEX(FormData,$W245,f_Sit)&amp;""))*(ROW(SitKW)-MIN(ROW(SitKW))+1))))),""))</f>
        <v/>
      </c>
      <c r="I245" s="14">
        <f>IF($W245="","",IFERROR(INDEX(FormData,$W245,f_Appr)&amp;"",""))</f>
        <v/>
      </c>
      <c r="J245" s="16">
        <f>IF($W245="","",IFERROR(INDEX(FormData,$W245,f_Trade)&amp;"",""))</f>
        <v/>
      </c>
      <c r="K245" s="16" t="n"/>
      <c r="L245" s="17" t="n"/>
      <c r="M245" s="16" t="n"/>
      <c r="N245" s="17" t="n"/>
      <c r="O245" s="14" t="n"/>
      <c r="P245" s="14" t="n"/>
      <c r="Q245" s="18" t="n"/>
      <c r="R245" s="18" t="n"/>
      <c r="S245" s="13">
        <f>IF($P245&lt;&gt;"✓","",IF($R245&lt;&gt;"","Done",IF($Q245="","Open — no date",IF($Q245&lt;TODAY(),"Overdue",IF($Q245-TODAY()&lt;=DueSoon,"Due soon","Scheduled")))))</f>
        <v/>
      </c>
      <c r="T245" s="14">
        <f>IF($W245="","",IFERROR(IF(INDEX(FormData,$W245,f_Consent)&amp;""="","",IF(ISNUMBER(SEARCH("yes",INDEX(FormData,$W245,f_Consent))),"Yes","No")),""))</f>
        <v/>
      </c>
      <c r="U245" s="14" t="n"/>
      <c r="V245" s="13">
        <f>IF($U245="","",IF($W245="","not found","✓"))</f>
        <v/>
      </c>
      <c r="W245">
        <f>IF($U245="","",IFERROR(MATCH($U245,INDEX(FormData,0,f_Id),0),IFERROR(MATCH(--$U245,INDEX(FormData,0,f_Id),0),IFERROR(MATCH($U245&amp;"",INDEX(FormData,0,f_Id),0),""))))</f>
        <v/>
      </c>
      <c r="X245">
        <f>IF(AND($B245&lt;&gt;"",$B245='Event Report'!$C$3),ROW(),"")</f>
        <v/>
      </c>
      <c r="Y245">
        <f>IF(AND($P245="✓",$R245=""),IF($Q245="",90000,$Q245)+ROW()/100000,"")</f>
        <v/>
      </c>
      <c r="Z245">
        <f>IF(OR($U245&lt;&gt;"",$D245&lt;&gt;"",$E245&lt;&gt;"",$N245&lt;&gt;""),1,"")</f>
        <v/>
      </c>
    </row>
    <row r="246">
      <c r="A246" s="13" t="inlineStr">
        <is>
          <t>P-0242</t>
        </is>
      </c>
      <c r="B246" s="14">
        <f>IF(AND($U246="",$C246=""),"",IFERROR(INDEX(EvID,MATCH(INDEX(FormData,$W246,f_Event),EvID,0)),IFERROR(INDEX(EvID,MATCH(INDEX(FormData,$W246,f_Event),EvName,0)),IFERROR(INDEX(EvID,MATCH(INT($C246),EvDate,0)),""))))</f>
        <v/>
      </c>
      <c r="C246" s="15">
        <f>IF($W246="","",INDEX(FormData,$W246,f_Time))</f>
        <v/>
      </c>
      <c r="D246" s="14">
        <f>IF($W246="","",IFERROR(UPPER(LEFT(TRIM(INDEX(FormData,$W246,f_Name)),1)&amp;IFERROR(MID(TRIM(INDEX(FormData,$W246,f_Name)),FIND("^",SUBSTITUTE(TRIM(INDEX(FormData,$W246,f_Name))," ","^",LEN(TRIM(INDEX(FormData,$W246,f_Name)))-LEN(SUBSTITUTE(TRIM(INDEX(FormData,$W246,f_Name))," ",""))))+1,1),"")),""))</f>
        <v/>
      </c>
      <c r="E246" s="16">
        <f>IF($W246="","",IFERROR(IF(SUMPRODUCT(MAX((WhoKW&lt;&gt;"")*ISNUMBER(SEARCH(WhoKW,INDEX(FormData,$W246,f_Who)&amp;""))*(ROW(WhoKW)-MIN(ROW(WhoKW))+1)))=0,"",INDEX(WhoVal,SUMPRODUCT(MAX((WhoKW&lt;&gt;"")*ISNUMBER(SEARCH(WhoKW,INDEX(FormData,$W246,f_Who)&amp;""))*(ROW(WhoKW)-MIN(ROW(WhoKW))+1))))),""))</f>
        <v/>
      </c>
      <c r="F246" s="17">
        <f>IF($W246="","",TRIM(IFERROR(INDEX(FormData,$W246,f_Org1)&amp;"","")&amp;" "&amp;IFERROR(INDEX(FormData,$W246,f_Org2)&amp;"","")))</f>
        <v/>
      </c>
      <c r="G246" s="16">
        <f>IF($W246="","",IFERROR(INDEX(FormData,$W246,f_Region)&amp;"",""))</f>
        <v/>
      </c>
      <c r="H246" s="16">
        <f>IF($W246="","",IFERROR(IF(SUMPRODUCT(MAX((SitKW&lt;&gt;"")*ISNUMBER(SEARCH(SitKW,INDEX(FormData,$W246,f_Sit)&amp;""))*(ROW(SitKW)-MIN(ROW(SitKW))+1)))=0,"",INDEX(SitVal,SUMPRODUCT(MAX((SitKW&lt;&gt;"")*ISNUMBER(SEARCH(SitKW,INDEX(FormData,$W246,f_Sit)&amp;""))*(ROW(SitKW)-MIN(ROW(SitKW))+1))))),""))</f>
        <v/>
      </c>
      <c r="I246" s="14">
        <f>IF($W246="","",IFERROR(INDEX(FormData,$W246,f_Appr)&amp;"",""))</f>
        <v/>
      </c>
      <c r="J246" s="16">
        <f>IF($W246="","",IFERROR(INDEX(FormData,$W246,f_Trade)&amp;"",""))</f>
        <v/>
      </c>
      <c r="K246" s="16" t="n"/>
      <c r="L246" s="17" t="n"/>
      <c r="M246" s="16" t="n"/>
      <c r="N246" s="17" t="n"/>
      <c r="O246" s="14" t="n"/>
      <c r="P246" s="14" t="n"/>
      <c r="Q246" s="18" t="n"/>
      <c r="R246" s="18" t="n"/>
      <c r="S246" s="13">
        <f>IF($P246&lt;&gt;"✓","",IF($R246&lt;&gt;"","Done",IF($Q246="","Open — no date",IF($Q246&lt;TODAY(),"Overdue",IF($Q246-TODAY()&lt;=DueSoon,"Due soon","Scheduled")))))</f>
        <v/>
      </c>
      <c r="T246" s="14">
        <f>IF($W246="","",IFERROR(IF(INDEX(FormData,$W246,f_Consent)&amp;""="","",IF(ISNUMBER(SEARCH("yes",INDEX(FormData,$W246,f_Consent))),"Yes","No")),""))</f>
        <v/>
      </c>
      <c r="U246" s="14" t="n"/>
      <c r="V246" s="13">
        <f>IF($U246="","",IF($W246="","not found","✓"))</f>
        <v/>
      </c>
      <c r="W246">
        <f>IF($U246="","",IFERROR(MATCH($U246,INDEX(FormData,0,f_Id),0),IFERROR(MATCH(--$U246,INDEX(FormData,0,f_Id),0),IFERROR(MATCH($U246&amp;"",INDEX(FormData,0,f_Id),0),""))))</f>
        <v/>
      </c>
      <c r="X246">
        <f>IF(AND($B246&lt;&gt;"",$B246='Event Report'!$C$3),ROW(),"")</f>
        <v/>
      </c>
      <c r="Y246">
        <f>IF(AND($P246="✓",$R246=""),IF($Q246="",90000,$Q246)+ROW()/100000,"")</f>
        <v/>
      </c>
      <c r="Z246">
        <f>IF(OR($U246&lt;&gt;"",$D246&lt;&gt;"",$E246&lt;&gt;"",$N246&lt;&gt;""),1,"")</f>
        <v/>
      </c>
    </row>
    <row r="247">
      <c r="A247" s="13" t="inlineStr">
        <is>
          <t>P-0243</t>
        </is>
      </c>
      <c r="B247" s="14">
        <f>IF(AND($U247="",$C247=""),"",IFERROR(INDEX(EvID,MATCH(INDEX(FormData,$W247,f_Event),EvID,0)),IFERROR(INDEX(EvID,MATCH(INDEX(FormData,$W247,f_Event),EvName,0)),IFERROR(INDEX(EvID,MATCH(INT($C247),EvDate,0)),""))))</f>
        <v/>
      </c>
      <c r="C247" s="15">
        <f>IF($W247="","",INDEX(FormData,$W247,f_Time))</f>
        <v/>
      </c>
      <c r="D247" s="14">
        <f>IF($W247="","",IFERROR(UPPER(LEFT(TRIM(INDEX(FormData,$W247,f_Name)),1)&amp;IFERROR(MID(TRIM(INDEX(FormData,$W247,f_Name)),FIND("^",SUBSTITUTE(TRIM(INDEX(FormData,$W247,f_Name))," ","^",LEN(TRIM(INDEX(FormData,$W247,f_Name)))-LEN(SUBSTITUTE(TRIM(INDEX(FormData,$W247,f_Name))," ",""))))+1,1),"")),""))</f>
        <v/>
      </c>
      <c r="E247" s="16">
        <f>IF($W247="","",IFERROR(IF(SUMPRODUCT(MAX((WhoKW&lt;&gt;"")*ISNUMBER(SEARCH(WhoKW,INDEX(FormData,$W247,f_Who)&amp;""))*(ROW(WhoKW)-MIN(ROW(WhoKW))+1)))=0,"",INDEX(WhoVal,SUMPRODUCT(MAX((WhoKW&lt;&gt;"")*ISNUMBER(SEARCH(WhoKW,INDEX(FormData,$W247,f_Who)&amp;""))*(ROW(WhoKW)-MIN(ROW(WhoKW))+1))))),""))</f>
        <v/>
      </c>
      <c r="F247" s="17">
        <f>IF($W247="","",TRIM(IFERROR(INDEX(FormData,$W247,f_Org1)&amp;"","")&amp;" "&amp;IFERROR(INDEX(FormData,$W247,f_Org2)&amp;"","")))</f>
        <v/>
      </c>
      <c r="G247" s="16">
        <f>IF($W247="","",IFERROR(INDEX(FormData,$W247,f_Region)&amp;"",""))</f>
        <v/>
      </c>
      <c r="H247" s="16">
        <f>IF($W247="","",IFERROR(IF(SUMPRODUCT(MAX((SitKW&lt;&gt;"")*ISNUMBER(SEARCH(SitKW,INDEX(FormData,$W247,f_Sit)&amp;""))*(ROW(SitKW)-MIN(ROW(SitKW))+1)))=0,"",INDEX(SitVal,SUMPRODUCT(MAX((SitKW&lt;&gt;"")*ISNUMBER(SEARCH(SitKW,INDEX(FormData,$W247,f_Sit)&amp;""))*(ROW(SitKW)-MIN(ROW(SitKW))+1))))),""))</f>
        <v/>
      </c>
      <c r="I247" s="14">
        <f>IF($W247="","",IFERROR(INDEX(FormData,$W247,f_Appr)&amp;"",""))</f>
        <v/>
      </c>
      <c r="J247" s="16">
        <f>IF($W247="","",IFERROR(INDEX(FormData,$W247,f_Trade)&amp;"",""))</f>
        <v/>
      </c>
      <c r="K247" s="16" t="n"/>
      <c r="L247" s="17" t="n"/>
      <c r="M247" s="16" t="n"/>
      <c r="N247" s="17" t="n"/>
      <c r="O247" s="14" t="n"/>
      <c r="P247" s="14" t="n"/>
      <c r="Q247" s="18" t="n"/>
      <c r="R247" s="18" t="n"/>
      <c r="S247" s="13">
        <f>IF($P247&lt;&gt;"✓","",IF($R247&lt;&gt;"","Done",IF($Q247="","Open — no date",IF($Q247&lt;TODAY(),"Overdue",IF($Q247-TODAY()&lt;=DueSoon,"Due soon","Scheduled")))))</f>
        <v/>
      </c>
      <c r="T247" s="14">
        <f>IF($W247="","",IFERROR(IF(INDEX(FormData,$W247,f_Consent)&amp;""="","",IF(ISNUMBER(SEARCH("yes",INDEX(FormData,$W247,f_Consent))),"Yes","No")),""))</f>
        <v/>
      </c>
      <c r="U247" s="14" t="n"/>
      <c r="V247" s="13">
        <f>IF($U247="","",IF($W247="","not found","✓"))</f>
        <v/>
      </c>
      <c r="W247">
        <f>IF($U247="","",IFERROR(MATCH($U247,INDEX(FormData,0,f_Id),0),IFERROR(MATCH(--$U247,INDEX(FormData,0,f_Id),0),IFERROR(MATCH($U247&amp;"",INDEX(FormData,0,f_Id),0),""))))</f>
        <v/>
      </c>
      <c r="X247">
        <f>IF(AND($B247&lt;&gt;"",$B247='Event Report'!$C$3),ROW(),"")</f>
        <v/>
      </c>
      <c r="Y247">
        <f>IF(AND($P247="✓",$R247=""),IF($Q247="",90000,$Q247)+ROW()/100000,"")</f>
        <v/>
      </c>
      <c r="Z247">
        <f>IF(OR($U247&lt;&gt;"",$D247&lt;&gt;"",$E247&lt;&gt;"",$N247&lt;&gt;""),1,"")</f>
        <v/>
      </c>
    </row>
    <row r="248">
      <c r="A248" s="13" t="inlineStr">
        <is>
          <t>P-0244</t>
        </is>
      </c>
      <c r="B248" s="14">
        <f>IF(AND($U248="",$C248=""),"",IFERROR(INDEX(EvID,MATCH(INDEX(FormData,$W248,f_Event),EvID,0)),IFERROR(INDEX(EvID,MATCH(INDEX(FormData,$W248,f_Event),EvName,0)),IFERROR(INDEX(EvID,MATCH(INT($C248),EvDate,0)),""))))</f>
        <v/>
      </c>
      <c r="C248" s="15">
        <f>IF($W248="","",INDEX(FormData,$W248,f_Time))</f>
        <v/>
      </c>
      <c r="D248" s="14">
        <f>IF($W248="","",IFERROR(UPPER(LEFT(TRIM(INDEX(FormData,$W248,f_Name)),1)&amp;IFERROR(MID(TRIM(INDEX(FormData,$W248,f_Name)),FIND("^",SUBSTITUTE(TRIM(INDEX(FormData,$W248,f_Name))," ","^",LEN(TRIM(INDEX(FormData,$W248,f_Name)))-LEN(SUBSTITUTE(TRIM(INDEX(FormData,$W248,f_Name))," ",""))))+1,1),"")),""))</f>
        <v/>
      </c>
      <c r="E248" s="16">
        <f>IF($W248="","",IFERROR(IF(SUMPRODUCT(MAX((WhoKW&lt;&gt;"")*ISNUMBER(SEARCH(WhoKW,INDEX(FormData,$W248,f_Who)&amp;""))*(ROW(WhoKW)-MIN(ROW(WhoKW))+1)))=0,"",INDEX(WhoVal,SUMPRODUCT(MAX((WhoKW&lt;&gt;"")*ISNUMBER(SEARCH(WhoKW,INDEX(FormData,$W248,f_Who)&amp;""))*(ROW(WhoKW)-MIN(ROW(WhoKW))+1))))),""))</f>
        <v/>
      </c>
      <c r="F248" s="17">
        <f>IF($W248="","",TRIM(IFERROR(INDEX(FormData,$W248,f_Org1)&amp;"","")&amp;" "&amp;IFERROR(INDEX(FormData,$W248,f_Org2)&amp;"","")))</f>
        <v/>
      </c>
      <c r="G248" s="16">
        <f>IF($W248="","",IFERROR(INDEX(FormData,$W248,f_Region)&amp;"",""))</f>
        <v/>
      </c>
      <c r="H248" s="16">
        <f>IF($W248="","",IFERROR(IF(SUMPRODUCT(MAX((SitKW&lt;&gt;"")*ISNUMBER(SEARCH(SitKW,INDEX(FormData,$W248,f_Sit)&amp;""))*(ROW(SitKW)-MIN(ROW(SitKW))+1)))=0,"",INDEX(SitVal,SUMPRODUCT(MAX((SitKW&lt;&gt;"")*ISNUMBER(SEARCH(SitKW,INDEX(FormData,$W248,f_Sit)&amp;""))*(ROW(SitKW)-MIN(ROW(SitKW))+1))))),""))</f>
        <v/>
      </c>
      <c r="I248" s="14">
        <f>IF($W248="","",IFERROR(INDEX(FormData,$W248,f_Appr)&amp;"",""))</f>
        <v/>
      </c>
      <c r="J248" s="16">
        <f>IF($W248="","",IFERROR(INDEX(FormData,$W248,f_Trade)&amp;"",""))</f>
        <v/>
      </c>
      <c r="K248" s="16" t="n"/>
      <c r="L248" s="17" t="n"/>
      <c r="M248" s="16" t="n"/>
      <c r="N248" s="17" t="n"/>
      <c r="O248" s="14" t="n"/>
      <c r="P248" s="14" t="n"/>
      <c r="Q248" s="18" t="n"/>
      <c r="R248" s="18" t="n"/>
      <c r="S248" s="13">
        <f>IF($P248&lt;&gt;"✓","",IF($R248&lt;&gt;"","Done",IF($Q248="","Open — no date",IF($Q248&lt;TODAY(),"Overdue",IF($Q248-TODAY()&lt;=DueSoon,"Due soon","Scheduled")))))</f>
        <v/>
      </c>
      <c r="T248" s="14">
        <f>IF($W248="","",IFERROR(IF(INDEX(FormData,$W248,f_Consent)&amp;""="","",IF(ISNUMBER(SEARCH("yes",INDEX(FormData,$W248,f_Consent))),"Yes","No")),""))</f>
        <v/>
      </c>
      <c r="U248" s="14" t="n"/>
      <c r="V248" s="13">
        <f>IF($U248="","",IF($W248="","not found","✓"))</f>
        <v/>
      </c>
      <c r="W248">
        <f>IF($U248="","",IFERROR(MATCH($U248,INDEX(FormData,0,f_Id),0),IFERROR(MATCH(--$U248,INDEX(FormData,0,f_Id),0),IFERROR(MATCH($U248&amp;"",INDEX(FormData,0,f_Id),0),""))))</f>
        <v/>
      </c>
      <c r="X248">
        <f>IF(AND($B248&lt;&gt;"",$B248='Event Report'!$C$3),ROW(),"")</f>
        <v/>
      </c>
      <c r="Y248">
        <f>IF(AND($P248="✓",$R248=""),IF($Q248="",90000,$Q248)+ROW()/100000,"")</f>
        <v/>
      </c>
      <c r="Z248">
        <f>IF(OR($U248&lt;&gt;"",$D248&lt;&gt;"",$E248&lt;&gt;"",$N248&lt;&gt;""),1,"")</f>
        <v/>
      </c>
    </row>
    <row r="249">
      <c r="A249" s="13" t="inlineStr">
        <is>
          <t>P-0245</t>
        </is>
      </c>
      <c r="B249" s="14">
        <f>IF(AND($U249="",$C249=""),"",IFERROR(INDEX(EvID,MATCH(INDEX(FormData,$W249,f_Event),EvID,0)),IFERROR(INDEX(EvID,MATCH(INDEX(FormData,$W249,f_Event),EvName,0)),IFERROR(INDEX(EvID,MATCH(INT($C249),EvDate,0)),""))))</f>
        <v/>
      </c>
      <c r="C249" s="15">
        <f>IF($W249="","",INDEX(FormData,$W249,f_Time))</f>
        <v/>
      </c>
      <c r="D249" s="14">
        <f>IF($W249="","",IFERROR(UPPER(LEFT(TRIM(INDEX(FormData,$W249,f_Name)),1)&amp;IFERROR(MID(TRIM(INDEX(FormData,$W249,f_Name)),FIND("^",SUBSTITUTE(TRIM(INDEX(FormData,$W249,f_Name))," ","^",LEN(TRIM(INDEX(FormData,$W249,f_Name)))-LEN(SUBSTITUTE(TRIM(INDEX(FormData,$W249,f_Name))," ",""))))+1,1),"")),""))</f>
        <v/>
      </c>
      <c r="E249" s="16">
        <f>IF($W249="","",IFERROR(IF(SUMPRODUCT(MAX((WhoKW&lt;&gt;"")*ISNUMBER(SEARCH(WhoKW,INDEX(FormData,$W249,f_Who)&amp;""))*(ROW(WhoKW)-MIN(ROW(WhoKW))+1)))=0,"",INDEX(WhoVal,SUMPRODUCT(MAX((WhoKW&lt;&gt;"")*ISNUMBER(SEARCH(WhoKW,INDEX(FormData,$W249,f_Who)&amp;""))*(ROW(WhoKW)-MIN(ROW(WhoKW))+1))))),""))</f>
        <v/>
      </c>
      <c r="F249" s="17">
        <f>IF($W249="","",TRIM(IFERROR(INDEX(FormData,$W249,f_Org1)&amp;"","")&amp;" "&amp;IFERROR(INDEX(FormData,$W249,f_Org2)&amp;"","")))</f>
        <v/>
      </c>
      <c r="G249" s="16">
        <f>IF($W249="","",IFERROR(INDEX(FormData,$W249,f_Region)&amp;"",""))</f>
        <v/>
      </c>
      <c r="H249" s="16">
        <f>IF($W249="","",IFERROR(IF(SUMPRODUCT(MAX((SitKW&lt;&gt;"")*ISNUMBER(SEARCH(SitKW,INDEX(FormData,$W249,f_Sit)&amp;""))*(ROW(SitKW)-MIN(ROW(SitKW))+1)))=0,"",INDEX(SitVal,SUMPRODUCT(MAX((SitKW&lt;&gt;"")*ISNUMBER(SEARCH(SitKW,INDEX(FormData,$W249,f_Sit)&amp;""))*(ROW(SitKW)-MIN(ROW(SitKW))+1))))),""))</f>
        <v/>
      </c>
      <c r="I249" s="14">
        <f>IF($W249="","",IFERROR(INDEX(FormData,$W249,f_Appr)&amp;"",""))</f>
        <v/>
      </c>
      <c r="J249" s="16">
        <f>IF($W249="","",IFERROR(INDEX(FormData,$W249,f_Trade)&amp;"",""))</f>
        <v/>
      </c>
      <c r="K249" s="16" t="n"/>
      <c r="L249" s="17" t="n"/>
      <c r="M249" s="16" t="n"/>
      <c r="N249" s="17" t="n"/>
      <c r="O249" s="14" t="n"/>
      <c r="P249" s="14" t="n"/>
      <c r="Q249" s="18" t="n"/>
      <c r="R249" s="18" t="n"/>
      <c r="S249" s="13">
        <f>IF($P249&lt;&gt;"✓","",IF($R249&lt;&gt;"","Done",IF($Q249="","Open — no date",IF($Q249&lt;TODAY(),"Overdue",IF($Q249-TODAY()&lt;=DueSoon,"Due soon","Scheduled")))))</f>
        <v/>
      </c>
      <c r="T249" s="14">
        <f>IF($W249="","",IFERROR(IF(INDEX(FormData,$W249,f_Consent)&amp;""="","",IF(ISNUMBER(SEARCH("yes",INDEX(FormData,$W249,f_Consent))),"Yes","No")),""))</f>
        <v/>
      </c>
      <c r="U249" s="14" t="n"/>
      <c r="V249" s="13">
        <f>IF($U249="","",IF($W249="","not found","✓"))</f>
        <v/>
      </c>
      <c r="W249">
        <f>IF($U249="","",IFERROR(MATCH($U249,INDEX(FormData,0,f_Id),0),IFERROR(MATCH(--$U249,INDEX(FormData,0,f_Id),0),IFERROR(MATCH($U249&amp;"",INDEX(FormData,0,f_Id),0),""))))</f>
        <v/>
      </c>
      <c r="X249">
        <f>IF(AND($B249&lt;&gt;"",$B249='Event Report'!$C$3),ROW(),"")</f>
        <v/>
      </c>
      <c r="Y249">
        <f>IF(AND($P249="✓",$R249=""),IF($Q249="",90000,$Q249)+ROW()/100000,"")</f>
        <v/>
      </c>
      <c r="Z249">
        <f>IF(OR($U249&lt;&gt;"",$D249&lt;&gt;"",$E249&lt;&gt;"",$N249&lt;&gt;""),1,"")</f>
        <v/>
      </c>
    </row>
    <row r="250">
      <c r="A250" s="13" t="inlineStr">
        <is>
          <t>P-0246</t>
        </is>
      </c>
      <c r="B250" s="14">
        <f>IF(AND($U250="",$C250=""),"",IFERROR(INDEX(EvID,MATCH(INDEX(FormData,$W250,f_Event),EvID,0)),IFERROR(INDEX(EvID,MATCH(INDEX(FormData,$W250,f_Event),EvName,0)),IFERROR(INDEX(EvID,MATCH(INT($C250),EvDate,0)),""))))</f>
        <v/>
      </c>
      <c r="C250" s="15">
        <f>IF($W250="","",INDEX(FormData,$W250,f_Time))</f>
        <v/>
      </c>
      <c r="D250" s="14">
        <f>IF($W250="","",IFERROR(UPPER(LEFT(TRIM(INDEX(FormData,$W250,f_Name)),1)&amp;IFERROR(MID(TRIM(INDEX(FormData,$W250,f_Name)),FIND("^",SUBSTITUTE(TRIM(INDEX(FormData,$W250,f_Name))," ","^",LEN(TRIM(INDEX(FormData,$W250,f_Name)))-LEN(SUBSTITUTE(TRIM(INDEX(FormData,$W250,f_Name))," ",""))))+1,1),"")),""))</f>
        <v/>
      </c>
      <c r="E250" s="16">
        <f>IF($W250="","",IFERROR(IF(SUMPRODUCT(MAX((WhoKW&lt;&gt;"")*ISNUMBER(SEARCH(WhoKW,INDEX(FormData,$W250,f_Who)&amp;""))*(ROW(WhoKW)-MIN(ROW(WhoKW))+1)))=0,"",INDEX(WhoVal,SUMPRODUCT(MAX((WhoKW&lt;&gt;"")*ISNUMBER(SEARCH(WhoKW,INDEX(FormData,$W250,f_Who)&amp;""))*(ROW(WhoKW)-MIN(ROW(WhoKW))+1))))),""))</f>
        <v/>
      </c>
      <c r="F250" s="17">
        <f>IF($W250="","",TRIM(IFERROR(INDEX(FormData,$W250,f_Org1)&amp;"","")&amp;" "&amp;IFERROR(INDEX(FormData,$W250,f_Org2)&amp;"","")))</f>
        <v/>
      </c>
      <c r="G250" s="16">
        <f>IF($W250="","",IFERROR(INDEX(FormData,$W250,f_Region)&amp;"",""))</f>
        <v/>
      </c>
      <c r="H250" s="16">
        <f>IF($W250="","",IFERROR(IF(SUMPRODUCT(MAX((SitKW&lt;&gt;"")*ISNUMBER(SEARCH(SitKW,INDEX(FormData,$W250,f_Sit)&amp;""))*(ROW(SitKW)-MIN(ROW(SitKW))+1)))=0,"",INDEX(SitVal,SUMPRODUCT(MAX((SitKW&lt;&gt;"")*ISNUMBER(SEARCH(SitKW,INDEX(FormData,$W250,f_Sit)&amp;""))*(ROW(SitKW)-MIN(ROW(SitKW))+1))))),""))</f>
        <v/>
      </c>
      <c r="I250" s="14">
        <f>IF($W250="","",IFERROR(INDEX(FormData,$W250,f_Appr)&amp;"",""))</f>
        <v/>
      </c>
      <c r="J250" s="16">
        <f>IF($W250="","",IFERROR(INDEX(FormData,$W250,f_Trade)&amp;"",""))</f>
        <v/>
      </c>
      <c r="K250" s="16" t="n"/>
      <c r="L250" s="17" t="n"/>
      <c r="M250" s="16" t="n"/>
      <c r="N250" s="17" t="n"/>
      <c r="O250" s="14" t="n"/>
      <c r="P250" s="14" t="n"/>
      <c r="Q250" s="18" t="n"/>
      <c r="R250" s="18" t="n"/>
      <c r="S250" s="13">
        <f>IF($P250&lt;&gt;"✓","",IF($R250&lt;&gt;"","Done",IF($Q250="","Open — no date",IF($Q250&lt;TODAY(),"Overdue",IF($Q250-TODAY()&lt;=DueSoon,"Due soon","Scheduled")))))</f>
        <v/>
      </c>
      <c r="T250" s="14">
        <f>IF($W250="","",IFERROR(IF(INDEX(FormData,$W250,f_Consent)&amp;""="","",IF(ISNUMBER(SEARCH("yes",INDEX(FormData,$W250,f_Consent))),"Yes","No")),""))</f>
        <v/>
      </c>
      <c r="U250" s="14" t="n"/>
      <c r="V250" s="13">
        <f>IF($U250="","",IF($W250="","not found","✓"))</f>
        <v/>
      </c>
      <c r="W250">
        <f>IF($U250="","",IFERROR(MATCH($U250,INDEX(FormData,0,f_Id),0),IFERROR(MATCH(--$U250,INDEX(FormData,0,f_Id),0),IFERROR(MATCH($U250&amp;"",INDEX(FormData,0,f_Id),0),""))))</f>
        <v/>
      </c>
      <c r="X250">
        <f>IF(AND($B250&lt;&gt;"",$B250='Event Report'!$C$3),ROW(),"")</f>
        <v/>
      </c>
      <c r="Y250">
        <f>IF(AND($P250="✓",$R250=""),IF($Q250="",90000,$Q250)+ROW()/100000,"")</f>
        <v/>
      </c>
      <c r="Z250">
        <f>IF(OR($U250&lt;&gt;"",$D250&lt;&gt;"",$E250&lt;&gt;"",$N250&lt;&gt;""),1,"")</f>
        <v/>
      </c>
    </row>
    <row r="251">
      <c r="A251" s="13" t="inlineStr">
        <is>
          <t>P-0247</t>
        </is>
      </c>
      <c r="B251" s="14">
        <f>IF(AND($U251="",$C251=""),"",IFERROR(INDEX(EvID,MATCH(INDEX(FormData,$W251,f_Event),EvID,0)),IFERROR(INDEX(EvID,MATCH(INDEX(FormData,$W251,f_Event),EvName,0)),IFERROR(INDEX(EvID,MATCH(INT($C251),EvDate,0)),""))))</f>
        <v/>
      </c>
      <c r="C251" s="15">
        <f>IF($W251="","",INDEX(FormData,$W251,f_Time))</f>
        <v/>
      </c>
      <c r="D251" s="14">
        <f>IF($W251="","",IFERROR(UPPER(LEFT(TRIM(INDEX(FormData,$W251,f_Name)),1)&amp;IFERROR(MID(TRIM(INDEX(FormData,$W251,f_Name)),FIND("^",SUBSTITUTE(TRIM(INDEX(FormData,$W251,f_Name))," ","^",LEN(TRIM(INDEX(FormData,$W251,f_Name)))-LEN(SUBSTITUTE(TRIM(INDEX(FormData,$W251,f_Name))," ",""))))+1,1),"")),""))</f>
        <v/>
      </c>
      <c r="E251" s="16">
        <f>IF($W251="","",IFERROR(IF(SUMPRODUCT(MAX((WhoKW&lt;&gt;"")*ISNUMBER(SEARCH(WhoKW,INDEX(FormData,$W251,f_Who)&amp;""))*(ROW(WhoKW)-MIN(ROW(WhoKW))+1)))=0,"",INDEX(WhoVal,SUMPRODUCT(MAX((WhoKW&lt;&gt;"")*ISNUMBER(SEARCH(WhoKW,INDEX(FormData,$W251,f_Who)&amp;""))*(ROW(WhoKW)-MIN(ROW(WhoKW))+1))))),""))</f>
        <v/>
      </c>
      <c r="F251" s="17">
        <f>IF($W251="","",TRIM(IFERROR(INDEX(FormData,$W251,f_Org1)&amp;"","")&amp;" "&amp;IFERROR(INDEX(FormData,$W251,f_Org2)&amp;"","")))</f>
        <v/>
      </c>
      <c r="G251" s="16">
        <f>IF($W251="","",IFERROR(INDEX(FormData,$W251,f_Region)&amp;"",""))</f>
        <v/>
      </c>
      <c r="H251" s="16">
        <f>IF($W251="","",IFERROR(IF(SUMPRODUCT(MAX((SitKW&lt;&gt;"")*ISNUMBER(SEARCH(SitKW,INDEX(FormData,$W251,f_Sit)&amp;""))*(ROW(SitKW)-MIN(ROW(SitKW))+1)))=0,"",INDEX(SitVal,SUMPRODUCT(MAX((SitKW&lt;&gt;"")*ISNUMBER(SEARCH(SitKW,INDEX(FormData,$W251,f_Sit)&amp;""))*(ROW(SitKW)-MIN(ROW(SitKW))+1))))),""))</f>
        <v/>
      </c>
      <c r="I251" s="14">
        <f>IF($W251="","",IFERROR(INDEX(FormData,$W251,f_Appr)&amp;"",""))</f>
        <v/>
      </c>
      <c r="J251" s="16">
        <f>IF($W251="","",IFERROR(INDEX(FormData,$W251,f_Trade)&amp;"",""))</f>
        <v/>
      </c>
      <c r="K251" s="16" t="n"/>
      <c r="L251" s="17" t="n"/>
      <c r="M251" s="16" t="n"/>
      <c r="N251" s="17" t="n"/>
      <c r="O251" s="14" t="n"/>
      <c r="P251" s="14" t="n"/>
      <c r="Q251" s="18" t="n"/>
      <c r="R251" s="18" t="n"/>
      <c r="S251" s="13">
        <f>IF($P251&lt;&gt;"✓","",IF($R251&lt;&gt;"","Done",IF($Q251="","Open — no date",IF($Q251&lt;TODAY(),"Overdue",IF($Q251-TODAY()&lt;=DueSoon,"Due soon","Scheduled")))))</f>
        <v/>
      </c>
      <c r="T251" s="14">
        <f>IF($W251="","",IFERROR(IF(INDEX(FormData,$W251,f_Consent)&amp;""="","",IF(ISNUMBER(SEARCH("yes",INDEX(FormData,$W251,f_Consent))),"Yes","No")),""))</f>
        <v/>
      </c>
      <c r="U251" s="14" t="n"/>
      <c r="V251" s="13">
        <f>IF($U251="","",IF($W251="","not found","✓"))</f>
        <v/>
      </c>
      <c r="W251">
        <f>IF($U251="","",IFERROR(MATCH($U251,INDEX(FormData,0,f_Id),0),IFERROR(MATCH(--$U251,INDEX(FormData,0,f_Id),0),IFERROR(MATCH($U251&amp;"",INDEX(FormData,0,f_Id),0),""))))</f>
        <v/>
      </c>
      <c r="X251">
        <f>IF(AND($B251&lt;&gt;"",$B251='Event Report'!$C$3),ROW(),"")</f>
        <v/>
      </c>
      <c r="Y251">
        <f>IF(AND($P251="✓",$R251=""),IF($Q251="",90000,$Q251)+ROW()/100000,"")</f>
        <v/>
      </c>
      <c r="Z251">
        <f>IF(OR($U251&lt;&gt;"",$D251&lt;&gt;"",$E251&lt;&gt;"",$N251&lt;&gt;""),1,"")</f>
        <v/>
      </c>
    </row>
    <row r="252">
      <c r="A252" s="13" t="inlineStr">
        <is>
          <t>P-0248</t>
        </is>
      </c>
      <c r="B252" s="14">
        <f>IF(AND($U252="",$C252=""),"",IFERROR(INDEX(EvID,MATCH(INDEX(FormData,$W252,f_Event),EvID,0)),IFERROR(INDEX(EvID,MATCH(INDEX(FormData,$W252,f_Event),EvName,0)),IFERROR(INDEX(EvID,MATCH(INT($C252),EvDate,0)),""))))</f>
        <v/>
      </c>
      <c r="C252" s="15">
        <f>IF($W252="","",INDEX(FormData,$W252,f_Time))</f>
        <v/>
      </c>
      <c r="D252" s="14">
        <f>IF($W252="","",IFERROR(UPPER(LEFT(TRIM(INDEX(FormData,$W252,f_Name)),1)&amp;IFERROR(MID(TRIM(INDEX(FormData,$W252,f_Name)),FIND("^",SUBSTITUTE(TRIM(INDEX(FormData,$W252,f_Name))," ","^",LEN(TRIM(INDEX(FormData,$W252,f_Name)))-LEN(SUBSTITUTE(TRIM(INDEX(FormData,$W252,f_Name))," ",""))))+1,1),"")),""))</f>
        <v/>
      </c>
      <c r="E252" s="16">
        <f>IF($W252="","",IFERROR(IF(SUMPRODUCT(MAX((WhoKW&lt;&gt;"")*ISNUMBER(SEARCH(WhoKW,INDEX(FormData,$W252,f_Who)&amp;""))*(ROW(WhoKW)-MIN(ROW(WhoKW))+1)))=0,"",INDEX(WhoVal,SUMPRODUCT(MAX((WhoKW&lt;&gt;"")*ISNUMBER(SEARCH(WhoKW,INDEX(FormData,$W252,f_Who)&amp;""))*(ROW(WhoKW)-MIN(ROW(WhoKW))+1))))),""))</f>
        <v/>
      </c>
      <c r="F252" s="17">
        <f>IF($W252="","",TRIM(IFERROR(INDEX(FormData,$W252,f_Org1)&amp;"","")&amp;" "&amp;IFERROR(INDEX(FormData,$W252,f_Org2)&amp;"","")))</f>
        <v/>
      </c>
      <c r="G252" s="16">
        <f>IF($W252="","",IFERROR(INDEX(FormData,$W252,f_Region)&amp;"",""))</f>
        <v/>
      </c>
      <c r="H252" s="16">
        <f>IF($W252="","",IFERROR(IF(SUMPRODUCT(MAX((SitKW&lt;&gt;"")*ISNUMBER(SEARCH(SitKW,INDEX(FormData,$W252,f_Sit)&amp;""))*(ROW(SitKW)-MIN(ROW(SitKW))+1)))=0,"",INDEX(SitVal,SUMPRODUCT(MAX((SitKW&lt;&gt;"")*ISNUMBER(SEARCH(SitKW,INDEX(FormData,$W252,f_Sit)&amp;""))*(ROW(SitKW)-MIN(ROW(SitKW))+1))))),""))</f>
        <v/>
      </c>
      <c r="I252" s="14">
        <f>IF($W252="","",IFERROR(INDEX(FormData,$W252,f_Appr)&amp;"",""))</f>
        <v/>
      </c>
      <c r="J252" s="16">
        <f>IF($W252="","",IFERROR(INDEX(FormData,$W252,f_Trade)&amp;"",""))</f>
        <v/>
      </c>
      <c r="K252" s="16" t="n"/>
      <c r="L252" s="17" t="n"/>
      <c r="M252" s="16" t="n"/>
      <c r="N252" s="17" t="n"/>
      <c r="O252" s="14" t="n"/>
      <c r="P252" s="14" t="n"/>
      <c r="Q252" s="18" t="n"/>
      <c r="R252" s="18" t="n"/>
      <c r="S252" s="13">
        <f>IF($P252&lt;&gt;"✓","",IF($R252&lt;&gt;"","Done",IF($Q252="","Open — no date",IF($Q252&lt;TODAY(),"Overdue",IF($Q252-TODAY()&lt;=DueSoon,"Due soon","Scheduled")))))</f>
        <v/>
      </c>
      <c r="T252" s="14">
        <f>IF($W252="","",IFERROR(IF(INDEX(FormData,$W252,f_Consent)&amp;""="","",IF(ISNUMBER(SEARCH("yes",INDEX(FormData,$W252,f_Consent))),"Yes","No")),""))</f>
        <v/>
      </c>
      <c r="U252" s="14" t="n"/>
      <c r="V252" s="13">
        <f>IF($U252="","",IF($W252="","not found","✓"))</f>
        <v/>
      </c>
      <c r="W252">
        <f>IF($U252="","",IFERROR(MATCH($U252,INDEX(FormData,0,f_Id),0),IFERROR(MATCH(--$U252,INDEX(FormData,0,f_Id),0),IFERROR(MATCH($U252&amp;"",INDEX(FormData,0,f_Id),0),""))))</f>
        <v/>
      </c>
      <c r="X252">
        <f>IF(AND($B252&lt;&gt;"",$B252='Event Report'!$C$3),ROW(),"")</f>
        <v/>
      </c>
      <c r="Y252">
        <f>IF(AND($P252="✓",$R252=""),IF($Q252="",90000,$Q252)+ROW()/100000,"")</f>
        <v/>
      </c>
      <c r="Z252">
        <f>IF(OR($U252&lt;&gt;"",$D252&lt;&gt;"",$E252&lt;&gt;"",$N252&lt;&gt;""),1,"")</f>
        <v/>
      </c>
    </row>
    <row r="253">
      <c r="A253" s="13" t="inlineStr">
        <is>
          <t>P-0249</t>
        </is>
      </c>
      <c r="B253" s="14">
        <f>IF(AND($U253="",$C253=""),"",IFERROR(INDEX(EvID,MATCH(INDEX(FormData,$W253,f_Event),EvID,0)),IFERROR(INDEX(EvID,MATCH(INDEX(FormData,$W253,f_Event),EvName,0)),IFERROR(INDEX(EvID,MATCH(INT($C253),EvDate,0)),""))))</f>
        <v/>
      </c>
      <c r="C253" s="15">
        <f>IF($W253="","",INDEX(FormData,$W253,f_Time))</f>
        <v/>
      </c>
      <c r="D253" s="14">
        <f>IF($W253="","",IFERROR(UPPER(LEFT(TRIM(INDEX(FormData,$W253,f_Name)),1)&amp;IFERROR(MID(TRIM(INDEX(FormData,$W253,f_Name)),FIND("^",SUBSTITUTE(TRIM(INDEX(FormData,$W253,f_Name))," ","^",LEN(TRIM(INDEX(FormData,$W253,f_Name)))-LEN(SUBSTITUTE(TRIM(INDEX(FormData,$W253,f_Name))," ",""))))+1,1),"")),""))</f>
        <v/>
      </c>
      <c r="E253" s="16">
        <f>IF($W253="","",IFERROR(IF(SUMPRODUCT(MAX((WhoKW&lt;&gt;"")*ISNUMBER(SEARCH(WhoKW,INDEX(FormData,$W253,f_Who)&amp;""))*(ROW(WhoKW)-MIN(ROW(WhoKW))+1)))=0,"",INDEX(WhoVal,SUMPRODUCT(MAX((WhoKW&lt;&gt;"")*ISNUMBER(SEARCH(WhoKW,INDEX(FormData,$W253,f_Who)&amp;""))*(ROW(WhoKW)-MIN(ROW(WhoKW))+1))))),""))</f>
        <v/>
      </c>
      <c r="F253" s="17">
        <f>IF($W253="","",TRIM(IFERROR(INDEX(FormData,$W253,f_Org1)&amp;"","")&amp;" "&amp;IFERROR(INDEX(FormData,$W253,f_Org2)&amp;"","")))</f>
        <v/>
      </c>
      <c r="G253" s="16">
        <f>IF($W253="","",IFERROR(INDEX(FormData,$W253,f_Region)&amp;"",""))</f>
        <v/>
      </c>
      <c r="H253" s="16">
        <f>IF($W253="","",IFERROR(IF(SUMPRODUCT(MAX((SitKW&lt;&gt;"")*ISNUMBER(SEARCH(SitKW,INDEX(FormData,$W253,f_Sit)&amp;""))*(ROW(SitKW)-MIN(ROW(SitKW))+1)))=0,"",INDEX(SitVal,SUMPRODUCT(MAX((SitKW&lt;&gt;"")*ISNUMBER(SEARCH(SitKW,INDEX(FormData,$W253,f_Sit)&amp;""))*(ROW(SitKW)-MIN(ROW(SitKW))+1))))),""))</f>
        <v/>
      </c>
      <c r="I253" s="14">
        <f>IF($W253="","",IFERROR(INDEX(FormData,$W253,f_Appr)&amp;"",""))</f>
        <v/>
      </c>
      <c r="J253" s="16">
        <f>IF($W253="","",IFERROR(INDEX(FormData,$W253,f_Trade)&amp;"",""))</f>
        <v/>
      </c>
      <c r="K253" s="16" t="n"/>
      <c r="L253" s="17" t="n"/>
      <c r="M253" s="16" t="n"/>
      <c r="N253" s="17" t="n"/>
      <c r="O253" s="14" t="n"/>
      <c r="P253" s="14" t="n"/>
      <c r="Q253" s="18" t="n"/>
      <c r="R253" s="18" t="n"/>
      <c r="S253" s="13">
        <f>IF($P253&lt;&gt;"✓","",IF($R253&lt;&gt;"","Done",IF($Q253="","Open — no date",IF($Q253&lt;TODAY(),"Overdue",IF($Q253-TODAY()&lt;=DueSoon,"Due soon","Scheduled")))))</f>
        <v/>
      </c>
      <c r="T253" s="14">
        <f>IF($W253="","",IFERROR(IF(INDEX(FormData,$W253,f_Consent)&amp;""="","",IF(ISNUMBER(SEARCH("yes",INDEX(FormData,$W253,f_Consent))),"Yes","No")),""))</f>
        <v/>
      </c>
      <c r="U253" s="14" t="n"/>
      <c r="V253" s="13">
        <f>IF($U253="","",IF($W253="","not found","✓"))</f>
        <v/>
      </c>
      <c r="W253">
        <f>IF($U253="","",IFERROR(MATCH($U253,INDEX(FormData,0,f_Id),0),IFERROR(MATCH(--$U253,INDEX(FormData,0,f_Id),0),IFERROR(MATCH($U253&amp;"",INDEX(FormData,0,f_Id),0),""))))</f>
        <v/>
      </c>
      <c r="X253">
        <f>IF(AND($B253&lt;&gt;"",$B253='Event Report'!$C$3),ROW(),"")</f>
        <v/>
      </c>
      <c r="Y253">
        <f>IF(AND($P253="✓",$R253=""),IF($Q253="",90000,$Q253)+ROW()/100000,"")</f>
        <v/>
      </c>
      <c r="Z253">
        <f>IF(OR($U253&lt;&gt;"",$D253&lt;&gt;"",$E253&lt;&gt;"",$N253&lt;&gt;""),1,"")</f>
        <v/>
      </c>
    </row>
    <row r="254">
      <c r="A254" s="13" t="inlineStr">
        <is>
          <t>P-0250</t>
        </is>
      </c>
      <c r="B254" s="14">
        <f>IF(AND($U254="",$C254=""),"",IFERROR(INDEX(EvID,MATCH(INDEX(FormData,$W254,f_Event),EvID,0)),IFERROR(INDEX(EvID,MATCH(INDEX(FormData,$W254,f_Event),EvName,0)),IFERROR(INDEX(EvID,MATCH(INT($C254),EvDate,0)),""))))</f>
        <v/>
      </c>
      <c r="C254" s="15">
        <f>IF($W254="","",INDEX(FormData,$W254,f_Time))</f>
        <v/>
      </c>
      <c r="D254" s="14">
        <f>IF($W254="","",IFERROR(UPPER(LEFT(TRIM(INDEX(FormData,$W254,f_Name)),1)&amp;IFERROR(MID(TRIM(INDEX(FormData,$W254,f_Name)),FIND("^",SUBSTITUTE(TRIM(INDEX(FormData,$W254,f_Name))," ","^",LEN(TRIM(INDEX(FormData,$W254,f_Name)))-LEN(SUBSTITUTE(TRIM(INDEX(FormData,$W254,f_Name))," ",""))))+1,1),"")),""))</f>
        <v/>
      </c>
      <c r="E254" s="16">
        <f>IF($W254="","",IFERROR(IF(SUMPRODUCT(MAX((WhoKW&lt;&gt;"")*ISNUMBER(SEARCH(WhoKW,INDEX(FormData,$W254,f_Who)&amp;""))*(ROW(WhoKW)-MIN(ROW(WhoKW))+1)))=0,"",INDEX(WhoVal,SUMPRODUCT(MAX((WhoKW&lt;&gt;"")*ISNUMBER(SEARCH(WhoKW,INDEX(FormData,$W254,f_Who)&amp;""))*(ROW(WhoKW)-MIN(ROW(WhoKW))+1))))),""))</f>
        <v/>
      </c>
      <c r="F254" s="17">
        <f>IF($W254="","",TRIM(IFERROR(INDEX(FormData,$W254,f_Org1)&amp;"","")&amp;" "&amp;IFERROR(INDEX(FormData,$W254,f_Org2)&amp;"","")))</f>
        <v/>
      </c>
      <c r="G254" s="16">
        <f>IF($W254="","",IFERROR(INDEX(FormData,$W254,f_Region)&amp;"",""))</f>
        <v/>
      </c>
      <c r="H254" s="16">
        <f>IF($W254="","",IFERROR(IF(SUMPRODUCT(MAX((SitKW&lt;&gt;"")*ISNUMBER(SEARCH(SitKW,INDEX(FormData,$W254,f_Sit)&amp;""))*(ROW(SitKW)-MIN(ROW(SitKW))+1)))=0,"",INDEX(SitVal,SUMPRODUCT(MAX((SitKW&lt;&gt;"")*ISNUMBER(SEARCH(SitKW,INDEX(FormData,$W254,f_Sit)&amp;""))*(ROW(SitKW)-MIN(ROW(SitKW))+1))))),""))</f>
        <v/>
      </c>
      <c r="I254" s="14">
        <f>IF($W254="","",IFERROR(INDEX(FormData,$W254,f_Appr)&amp;"",""))</f>
        <v/>
      </c>
      <c r="J254" s="16">
        <f>IF($W254="","",IFERROR(INDEX(FormData,$W254,f_Trade)&amp;"",""))</f>
        <v/>
      </c>
      <c r="K254" s="16" t="n"/>
      <c r="L254" s="17" t="n"/>
      <c r="M254" s="16" t="n"/>
      <c r="N254" s="17" t="n"/>
      <c r="O254" s="14" t="n"/>
      <c r="P254" s="14" t="n"/>
      <c r="Q254" s="18" t="n"/>
      <c r="R254" s="18" t="n"/>
      <c r="S254" s="13">
        <f>IF($P254&lt;&gt;"✓","",IF($R254&lt;&gt;"","Done",IF($Q254="","Open — no date",IF($Q254&lt;TODAY(),"Overdue",IF($Q254-TODAY()&lt;=DueSoon,"Due soon","Scheduled")))))</f>
        <v/>
      </c>
      <c r="T254" s="14">
        <f>IF($W254="","",IFERROR(IF(INDEX(FormData,$W254,f_Consent)&amp;""="","",IF(ISNUMBER(SEARCH("yes",INDEX(FormData,$W254,f_Consent))),"Yes","No")),""))</f>
        <v/>
      </c>
      <c r="U254" s="14" t="n"/>
      <c r="V254" s="13">
        <f>IF($U254="","",IF($W254="","not found","✓"))</f>
        <v/>
      </c>
      <c r="W254">
        <f>IF($U254="","",IFERROR(MATCH($U254,INDEX(FormData,0,f_Id),0),IFERROR(MATCH(--$U254,INDEX(FormData,0,f_Id),0),IFERROR(MATCH($U254&amp;"",INDEX(FormData,0,f_Id),0),""))))</f>
        <v/>
      </c>
      <c r="X254">
        <f>IF(AND($B254&lt;&gt;"",$B254='Event Report'!$C$3),ROW(),"")</f>
        <v/>
      </c>
      <c r="Y254">
        <f>IF(AND($P254="✓",$R254=""),IF($Q254="",90000,$Q254)+ROW()/100000,"")</f>
        <v/>
      </c>
      <c r="Z254">
        <f>IF(OR($U254&lt;&gt;"",$D254&lt;&gt;"",$E254&lt;&gt;"",$N254&lt;&gt;""),1,"")</f>
        <v/>
      </c>
    </row>
    <row r="255">
      <c r="A255" s="13" t="inlineStr">
        <is>
          <t>P-0251</t>
        </is>
      </c>
      <c r="B255" s="14">
        <f>IF(AND($U255="",$C255=""),"",IFERROR(INDEX(EvID,MATCH(INDEX(FormData,$W255,f_Event),EvID,0)),IFERROR(INDEX(EvID,MATCH(INDEX(FormData,$W255,f_Event),EvName,0)),IFERROR(INDEX(EvID,MATCH(INT($C255),EvDate,0)),""))))</f>
        <v/>
      </c>
      <c r="C255" s="15">
        <f>IF($W255="","",INDEX(FormData,$W255,f_Time))</f>
        <v/>
      </c>
      <c r="D255" s="14">
        <f>IF($W255="","",IFERROR(UPPER(LEFT(TRIM(INDEX(FormData,$W255,f_Name)),1)&amp;IFERROR(MID(TRIM(INDEX(FormData,$W255,f_Name)),FIND("^",SUBSTITUTE(TRIM(INDEX(FormData,$W255,f_Name))," ","^",LEN(TRIM(INDEX(FormData,$W255,f_Name)))-LEN(SUBSTITUTE(TRIM(INDEX(FormData,$W255,f_Name))," ",""))))+1,1),"")),""))</f>
        <v/>
      </c>
      <c r="E255" s="16">
        <f>IF($W255="","",IFERROR(IF(SUMPRODUCT(MAX((WhoKW&lt;&gt;"")*ISNUMBER(SEARCH(WhoKW,INDEX(FormData,$W255,f_Who)&amp;""))*(ROW(WhoKW)-MIN(ROW(WhoKW))+1)))=0,"",INDEX(WhoVal,SUMPRODUCT(MAX((WhoKW&lt;&gt;"")*ISNUMBER(SEARCH(WhoKW,INDEX(FormData,$W255,f_Who)&amp;""))*(ROW(WhoKW)-MIN(ROW(WhoKW))+1))))),""))</f>
        <v/>
      </c>
      <c r="F255" s="17">
        <f>IF($W255="","",TRIM(IFERROR(INDEX(FormData,$W255,f_Org1)&amp;"","")&amp;" "&amp;IFERROR(INDEX(FormData,$W255,f_Org2)&amp;"","")))</f>
        <v/>
      </c>
      <c r="G255" s="16">
        <f>IF($W255="","",IFERROR(INDEX(FormData,$W255,f_Region)&amp;"",""))</f>
        <v/>
      </c>
      <c r="H255" s="16">
        <f>IF($W255="","",IFERROR(IF(SUMPRODUCT(MAX((SitKW&lt;&gt;"")*ISNUMBER(SEARCH(SitKW,INDEX(FormData,$W255,f_Sit)&amp;""))*(ROW(SitKW)-MIN(ROW(SitKW))+1)))=0,"",INDEX(SitVal,SUMPRODUCT(MAX((SitKW&lt;&gt;"")*ISNUMBER(SEARCH(SitKW,INDEX(FormData,$W255,f_Sit)&amp;""))*(ROW(SitKW)-MIN(ROW(SitKW))+1))))),""))</f>
        <v/>
      </c>
      <c r="I255" s="14">
        <f>IF($W255="","",IFERROR(INDEX(FormData,$W255,f_Appr)&amp;"",""))</f>
        <v/>
      </c>
      <c r="J255" s="16">
        <f>IF($W255="","",IFERROR(INDEX(FormData,$W255,f_Trade)&amp;"",""))</f>
        <v/>
      </c>
      <c r="K255" s="16" t="n"/>
      <c r="L255" s="17" t="n"/>
      <c r="M255" s="16" t="n"/>
      <c r="N255" s="17" t="n"/>
      <c r="O255" s="14" t="n"/>
      <c r="P255" s="14" t="n"/>
      <c r="Q255" s="18" t="n"/>
      <c r="R255" s="18" t="n"/>
      <c r="S255" s="13">
        <f>IF($P255&lt;&gt;"✓","",IF($R255&lt;&gt;"","Done",IF($Q255="","Open — no date",IF($Q255&lt;TODAY(),"Overdue",IF($Q255-TODAY()&lt;=DueSoon,"Due soon","Scheduled")))))</f>
        <v/>
      </c>
      <c r="T255" s="14">
        <f>IF($W255="","",IFERROR(IF(INDEX(FormData,$W255,f_Consent)&amp;""="","",IF(ISNUMBER(SEARCH("yes",INDEX(FormData,$W255,f_Consent))),"Yes","No")),""))</f>
        <v/>
      </c>
      <c r="U255" s="14" t="n"/>
      <c r="V255" s="13">
        <f>IF($U255="","",IF($W255="","not found","✓"))</f>
        <v/>
      </c>
      <c r="W255">
        <f>IF($U255="","",IFERROR(MATCH($U255,INDEX(FormData,0,f_Id),0),IFERROR(MATCH(--$U255,INDEX(FormData,0,f_Id),0),IFERROR(MATCH($U255&amp;"",INDEX(FormData,0,f_Id),0),""))))</f>
        <v/>
      </c>
      <c r="X255">
        <f>IF(AND($B255&lt;&gt;"",$B255='Event Report'!$C$3),ROW(),"")</f>
        <v/>
      </c>
      <c r="Y255">
        <f>IF(AND($P255="✓",$R255=""),IF($Q255="",90000,$Q255)+ROW()/100000,"")</f>
        <v/>
      </c>
      <c r="Z255">
        <f>IF(OR($U255&lt;&gt;"",$D255&lt;&gt;"",$E255&lt;&gt;"",$N255&lt;&gt;""),1,"")</f>
        <v/>
      </c>
    </row>
    <row r="256">
      <c r="A256" s="13" t="inlineStr">
        <is>
          <t>P-0252</t>
        </is>
      </c>
      <c r="B256" s="14">
        <f>IF(AND($U256="",$C256=""),"",IFERROR(INDEX(EvID,MATCH(INDEX(FormData,$W256,f_Event),EvID,0)),IFERROR(INDEX(EvID,MATCH(INDEX(FormData,$W256,f_Event),EvName,0)),IFERROR(INDEX(EvID,MATCH(INT($C256),EvDate,0)),""))))</f>
        <v/>
      </c>
      <c r="C256" s="15">
        <f>IF($W256="","",INDEX(FormData,$W256,f_Time))</f>
        <v/>
      </c>
      <c r="D256" s="14">
        <f>IF($W256="","",IFERROR(UPPER(LEFT(TRIM(INDEX(FormData,$W256,f_Name)),1)&amp;IFERROR(MID(TRIM(INDEX(FormData,$W256,f_Name)),FIND("^",SUBSTITUTE(TRIM(INDEX(FormData,$W256,f_Name))," ","^",LEN(TRIM(INDEX(FormData,$W256,f_Name)))-LEN(SUBSTITUTE(TRIM(INDEX(FormData,$W256,f_Name))," ",""))))+1,1),"")),""))</f>
        <v/>
      </c>
      <c r="E256" s="16">
        <f>IF($W256="","",IFERROR(IF(SUMPRODUCT(MAX((WhoKW&lt;&gt;"")*ISNUMBER(SEARCH(WhoKW,INDEX(FormData,$W256,f_Who)&amp;""))*(ROW(WhoKW)-MIN(ROW(WhoKW))+1)))=0,"",INDEX(WhoVal,SUMPRODUCT(MAX((WhoKW&lt;&gt;"")*ISNUMBER(SEARCH(WhoKW,INDEX(FormData,$W256,f_Who)&amp;""))*(ROW(WhoKW)-MIN(ROW(WhoKW))+1))))),""))</f>
        <v/>
      </c>
      <c r="F256" s="17">
        <f>IF($W256="","",TRIM(IFERROR(INDEX(FormData,$W256,f_Org1)&amp;"","")&amp;" "&amp;IFERROR(INDEX(FormData,$W256,f_Org2)&amp;"","")))</f>
        <v/>
      </c>
      <c r="G256" s="16">
        <f>IF($W256="","",IFERROR(INDEX(FormData,$W256,f_Region)&amp;"",""))</f>
        <v/>
      </c>
      <c r="H256" s="16">
        <f>IF($W256="","",IFERROR(IF(SUMPRODUCT(MAX((SitKW&lt;&gt;"")*ISNUMBER(SEARCH(SitKW,INDEX(FormData,$W256,f_Sit)&amp;""))*(ROW(SitKW)-MIN(ROW(SitKW))+1)))=0,"",INDEX(SitVal,SUMPRODUCT(MAX((SitKW&lt;&gt;"")*ISNUMBER(SEARCH(SitKW,INDEX(FormData,$W256,f_Sit)&amp;""))*(ROW(SitKW)-MIN(ROW(SitKW))+1))))),""))</f>
        <v/>
      </c>
      <c r="I256" s="14">
        <f>IF($W256="","",IFERROR(INDEX(FormData,$W256,f_Appr)&amp;"",""))</f>
        <v/>
      </c>
      <c r="J256" s="16">
        <f>IF($W256="","",IFERROR(INDEX(FormData,$W256,f_Trade)&amp;"",""))</f>
        <v/>
      </c>
      <c r="K256" s="16" t="n"/>
      <c r="L256" s="17" t="n"/>
      <c r="M256" s="16" t="n"/>
      <c r="N256" s="17" t="n"/>
      <c r="O256" s="14" t="n"/>
      <c r="P256" s="14" t="n"/>
      <c r="Q256" s="18" t="n"/>
      <c r="R256" s="18" t="n"/>
      <c r="S256" s="13">
        <f>IF($P256&lt;&gt;"✓","",IF($R256&lt;&gt;"","Done",IF($Q256="","Open — no date",IF($Q256&lt;TODAY(),"Overdue",IF($Q256-TODAY()&lt;=DueSoon,"Due soon","Scheduled")))))</f>
        <v/>
      </c>
      <c r="T256" s="14">
        <f>IF($W256="","",IFERROR(IF(INDEX(FormData,$W256,f_Consent)&amp;""="","",IF(ISNUMBER(SEARCH("yes",INDEX(FormData,$W256,f_Consent))),"Yes","No")),""))</f>
        <v/>
      </c>
      <c r="U256" s="14" t="n"/>
      <c r="V256" s="13">
        <f>IF($U256="","",IF($W256="","not found","✓"))</f>
        <v/>
      </c>
      <c r="W256">
        <f>IF($U256="","",IFERROR(MATCH($U256,INDEX(FormData,0,f_Id),0),IFERROR(MATCH(--$U256,INDEX(FormData,0,f_Id),0),IFERROR(MATCH($U256&amp;"",INDEX(FormData,0,f_Id),0),""))))</f>
        <v/>
      </c>
      <c r="X256">
        <f>IF(AND($B256&lt;&gt;"",$B256='Event Report'!$C$3),ROW(),"")</f>
        <v/>
      </c>
      <c r="Y256">
        <f>IF(AND($P256="✓",$R256=""),IF($Q256="",90000,$Q256)+ROW()/100000,"")</f>
        <v/>
      </c>
      <c r="Z256">
        <f>IF(OR($U256&lt;&gt;"",$D256&lt;&gt;"",$E256&lt;&gt;"",$N256&lt;&gt;""),1,"")</f>
        <v/>
      </c>
    </row>
    <row r="257">
      <c r="A257" s="13" t="inlineStr">
        <is>
          <t>P-0253</t>
        </is>
      </c>
      <c r="B257" s="14">
        <f>IF(AND($U257="",$C257=""),"",IFERROR(INDEX(EvID,MATCH(INDEX(FormData,$W257,f_Event),EvID,0)),IFERROR(INDEX(EvID,MATCH(INDEX(FormData,$W257,f_Event),EvName,0)),IFERROR(INDEX(EvID,MATCH(INT($C257),EvDate,0)),""))))</f>
        <v/>
      </c>
      <c r="C257" s="15">
        <f>IF($W257="","",INDEX(FormData,$W257,f_Time))</f>
        <v/>
      </c>
      <c r="D257" s="14">
        <f>IF($W257="","",IFERROR(UPPER(LEFT(TRIM(INDEX(FormData,$W257,f_Name)),1)&amp;IFERROR(MID(TRIM(INDEX(FormData,$W257,f_Name)),FIND("^",SUBSTITUTE(TRIM(INDEX(FormData,$W257,f_Name))," ","^",LEN(TRIM(INDEX(FormData,$W257,f_Name)))-LEN(SUBSTITUTE(TRIM(INDEX(FormData,$W257,f_Name))," ",""))))+1,1),"")),""))</f>
        <v/>
      </c>
      <c r="E257" s="16">
        <f>IF($W257="","",IFERROR(IF(SUMPRODUCT(MAX((WhoKW&lt;&gt;"")*ISNUMBER(SEARCH(WhoKW,INDEX(FormData,$W257,f_Who)&amp;""))*(ROW(WhoKW)-MIN(ROW(WhoKW))+1)))=0,"",INDEX(WhoVal,SUMPRODUCT(MAX((WhoKW&lt;&gt;"")*ISNUMBER(SEARCH(WhoKW,INDEX(FormData,$W257,f_Who)&amp;""))*(ROW(WhoKW)-MIN(ROW(WhoKW))+1))))),""))</f>
        <v/>
      </c>
      <c r="F257" s="17">
        <f>IF($W257="","",TRIM(IFERROR(INDEX(FormData,$W257,f_Org1)&amp;"","")&amp;" "&amp;IFERROR(INDEX(FormData,$W257,f_Org2)&amp;"","")))</f>
        <v/>
      </c>
      <c r="G257" s="16">
        <f>IF($W257="","",IFERROR(INDEX(FormData,$W257,f_Region)&amp;"",""))</f>
        <v/>
      </c>
      <c r="H257" s="16">
        <f>IF($W257="","",IFERROR(IF(SUMPRODUCT(MAX((SitKW&lt;&gt;"")*ISNUMBER(SEARCH(SitKW,INDEX(FormData,$W257,f_Sit)&amp;""))*(ROW(SitKW)-MIN(ROW(SitKW))+1)))=0,"",INDEX(SitVal,SUMPRODUCT(MAX((SitKW&lt;&gt;"")*ISNUMBER(SEARCH(SitKW,INDEX(FormData,$W257,f_Sit)&amp;""))*(ROW(SitKW)-MIN(ROW(SitKW))+1))))),""))</f>
        <v/>
      </c>
      <c r="I257" s="14">
        <f>IF($W257="","",IFERROR(INDEX(FormData,$W257,f_Appr)&amp;"",""))</f>
        <v/>
      </c>
      <c r="J257" s="16">
        <f>IF($W257="","",IFERROR(INDEX(FormData,$W257,f_Trade)&amp;"",""))</f>
        <v/>
      </c>
      <c r="K257" s="16" t="n"/>
      <c r="L257" s="17" t="n"/>
      <c r="M257" s="16" t="n"/>
      <c r="N257" s="17" t="n"/>
      <c r="O257" s="14" t="n"/>
      <c r="P257" s="14" t="n"/>
      <c r="Q257" s="18" t="n"/>
      <c r="R257" s="18" t="n"/>
      <c r="S257" s="13">
        <f>IF($P257&lt;&gt;"✓","",IF($R257&lt;&gt;"","Done",IF($Q257="","Open — no date",IF($Q257&lt;TODAY(),"Overdue",IF($Q257-TODAY()&lt;=DueSoon,"Due soon","Scheduled")))))</f>
        <v/>
      </c>
      <c r="T257" s="14">
        <f>IF($W257="","",IFERROR(IF(INDEX(FormData,$W257,f_Consent)&amp;""="","",IF(ISNUMBER(SEARCH("yes",INDEX(FormData,$W257,f_Consent))),"Yes","No")),""))</f>
        <v/>
      </c>
      <c r="U257" s="14" t="n"/>
      <c r="V257" s="13">
        <f>IF($U257="","",IF($W257="","not found","✓"))</f>
        <v/>
      </c>
      <c r="W257">
        <f>IF($U257="","",IFERROR(MATCH($U257,INDEX(FormData,0,f_Id),0),IFERROR(MATCH(--$U257,INDEX(FormData,0,f_Id),0),IFERROR(MATCH($U257&amp;"",INDEX(FormData,0,f_Id),0),""))))</f>
        <v/>
      </c>
      <c r="X257">
        <f>IF(AND($B257&lt;&gt;"",$B257='Event Report'!$C$3),ROW(),"")</f>
        <v/>
      </c>
      <c r="Y257">
        <f>IF(AND($P257="✓",$R257=""),IF($Q257="",90000,$Q257)+ROW()/100000,"")</f>
        <v/>
      </c>
      <c r="Z257">
        <f>IF(OR($U257&lt;&gt;"",$D257&lt;&gt;"",$E257&lt;&gt;"",$N257&lt;&gt;""),1,"")</f>
        <v/>
      </c>
    </row>
    <row r="258">
      <c r="A258" s="13" t="inlineStr">
        <is>
          <t>P-0254</t>
        </is>
      </c>
      <c r="B258" s="14">
        <f>IF(AND($U258="",$C258=""),"",IFERROR(INDEX(EvID,MATCH(INDEX(FormData,$W258,f_Event),EvID,0)),IFERROR(INDEX(EvID,MATCH(INDEX(FormData,$W258,f_Event),EvName,0)),IFERROR(INDEX(EvID,MATCH(INT($C258),EvDate,0)),""))))</f>
        <v/>
      </c>
      <c r="C258" s="15">
        <f>IF($W258="","",INDEX(FormData,$W258,f_Time))</f>
        <v/>
      </c>
      <c r="D258" s="14">
        <f>IF($W258="","",IFERROR(UPPER(LEFT(TRIM(INDEX(FormData,$W258,f_Name)),1)&amp;IFERROR(MID(TRIM(INDEX(FormData,$W258,f_Name)),FIND("^",SUBSTITUTE(TRIM(INDEX(FormData,$W258,f_Name))," ","^",LEN(TRIM(INDEX(FormData,$W258,f_Name)))-LEN(SUBSTITUTE(TRIM(INDEX(FormData,$W258,f_Name))," ",""))))+1,1),"")),""))</f>
        <v/>
      </c>
      <c r="E258" s="16">
        <f>IF($W258="","",IFERROR(IF(SUMPRODUCT(MAX((WhoKW&lt;&gt;"")*ISNUMBER(SEARCH(WhoKW,INDEX(FormData,$W258,f_Who)&amp;""))*(ROW(WhoKW)-MIN(ROW(WhoKW))+1)))=0,"",INDEX(WhoVal,SUMPRODUCT(MAX((WhoKW&lt;&gt;"")*ISNUMBER(SEARCH(WhoKW,INDEX(FormData,$W258,f_Who)&amp;""))*(ROW(WhoKW)-MIN(ROW(WhoKW))+1))))),""))</f>
        <v/>
      </c>
      <c r="F258" s="17">
        <f>IF($W258="","",TRIM(IFERROR(INDEX(FormData,$W258,f_Org1)&amp;"","")&amp;" "&amp;IFERROR(INDEX(FormData,$W258,f_Org2)&amp;"","")))</f>
        <v/>
      </c>
      <c r="G258" s="16">
        <f>IF($W258="","",IFERROR(INDEX(FormData,$W258,f_Region)&amp;"",""))</f>
        <v/>
      </c>
      <c r="H258" s="16">
        <f>IF($W258="","",IFERROR(IF(SUMPRODUCT(MAX((SitKW&lt;&gt;"")*ISNUMBER(SEARCH(SitKW,INDEX(FormData,$W258,f_Sit)&amp;""))*(ROW(SitKW)-MIN(ROW(SitKW))+1)))=0,"",INDEX(SitVal,SUMPRODUCT(MAX((SitKW&lt;&gt;"")*ISNUMBER(SEARCH(SitKW,INDEX(FormData,$W258,f_Sit)&amp;""))*(ROW(SitKW)-MIN(ROW(SitKW))+1))))),""))</f>
        <v/>
      </c>
      <c r="I258" s="14">
        <f>IF($W258="","",IFERROR(INDEX(FormData,$W258,f_Appr)&amp;"",""))</f>
        <v/>
      </c>
      <c r="J258" s="16">
        <f>IF($W258="","",IFERROR(INDEX(FormData,$W258,f_Trade)&amp;"",""))</f>
        <v/>
      </c>
      <c r="K258" s="16" t="n"/>
      <c r="L258" s="17" t="n"/>
      <c r="M258" s="16" t="n"/>
      <c r="N258" s="17" t="n"/>
      <c r="O258" s="14" t="n"/>
      <c r="P258" s="14" t="n"/>
      <c r="Q258" s="18" t="n"/>
      <c r="R258" s="18" t="n"/>
      <c r="S258" s="13">
        <f>IF($P258&lt;&gt;"✓","",IF($R258&lt;&gt;"","Done",IF($Q258="","Open — no date",IF($Q258&lt;TODAY(),"Overdue",IF($Q258-TODAY()&lt;=DueSoon,"Due soon","Scheduled")))))</f>
        <v/>
      </c>
      <c r="T258" s="14">
        <f>IF($W258="","",IFERROR(IF(INDEX(FormData,$W258,f_Consent)&amp;""="","",IF(ISNUMBER(SEARCH("yes",INDEX(FormData,$W258,f_Consent))),"Yes","No")),""))</f>
        <v/>
      </c>
      <c r="U258" s="14" t="n"/>
      <c r="V258" s="13">
        <f>IF($U258="","",IF($W258="","not found","✓"))</f>
        <v/>
      </c>
      <c r="W258">
        <f>IF($U258="","",IFERROR(MATCH($U258,INDEX(FormData,0,f_Id),0),IFERROR(MATCH(--$U258,INDEX(FormData,0,f_Id),0),IFERROR(MATCH($U258&amp;"",INDEX(FormData,0,f_Id),0),""))))</f>
        <v/>
      </c>
      <c r="X258">
        <f>IF(AND($B258&lt;&gt;"",$B258='Event Report'!$C$3),ROW(),"")</f>
        <v/>
      </c>
      <c r="Y258">
        <f>IF(AND($P258="✓",$R258=""),IF($Q258="",90000,$Q258)+ROW()/100000,"")</f>
        <v/>
      </c>
      <c r="Z258">
        <f>IF(OR($U258&lt;&gt;"",$D258&lt;&gt;"",$E258&lt;&gt;"",$N258&lt;&gt;""),1,"")</f>
        <v/>
      </c>
    </row>
    <row r="259">
      <c r="A259" s="13" t="inlineStr">
        <is>
          <t>P-0255</t>
        </is>
      </c>
      <c r="B259" s="14">
        <f>IF(AND($U259="",$C259=""),"",IFERROR(INDEX(EvID,MATCH(INDEX(FormData,$W259,f_Event),EvID,0)),IFERROR(INDEX(EvID,MATCH(INDEX(FormData,$W259,f_Event),EvName,0)),IFERROR(INDEX(EvID,MATCH(INT($C259),EvDate,0)),""))))</f>
        <v/>
      </c>
      <c r="C259" s="15">
        <f>IF($W259="","",INDEX(FormData,$W259,f_Time))</f>
        <v/>
      </c>
      <c r="D259" s="14">
        <f>IF($W259="","",IFERROR(UPPER(LEFT(TRIM(INDEX(FormData,$W259,f_Name)),1)&amp;IFERROR(MID(TRIM(INDEX(FormData,$W259,f_Name)),FIND("^",SUBSTITUTE(TRIM(INDEX(FormData,$W259,f_Name))," ","^",LEN(TRIM(INDEX(FormData,$W259,f_Name)))-LEN(SUBSTITUTE(TRIM(INDEX(FormData,$W259,f_Name))," ",""))))+1,1),"")),""))</f>
        <v/>
      </c>
      <c r="E259" s="16">
        <f>IF($W259="","",IFERROR(IF(SUMPRODUCT(MAX((WhoKW&lt;&gt;"")*ISNUMBER(SEARCH(WhoKW,INDEX(FormData,$W259,f_Who)&amp;""))*(ROW(WhoKW)-MIN(ROW(WhoKW))+1)))=0,"",INDEX(WhoVal,SUMPRODUCT(MAX((WhoKW&lt;&gt;"")*ISNUMBER(SEARCH(WhoKW,INDEX(FormData,$W259,f_Who)&amp;""))*(ROW(WhoKW)-MIN(ROW(WhoKW))+1))))),""))</f>
        <v/>
      </c>
      <c r="F259" s="17">
        <f>IF($W259="","",TRIM(IFERROR(INDEX(FormData,$W259,f_Org1)&amp;"","")&amp;" "&amp;IFERROR(INDEX(FormData,$W259,f_Org2)&amp;"","")))</f>
        <v/>
      </c>
      <c r="G259" s="16">
        <f>IF($W259="","",IFERROR(INDEX(FormData,$W259,f_Region)&amp;"",""))</f>
        <v/>
      </c>
      <c r="H259" s="16">
        <f>IF($W259="","",IFERROR(IF(SUMPRODUCT(MAX((SitKW&lt;&gt;"")*ISNUMBER(SEARCH(SitKW,INDEX(FormData,$W259,f_Sit)&amp;""))*(ROW(SitKW)-MIN(ROW(SitKW))+1)))=0,"",INDEX(SitVal,SUMPRODUCT(MAX((SitKW&lt;&gt;"")*ISNUMBER(SEARCH(SitKW,INDEX(FormData,$W259,f_Sit)&amp;""))*(ROW(SitKW)-MIN(ROW(SitKW))+1))))),""))</f>
        <v/>
      </c>
      <c r="I259" s="14">
        <f>IF($W259="","",IFERROR(INDEX(FormData,$W259,f_Appr)&amp;"",""))</f>
        <v/>
      </c>
      <c r="J259" s="16">
        <f>IF($W259="","",IFERROR(INDEX(FormData,$W259,f_Trade)&amp;"",""))</f>
        <v/>
      </c>
      <c r="K259" s="16" t="n"/>
      <c r="L259" s="17" t="n"/>
      <c r="M259" s="16" t="n"/>
      <c r="N259" s="17" t="n"/>
      <c r="O259" s="14" t="n"/>
      <c r="P259" s="14" t="n"/>
      <c r="Q259" s="18" t="n"/>
      <c r="R259" s="18" t="n"/>
      <c r="S259" s="13">
        <f>IF($P259&lt;&gt;"✓","",IF($R259&lt;&gt;"","Done",IF($Q259="","Open — no date",IF($Q259&lt;TODAY(),"Overdue",IF($Q259-TODAY()&lt;=DueSoon,"Due soon","Scheduled")))))</f>
        <v/>
      </c>
      <c r="T259" s="14">
        <f>IF($W259="","",IFERROR(IF(INDEX(FormData,$W259,f_Consent)&amp;""="","",IF(ISNUMBER(SEARCH("yes",INDEX(FormData,$W259,f_Consent))),"Yes","No")),""))</f>
        <v/>
      </c>
      <c r="U259" s="14" t="n"/>
      <c r="V259" s="13">
        <f>IF($U259="","",IF($W259="","not found","✓"))</f>
        <v/>
      </c>
      <c r="W259">
        <f>IF($U259="","",IFERROR(MATCH($U259,INDEX(FormData,0,f_Id),0),IFERROR(MATCH(--$U259,INDEX(FormData,0,f_Id),0),IFERROR(MATCH($U259&amp;"",INDEX(FormData,0,f_Id),0),""))))</f>
        <v/>
      </c>
      <c r="X259">
        <f>IF(AND($B259&lt;&gt;"",$B259='Event Report'!$C$3),ROW(),"")</f>
        <v/>
      </c>
      <c r="Y259">
        <f>IF(AND($P259="✓",$R259=""),IF($Q259="",90000,$Q259)+ROW()/100000,"")</f>
        <v/>
      </c>
      <c r="Z259">
        <f>IF(OR($U259&lt;&gt;"",$D259&lt;&gt;"",$E259&lt;&gt;"",$N259&lt;&gt;""),1,"")</f>
        <v/>
      </c>
    </row>
    <row r="260">
      <c r="A260" s="13" t="inlineStr">
        <is>
          <t>P-0256</t>
        </is>
      </c>
      <c r="B260" s="14">
        <f>IF(AND($U260="",$C260=""),"",IFERROR(INDEX(EvID,MATCH(INDEX(FormData,$W260,f_Event),EvID,0)),IFERROR(INDEX(EvID,MATCH(INDEX(FormData,$W260,f_Event),EvName,0)),IFERROR(INDEX(EvID,MATCH(INT($C260),EvDate,0)),""))))</f>
        <v/>
      </c>
      <c r="C260" s="15">
        <f>IF($W260="","",INDEX(FormData,$W260,f_Time))</f>
        <v/>
      </c>
      <c r="D260" s="14">
        <f>IF($W260="","",IFERROR(UPPER(LEFT(TRIM(INDEX(FormData,$W260,f_Name)),1)&amp;IFERROR(MID(TRIM(INDEX(FormData,$W260,f_Name)),FIND("^",SUBSTITUTE(TRIM(INDEX(FormData,$W260,f_Name))," ","^",LEN(TRIM(INDEX(FormData,$W260,f_Name)))-LEN(SUBSTITUTE(TRIM(INDEX(FormData,$W260,f_Name))," ",""))))+1,1),"")),""))</f>
        <v/>
      </c>
      <c r="E260" s="16">
        <f>IF($W260="","",IFERROR(IF(SUMPRODUCT(MAX((WhoKW&lt;&gt;"")*ISNUMBER(SEARCH(WhoKW,INDEX(FormData,$W260,f_Who)&amp;""))*(ROW(WhoKW)-MIN(ROW(WhoKW))+1)))=0,"",INDEX(WhoVal,SUMPRODUCT(MAX((WhoKW&lt;&gt;"")*ISNUMBER(SEARCH(WhoKW,INDEX(FormData,$W260,f_Who)&amp;""))*(ROW(WhoKW)-MIN(ROW(WhoKW))+1))))),""))</f>
        <v/>
      </c>
      <c r="F260" s="17">
        <f>IF($W260="","",TRIM(IFERROR(INDEX(FormData,$W260,f_Org1)&amp;"","")&amp;" "&amp;IFERROR(INDEX(FormData,$W260,f_Org2)&amp;"","")))</f>
        <v/>
      </c>
      <c r="G260" s="16">
        <f>IF($W260="","",IFERROR(INDEX(FormData,$W260,f_Region)&amp;"",""))</f>
        <v/>
      </c>
      <c r="H260" s="16">
        <f>IF($W260="","",IFERROR(IF(SUMPRODUCT(MAX((SitKW&lt;&gt;"")*ISNUMBER(SEARCH(SitKW,INDEX(FormData,$W260,f_Sit)&amp;""))*(ROW(SitKW)-MIN(ROW(SitKW))+1)))=0,"",INDEX(SitVal,SUMPRODUCT(MAX((SitKW&lt;&gt;"")*ISNUMBER(SEARCH(SitKW,INDEX(FormData,$W260,f_Sit)&amp;""))*(ROW(SitKW)-MIN(ROW(SitKW))+1))))),""))</f>
        <v/>
      </c>
      <c r="I260" s="14">
        <f>IF($W260="","",IFERROR(INDEX(FormData,$W260,f_Appr)&amp;"",""))</f>
        <v/>
      </c>
      <c r="J260" s="16">
        <f>IF($W260="","",IFERROR(INDEX(FormData,$W260,f_Trade)&amp;"",""))</f>
        <v/>
      </c>
      <c r="K260" s="16" t="n"/>
      <c r="L260" s="17" t="n"/>
      <c r="M260" s="16" t="n"/>
      <c r="N260" s="17" t="n"/>
      <c r="O260" s="14" t="n"/>
      <c r="P260" s="14" t="n"/>
      <c r="Q260" s="18" t="n"/>
      <c r="R260" s="18" t="n"/>
      <c r="S260" s="13">
        <f>IF($P260&lt;&gt;"✓","",IF($R260&lt;&gt;"","Done",IF($Q260="","Open — no date",IF($Q260&lt;TODAY(),"Overdue",IF($Q260-TODAY()&lt;=DueSoon,"Due soon","Scheduled")))))</f>
        <v/>
      </c>
      <c r="T260" s="14">
        <f>IF($W260="","",IFERROR(IF(INDEX(FormData,$W260,f_Consent)&amp;""="","",IF(ISNUMBER(SEARCH("yes",INDEX(FormData,$W260,f_Consent))),"Yes","No")),""))</f>
        <v/>
      </c>
      <c r="U260" s="14" t="n"/>
      <c r="V260" s="13">
        <f>IF($U260="","",IF($W260="","not found","✓"))</f>
        <v/>
      </c>
      <c r="W260">
        <f>IF($U260="","",IFERROR(MATCH($U260,INDEX(FormData,0,f_Id),0),IFERROR(MATCH(--$U260,INDEX(FormData,0,f_Id),0),IFERROR(MATCH($U260&amp;"",INDEX(FormData,0,f_Id),0),""))))</f>
        <v/>
      </c>
      <c r="X260">
        <f>IF(AND($B260&lt;&gt;"",$B260='Event Report'!$C$3),ROW(),"")</f>
        <v/>
      </c>
      <c r="Y260">
        <f>IF(AND($P260="✓",$R260=""),IF($Q260="",90000,$Q260)+ROW()/100000,"")</f>
        <v/>
      </c>
      <c r="Z260">
        <f>IF(OR($U260&lt;&gt;"",$D260&lt;&gt;"",$E260&lt;&gt;"",$N260&lt;&gt;""),1,"")</f>
        <v/>
      </c>
    </row>
    <row r="261">
      <c r="A261" s="13" t="inlineStr">
        <is>
          <t>P-0257</t>
        </is>
      </c>
      <c r="B261" s="14">
        <f>IF(AND($U261="",$C261=""),"",IFERROR(INDEX(EvID,MATCH(INDEX(FormData,$W261,f_Event),EvID,0)),IFERROR(INDEX(EvID,MATCH(INDEX(FormData,$W261,f_Event),EvName,0)),IFERROR(INDEX(EvID,MATCH(INT($C261),EvDate,0)),""))))</f>
        <v/>
      </c>
      <c r="C261" s="15">
        <f>IF($W261="","",INDEX(FormData,$W261,f_Time))</f>
        <v/>
      </c>
      <c r="D261" s="14">
        <f>IF($W261="","",IFERROR(UPPER(LEFT(TRIM(INDEX(FormData,$W261,f_Name)),1)&amp;IFERROR(MID(TRIM(INDEX(FormData,$W261,f_Name)),FIND("^",SUBSTITUTE(TRIM(INDEX(FormData,$W261,f_Name))," ","^",LEN(TRIM(INDEX(FormData,$W261,f_Name)))-LEN(SUBSTITUTE(TRIM(INDEX(FormData,$W261,f_Name))," ",""))))+1,1),"")),""))</f>
        <v/>
      </c>
      <c r="E261" s="16">
        <f>IF($W261="","",IFERROR(IF(SUMPRODUCT(MAX((WhoKW&lt;&gt;"")*ISNUMBER(SEARCH(WhoKW,INDEX(FormData,$W261,f_Who)&amp;""))*(ROW(WhoKW)-MIN(ROW(WhoKW))+1)))=0,"",INDEX(WhoVal,SUMPRODUCT(MAX((WhoKW&lt;&gt;"")*ISNUMBER(SEARCH(WhoKW,INDEX(FormData,$W261,f_Who)&amp;""))*(ROW(WhoKW)-MIN(ROW(WhoKW))+1))))),""))</f>
        <v/>
      </c>
      <c r="F261" s="17">
        <f>IF($W261="","",TRIM(IFERROR(INDEX(FormData,$W261,f_Org1)&amp;"","")&amp;" "&amp;IFERROR(INDEX(FormData,$W261,f_Org2)&amp;"","")))</f>
        <v/>
      </c>
      <c r="G261" s="16">
        <f>IF($W261="","",IFERROR(INDEX(FormData,$W261,f_Region)&amp;"",""))</f>
        <v/>
      </c>
      <c r="H261" s="16">
        <f>IF($W261="","",IFERROR(IF(SUMPRODUCT(MAX((SitKW&lt;&gt;"")*ISNUMBER(SEARCH(SitKW,INDEX(FormData,$W261,f_Sit)&amp;""))*(ROW(SitKW)-MIN(ROW(SitKW))+1)))=0,"",INDEX(SitVal,SUMPRODUCT(MAX((SitKW&lt;&gt;"")*ISNUMBER(SEARCH(SitKW,INDEX(FormData,$W261,f_Sit)&amp;""))*(ROW(SitKW)-MIN(ROW(SitKW))+1))))),""))</f>
        <v/>
      </c>
      <c r="I261" s="14">
        <f>IF($W261="","",IFERROR(INDEX(FormData,$W261,f_Appr)&amp;"",""))</f>
        <v/>
      </c>
      <c r="J261" s="16">
        <f>IF($W261="","",IFERROR(INDEX(FormData,$W261,f_Trade)&amp;"",""))</f>
        <v/>
      </c>
      <c r="K261" s="16" t="n"/>
      <c r="L261" s="17" t="n"/>
      <c r="M261" s="16" t="n"/>
      <c r="N261" s="17" t="n"/>
      <c r="O261" s="14" t="n"/>
      <c r="P261" s="14" t="n"/>
      <c r="Q261" s="18" t="n"/>
      <c r="R261" s="18" t="n"/>
      <c r="S261" s="13">
        <f>IF($P261&lt;&gt;"✓","",IF($R261&lt;&gt;"","Done",IF($Q261="","Open — no date",IF($Q261&lt;TODAY(),"Overdue",IF($Q261-TODAY()&lt;=DueSoon,"Due soon","Scheduled")))))</f>
        <v/>
      </c>
      <c r="T261" s="14">
        <f>IF($W261="","",IFERROR(IF(INDEX(FormData,$W261,f_Consent)&amp;""="","",IF(ISNUMBER(SEARCH("yes",INDEX(FormData,$W261,f_Consent))),"Yes","No")),""))</f>
        <v/>
      </c>
      <c r="U261" s="14" t="n"/>
      <c r="V261" s="13">
        <f>IF($U261="","",IF($W261="","not found","✓"))</f>
        <v/>
      </c>
      <c r="W261">
        <f>IF($U261="","",IFERROR(MATCH($U261,INDEX(FormData,0,f_Id),0),IFERROR(MATCH(--$U261,INDEX(FormData,0,f_Id),0),IFERROR(MATCH($U261&amp;"",INDEX(FormData,0,f_Id),0),""))))</f>
        <v/>
      </c>
      <c r="X261">
        <f>IF(AND($B261&lt;&gt;"",$B261='Event Report'!$C$3),ROW(),"")</f>
        <v/>
      </c>
      <c r="Y261">
        <f>IF(AND($P261="✓",$R261=""),IF($Q261="",90000,$Q261)+ROW()/100000,"")</f>
        <v/>
      </c>
      <c r="Z261">
        <f>IF(OR($U261&lt;&gt;"",$D261&lt;&gt;"",$E261&lt;&gt;"",$N261&lt;&gt;""),1,"")</f>
        <v/>
      </c>
    </row>
    <row r="262">
      <c r="A262" s="13" t="inlineStr">
        <is>
          <t>P-0258</t>
        </is>
      </c>
      <c r="B262" s="14">
        <f>IF(AND($U262="",$C262=""),"",IFERROR(INDEX(EvID,MATCH(INDEX(FormData,$W262,f_Event),EvID,0)),IFERROR(INDEX(EvID,MATCH(INDEX(FormData,$W262,f_Event),EvName,0)),IFERROR(INDEX(EvID,MATCH(INT($C262),EvDate,0)),""))))</f>
        <v/>
      </c>
      <c r="C262" s="15">
        <f>IF($W262="","",INDEX(FormData,$W262,f_Time))</f>
        <v/>
      </c>
      <c r="D262" s="14">
        <f>IF($W262="","",IFERROR(UPPER(LEFT(TRIM(INDEX(FormData,$W262,f_Name)),1)&amp;IFERROR(MID(TRIM(INDEX(FormData,$W262,f_Name)),FIND("^",SUBSTITUTE(TRIM(INDEX(FormData,$W262,f_Name))," ","^",LEN(TRIM(INDEX(FormData,$W262,f_Name)))-LEN(SUBSTITUTE(TRIM(INDEX(FormData,$W262,f_Name))," ",""))))+1,1),"")),""))</f>
        <v/>
      </c>
      <c r="E262" s="16">
        <f>IF($W262="","",IFERROR(IF(SUMPRODUCT(MAX((WhoKW&lt;&gt;"")*ISNUMBER(SEARCH(WhoKW,INDEX(FormData,$W262,f_Who)&amp;""))*(ROW(WhoKW)-MIN(ROW(WhoKW))+1)))=0,"",INDEX(WhoVal,SUMPRODUCT(MAX((WhoKW&lt;&gt;"")*ISNUMBER(SEARCH(WhoKW,INDEX(FormData,$W262,f_Who)&amp;""))*(ROW(WhoKW)-MIN(ROW(WhoKW))+1))))),""))</f>
        <v/>
      </c>
      <c r="F262" s="17">
        <f>IF($W262="","",TRIM(IFERROR(INDEX(FormData,$W262,f_Org1)&amp;"","")&amp;" "&amp;IFERROR(INDEX(FormData,$W262,f_Org2)&amp;"","")))</f>
        <v/>
      </c>
      <c r="G262" s="16">
        <f>IF($W262="","",IFERROR(INDEX(FormData,$W262,f_Region)&amp;"",""))</f>
        <v/>
      </c>
      <c r="H262" s="16">
        <f>IF($W262="","",IFERROR(IF(SUMPRODUCT(MAX((SitKW&lt;&gt;"")*ISNUMBER(SEARCH(SitKW,INDEX(FormData,$W262,f_Sit)&amp;""))*(ROW(SitKW)-MIN(ROW(SitKW))+1)))=0,"",INDEX(SitVal,SUMPRODUCT(MAX((SitKW&lt;&gt;"")*ISNUMBER(SEARCH(SitKW,INDEX(FormData,$W262,f_Sit)&amp;""))*(ROW(SitKW)-MIN(ROW(SitKW))+1))))),""))</f>
        <v/>
      </c>
      <c r="I262" s="14">
        <f>IF($W262="","",IFERROR(INDEX(FormData,$W262,f_Appr)&amp;"",""))</f>
        <v/>
      </c>
      <c r="J262" s="16">
        <f>IF($W262="","",IFERROR(INDEX(FormData,$W262,f_Trade)&amp;"",""))</f>
        <v/>
      </c>
      <c r="K262" s="16" t="n"/>
      <c r="L262" s="17" t="n"/>
      <c r="M262" s="16" t="n"/>
      <c r="N262" s="17" t="n"/>
      <c r="O262" s="14" t="n"/>
      <c r="P262" s="14" t="n"/>
      <c r="Q262" s="18" t="n"/>
      <c r="R262" s="18" t="n"/>
      <c r="S262" s="13">
        <f>IF($P262&lt;&gt;"✓","",IF($R262&lt;&gt;"","Done",IF($Q262="","Open — no date",IF($Q262&lt;TODAY(),"Overdue",IF($Q262-TODAY()&lt;=DueSoon,"Due soon","Scheduled")))))</f>
        <v/>
      </c>
      <c r="T262" s="14">
        <f>IF($W262="","",IFERROR(IF(INDEX(FormData,$W262,f_Consent)&amp;""="","",IF(ISNUMBER(SEARCH("yes",INDEX(FormData,$W262,f_Consent))),"Yes","No")),""))</f>
        <v/>
      </c>
      <c r="U262" s="14" t="n"/>
      <c r="V262" s="13">
        <f>IF($U262="","",IF($W262="","not found","✓"))</f>
        <v/>
      </c>
      <c r="W262">
        <f>IF($U262="","",IFERROR(MATCH($U262,INDEX(FormData,0,f_Id),0),IFERROR(MATCH(--$U262,INDEX(FormData,0,f_Id),0),IFERROR(MATCH($U262&amp;"",INDEX(FormData,0,f_Id),0),""))))</f>
        <v/>
      </c>
      <c r="X262">
        <f>IF(AND($B262&lt;&gt;"",$B262='Event Report'!$C$3),ROW(),"")</f>
        <v/>
      </c>
      <c r="Y262">
        <f>IF(AND($P262="✓",$R262=""),IF($Q262="",90000,$Q262)+ROW()/100000,"")</f>
        <v/>
      </c>
      <c r="Z262">
        <f>IF(OR($U262&lt;&gt;"",$D262&lt;&gt;"",$E262&lt;&gt;"",$N262&lt;&gt;""),1,"")</f>
        <v/>
      </c>
    </row>
    <row r="263">
      <c r="A263" s="13" t="inlineStr">
        <is>
          <t>P-0259</t>
        </is>
      </c>
      <c r="B263" s="14">
        <f>IF(AND($U263="",$C263=""),"",IFERROR(INDEX(EvID,MATCH(INDEX(FormData,$W263,f_Event),EvID,0)),IFERROR(INDEX(EvID,MATCH(INDEX(FormData,$W263,f_Event),EvName,0)),IFERROR(INDEX(EvID,MATCH(INT($C263),EvDate,0)),""))))</f>
        <v/>
      </c>
      <c r="C263" s="15">
        <f>IF($W263="","",INDEX(FormData,$W263,f_Time))</f>
        <v/>
      </c>
      <c r="D263" s="14">
        <f>IF($W263="","",IFERROR(UPPER(LEFT(TRIM(INDEX(FormData,$W263,f_Name)),1)&amp;IFERROR(MID(TRIM(INDEX(FormData,$W263,f_Name)),FIND("^",SUBSTITUTE(TRIM(INDEX(FormData,$W263,f_Name))," ","^",LEN(TRIM(INDEX(FormData,$W263,f_Name)))-LEN(SUBSTITUTE(TRIM(INDEX(FormData,$W263,f_Name))," ",""))))+1,1),"")),""))</f>
        <v/>
      </c>
      <c r="E263" s="16">
        <f>IF($W263="","",IFERROR(IF(SUMPRODUCT(MAX((WhoKW&lt;&gt;"")*ISNUMBER(SEARCH(WhoKW,INDEX(FormData,$W263,f_Who)&amp;""))*(ROW(WhoKW)-MIN(ROW(WhoKW))+1)))=0,"",INDEX(WhoVal,SUMPRODUCT(MAX((WhoKW&lt;&gt;"")*ISNUMBER(SEARCH(WhoKW,INDEX(FormData,$W263,f_Who)&amp;""))*(ROW(WhoKW)-MIN(ROW(WhoKW))+1))))),""))</f>
        <v/>
      </c>
      <c r="F263" s="17">
        <f>IF($W263="","",TRIM(IFERROR(INDEX(FormData,$W263,f_Org1)&amp;"","")&amp;" "&amp;IFERROR(INDEX(FormData,$W263,f_Org2)&amp;"","")))</f>
        <v/>
      </c>
      <c r="G263" s="16">
        <f>IF($W263="","",IFERROR(INDEX(FormData,$W263,f_Region)&amp;"",""))</f>
        <v/>
      </c>
      <c r="H263" s="16">
        <f>IF($W263="","",IFERROR(IF(SUMPRODUCT(MAX((SitKW&lt;&gt;"")*ISNUMBER(SEARCH(SitKW,INDEX(FormData,$W263,f_Sit)&amp;""))*(ROW(SitKW)-MIN(ROW(SitKW))+1)))=0,"",INDEX(SitVal,SUMPRODUCT(MAX((SitKW&lt;&gt;"")*ISNUMBER(SEARCH(SitKW,INDEX(FormData,$W263,f_Sit)&amp;""))*(ROW(SitKW)-MIN(ROW(SitKW))+1))))),""))</f>
        <v/>
      </c>
      <c r="I263" s="14">
        <f>IF($W263="","",IFERROR(INDEX(FormData,$W263,f_Appr)&amp;"",""))</f>
        <v/>
      </c>
      <c r="J263" s="16">
        <f>IF($W263="","",IFERROR(INDEX(FormData,$W263,f_Trade)&amp;"",""))</f>
        <v/>
      </c>
      <c r="K263" s="16" t="n"/>
      <c r="L263" s="17" t="n"/>
      <c r="M263" s="16" t="n"/>
      <c r="N263" s="17" t="n"/>
      <c r="O263" s="14" t="n"/>
      <c r="P263" s="14" t="n"/>
      <c r="Q263" s="18" t="n"/>
      <c r="R263" s="18" t="n"/>
      <c r="S263" s="13">
        <f>IF($P263&lt;&gt;"✓","",IF($R263&lt;&gt;"","Done",IF($Q263="","Open — no date",IF($Q263&lt;TODAY(),"Overdue",IF($Q263-TODAY()&lt;=DueSoon,"Due soon","Scheduled")))))</f>
        <v/>
      </c>
      <c r="T263" s="14">
        <f>IF($W263="","",IFERROR(IF(INDEX(FormData,$W263,f_Consent)&amp;""="","",IF(ISNUMBER(SEARCH("yes",INDEX(FormData,$W263,f_Consent))),"Yes","No")),""))</f>
        <v/>
      </c>
      <c r="U263" s="14" t="n"/>
      <c r="V263" s="13">
        <f>IF($U263="","",IF($W263="","not found","✓"))</f>
        <v/>
      </c>
      <c r="W263">
        <f>IF($U263="","",IFERROR(MATCH($U263,INDEX(FormData,0,f_Id),0),IFERROR(MATCH(--$U263,INDEX(FormData,0,f_Id),0),IFERROR(MATCH($U263&amp;"",INDEX(FormData,0,f_Id),0),""))))</f>
        <v/>
      </c>
      <c r="X263">
        <f>IF(AND($B263&lt;&gt;"",$B263='Event Report'!$C$3),ROW(),"")</f>
        <v/>
      </c>
      <c r="Y263">
        <f>IF(AND($P263="✓",$R263=""),IF($Q263="",90000,$Q263)+ROW()/100000,"")</f>
        <v/>
      </c>
      <c r="Z263">
        <f>IF(OR($U263&lt;&gt;"",$D263&lt;&gt;"",$E263&lt;&gt;"",$N263&lt;&gt;""),1,"")</f>
        <v/>
      </c>
    </row>
    <row r="264">
      <c r="A264" s="13" t="inlineStr">
        <is>
          <t>P-0260</t>
        </is>
      </c>
      <c r="B264" s="14">
        <f>IF(AND($U264="",$C264=""),"",IFERROR(INDEX(EvID,MATCH(INDEX(FormData,$W264,f_Event),EvID,0)),IFERROR(INDEX(EvID,MATCH(INDEX(FormData,$W264,f_Event),EvName,0)),IFERROR(INDEX(EvID,MATCH(INT($C264),EvDate,0)),""))))</f>
        <v/>
      </c>
      <c r="C264" s="15">
        <f>IF($W264="","",INDEX(FormData,$W264,f_Time))</f>
        <v/>
      </c>
      <c r="D264" s="14">
        <f>IF($W264="","",IFERROR(UPPER(LEFT(TRIM(INDEX(FormData,$W264,f_Name)),1)&amp;IFERROR(MID(TRIM(INDEX(FormData,$W264,f_Name)),FIND("^",SUBSTITUTE(TRIM(INDEX(FormData,$W264,f_Name))," ","^",LEN(TRIM(INDEX(FormData,$W264,f_Name)))-LEN(SUBSTITUTE(TRIM(INDEX(FormData,$W264,f_Name))," ",""))))+1,1),"")),""))</f>
        <v/>
      </c>
      <c r="E264" s="16">
        <f>IF($W264="","",IFERROR(IF(SUMPRODUCT(MAX((WhoKW&lt;&gt;"")*ISNUMBER(SEARCH(WhoKW,INDEX(FormData,$W264,f_Who)&amp;""))*(ROW(WhoKW)-MIN(ROW(WhoKW))+1)))=0,"",INDEX(WhoVal,SUMPRODUCT(MAX((WhoKW&lt;&gt;"")*ISNUMBER(SEARCH(WhoKW,INDEX(FormData,$W264,f_Who)&amp;""))*(ROW(WhoKW)-MIN(ROW(WhoKW))+1))))),""))</f>
        <v/>
      </c>
      <c r="F264" s="17">
        <f>IF($W264="","",TRIM(IFERROR(INDEX(FormData,$W264,f_Org1)&amp;"","")&amp;" "&amp;IFERROR(INDEX(FormData,$W264,f_Org2)&amp;"","")))</f>
        <v/>
      </c>
      <c r="G264" s="16">
        <f>IF($W264="","",IFERROR(INDEX(FormData,$W264,f_Region)&amp;"",""))</f>
        <v/>
      </c>
      <c r="H264" s="16">
        <f>IF($W264="","",IFERROR(IF(SUMPRODUCT(MAX((SitKW&lt;&gt;"")*ISNUMBER(SEARCH(SitKW,INDEX(FormData,$W264,f_Sit)&amp;""))*(ROW(SitKW)-MIN(ROW(SitKW))+1)))=0,"",INDEX(SitVal,SUMPRODUCT(MAX((SitKW&lt;&gt;"")*ISNUMBER(SEARCH(SitKW,INDEX(FormData,$W264,f_Sit)&amp;""))*(ROW(SitKW)-MIN(ROW(SitKW))+1))))),""))</f>
        <v/>
      </c>
      <c r="I264" s="14">
        <f>IF($W264="","",IFERROR(INDEX(FormData,$W264,f_Appr)&amp;"",""))</f>
        <v/>
      </c>
      <c r="J264" s="16">
        <f>IF($W264="","",IFERROR(INDEX(FormData,$W264,f_Trade)&amp;"",""))</f>
        <v/>
      </c>
      <c r="K264" s="16" t="n"/>
      <c r="L264" s="17" t="n"/>
      <c r="M264" s="16" t="n"/>
      <c r="N264" s="17" t="n"/>
      <c r="O264" s="14" t="n"/>
      <c r="P264" s="14" t="n"/>
      <c r="Q264" s="18" t="n"/>
      <c r="R264" s="18" t="n"/>
      <c r="S264" s="13">
        <f>IF($P264&lt;&gt;"✓","",IF($R264&lt;&gt;"","Done",IF($Q264="","Open — no date",IF($Q264&lt;TODAY(),"Overdue",IF($Q264-TODAY()&lt;=DueSoon,"Due soon","Scheduled")))))</f>
        <v/>
      </c>
      <c r="T264" s="14">
        <f>IF($W264="","",IFERROR(IF(INDEX(FormData,$W264,f_Consent)&amp;""="","",IF(ISNUMBER(SEARCH("yes",INDEX(FormData,$W264,f_Consent))),"Yes","No")),""))</f>
        <v/>
      </c>
      <c r="U264" s="14" t="n"/>
      <c r="V264" s="13">
        <f>IF($U264="","",IF($W264="","not found","✓"))</f>
        <v/>
      </c>
      <c r="W264">
        <f>IF($U264="","",IFERROR(MATCH($U264,INDEX(FormData,0,f_Id),0),IFERROR(MATCH(--$U264,INDEX(FormData,0,f_Id),0),IFERROR(MATCH($U264&amp;"",INDEX(FormData,0,f_Id),0),""))))</f>
        <v/>
      </c>
      <c r="X264">
        <f>IF(AND($B264&lt;&gt;"",$B264='Event Report'!$C$3),ROW(),"")</f>
        <v/>
      </c>
      <c r="Y264">
        <f>IF(AND($P264="✓",$R264=""),IF($Q264="",90000,$Q264)+ROW()/100000,"")</f>
        <v/>
      </c>
      <c r="Z264">
        <f>IF(OR($U264&lt;&gt;"",$D264&lt;&gt;"",$E264&lt;&gt;"",$N264&lt;&gt;""),1,"")</f>
        <v/>
      </c>
    </row>
    <row r="265">
      <c r="A265" s="13" t="inlineStr">
        <is>
          <t>P-0261</t>
        </is>
      </c>
      <c r="B265" s="14">
        <f>IF(AND($U265="",$C265=""),"",IFERROR(INDEX(EvID,MATCH(INDEX(FormData,$W265,f_Event),EvID,0)),IFERROR(INDEX(EvID,MATCH(INDEX(FormData,$W265,f_Event),EvName,0)),IFERROR(INDEX(EvID,MATCH(INT($C265),EvDate,0)),""))))</f>
        <v/>
      </c>
      <c r="C265" s="15">
        <f>IF($W265="","",INDEX(FormData,$W265,f_Time))</f>
        <v/>
      </c>
      <c r="D265" s="14">
        <f>IF($W265="","",IFERROR(UPPER(LEFT(TRIM(INDEX(FormData,$W265,f_Name)),1)&amp;IFERROR(MID(TRIM(INDEX(FormData,$W265,f_Name)),FIND("^",SUBSTITUTE(TRIM(INDEX(FormData,$W265,f_Name))," ","^",LEN(TRIM(INDEX(FormData,$W265,f_Name)))-LEN(SUBSTITUTE(TRIM(INDEX(FormData,$W265,f_Name))," ",""))))+1,1),"")),""))</f>
        <v/>
      </c>
      <c r="E265" s="16">
        <f>IF($W265="","",IFERROR(IF(SUMPRODUCT(MAX((WhoKW&lt;&gt;"")*ISNUMBER(SEARCH(WhoKW,INDEX(FormData,$W265,f_Who)&amp;""))*(ROW(WhoKW)-MIN(ROW(WhoKW))+1)))=0,"",INDEX(WhoVal,SUMPRODUCT(MAX((WhoKW&lt;&gt;"")*ISNUMBER(SEARCH(WhoKW,INDEX(FormData,$W265,f_Who)&amp;""))*(ROW(WhoKW)-MIN(ROW(WhoKW))+1))))),""))</f>
        <v/>
      </c>
      <c r="F265" s="17">
        <f>IF($W265="","",TRIM(IFERROR(INDEX(FormData,$W265,f_Org1)&amp;"","")&amp;" "&amp;IFERROR(INDEX(FormData,$W265,f_Org2)&amp;"","")))</f>
        <v/>
      </c>
      <c r="G265" s="16">
        <f>IF($W265="","",IFERROR(INDEX(FormData,$W265,f_Region)&amp;"",""))</f>
        <v/>
      </c>
      <c r="H265" s="16">
        <f>IF($W265="","",IFERROR(IF(SUMPRODUCT(MAX((SitKW&lt;&gt;"")*ISNUMBER(SEARCH(SitKW,INDEX(FormData,$W265,f_Sit)&amp;""))*(ROW(SitKW)-MIN(ROW(SitKW))+1)))=0,"",INDEX(SitVal,SUMPRODUCT(MAX((SitKW&lt;&gt;"")*ISNUMBER(SEARCH(SitKW,INDEX(FormData,$W265,f_Sit)&amp;""))*(ROW(SitKW)-MIN(ROW(SitKW))+1))))),""))</f>
        <v/>
      </c>
      <c r="I265" s="14">
        <f>IF($W265="","",IFERROR(INDEX(FormData,$W265,f_Appr)&amp;"",""))</f>
        <v/>
      </c>
      <c r="J265" s="16">
        <f>IF($W265="","",IFERROR(INDEX(FormData,$W265,f_Trade)&amp;"",""))</f>
        <v/>
      </c>
      <c r="K265" s="16" t="n"/>
      <c r="L265" s="17" t="n"/>
      <c r="M265" s="16" t="n"/>
      <c r="N265" s="17" t="n"/>
      <c r="O265" s="14" t="n"/>
      <c r="P265" s="14" t="n"/>
      <c r="Q265" s="18" t="n"/>
      <c r="R265" s="18" t="n"/>
      <c r="S265" s="13">
        <f>IF($P265&lt;&gt;"✓","",IF($R265&lt;&gt;"","Done",IF($Q265="","Open — no date",IF($Q265&lt;TODAY(),"Overdue",IF($Q265-TODAY()&lt;=DueSoon,"Due soon","Scheduled")))))</f>
        <v/>
      </c>
      <c r="T265" s="14">
        <f>IF($W265="","",IFERROR(IF(INDEX(FormData,$W265,f_Consent)&amp;""="","",IF(ISNUMBER(SEARCH("yes",INDEX(FormData,$W265,f_Consent))),"Yes","No")),""))</f>
        <v/>
      </c>
      <c r="U265" s="14" t="n"/>
      <c r="V265" s="13">
        <f>IF($U265="","",IF($W265="","not found","✓"))</f>
        <v/>
      </c>
      <c r="W265">
        <f>IF($U265="","",IFERROR(MATCH($U265,INDEX(FormData,0,f_Id),0),IFERROR(MATCH(--$U265,INDEX(FormData,0,f_Id),0),IFERROR(MATCH($U265&amp;"",INDEX(FormData,0,f_Id),0),""))))</f>
        <v/>
      </c>
      <c r="X265">
        <f>IF(AND($B265&lt;&gt;"",$B265='Event Report'!$C$3),ROW(),"")</f>
        <v/>
      </c>
      <c r="Y265">
        <f>IF(AND($P265="✓",$R265=""),IF($Q265="",90000,$Q265)+ROW()/100000,"")</f>
        <v/>
      </c>
      <c r="Z265">
        <f>IF(OR($U265&lt;&gt;"",$D265&lt;&gt;"",$E265&lt;&gt;"",$N265&lt;&gt;""),1,"")</f>
        <v/>
      </c>
    </row>
    <row r="266">
      <c r="A266" s="13" t="inlineStr">
        <is>
          <t>P-0262</t>
        </is>
      </c>
      <c r="B266" s="14">
        <f>IF(AND($U266="",$C266=""),"",IFERROR(INDEX(EvID,MATCH(INDEX(FormData,$W266,f_Event),EvID,0)),IFERROR(INDEX(EvID,MATCH(INDEX(FormData,$W266,f_Event),EvName,0)),IFERROR(INDEX(EvID,MATCH(INT($C266),EvDate,0)),""))))</f>
        <v/>
      </c>
      <c r="C266" s="15">
        <f>IF($W266="","",INDEX(FormData,$W266,f_Time))</f>
        <v/>
      </c>
      <c r="D266" s="14">
        <f>IF($W266="","",IFERROR(UPPER(LEFT(TRIM(INDEX(FormData,$W266,f_Name)),1)&amp;IFERROR(MID(TRIM(INDEX(FormData,$W266,f_Name)),FIND("^",SUBSTITUTE(TRIM(INDEX(FormData,$W266,f_Name))," ","^",LEN(TRIM(INDEX(FormData,$W266,f_Name)))-LEN(SUBSTITUTE(TRIM(INDEX(FormData,$W266,f_Name))," ",""))))+1,1),"")),""))</f>
        <v/>
      </c>
      <c r="E266" s="16">
        <f>IF($W266="","",IFERROR(IF(SUMPRODUCT(MAX((WhoKW&lt;&gt;"")*ISNUMBER(SEARCH(WhoKW,INDEX(FormData,$W266,f_Who)&amp;""))*(ROW(WhoKW)-MIN(ROW(WhoKW))+1)))=0,"",INDEX(WhoVal,SUMPRODUCT(MAX((WhoKW&lt;&gt;"")*ISNUMBER(SEARCH(WhoKW,INDEX(FormData,$W266,f_Who)&amp;""))*(ROW(WhoKW)-MIN(ROW(WhoKW))+1))))),""))</f>
        <v/>
      </c>
      <c r="F266" s="17">
        <f>IF($W266="","",TRIM(IFERROR(INDEX(FormData,$W266,f_Org1)&amp;"","")&amp;" "&amp;IFERROR(INDEX(FormData,$W266,f_Org2)&amp;"","")))</f>
        <v/>
      </c>
      <c r="G266" s="16">
        <f>IF($W266="","",IFERROR(INDEX(FormData,$W266,f_Region)&amp;"",""))</f>
        <v/>
      </c>
      <c r="H266" s="16">
        <f>IF($W266="","",IFERROR(IF(SUMPRODUCT(MAX((SitKW&lt;&gt;"")*ISNUMBER(SEARCH(SitKW,INDEX(FormData,$W266,f_Sit)&amp;""))*(ROW(SitKW)-MIN(ROW(SitKW))+1)))=0,"",INDEX(SitVal,SUMPRODUCT(MAX((SitKW&lt;&gt;"")*ISNUMBER(SEARCH(SitKW,INDEX(FormData,$W266,f_Sit)&amp;""))*(ROW(SitKW)-MIN(ROW(SitKW))+1))))),""))</f>
        <v/>
      </c>
      <c r="I266" s="14">
        <f>IF($W266="","",IFERROR(INDEX(FormData,$W266,f_Appr)&amp;"",""))</f>
        <v/>
      </c>
      <c r="J266" s="16">
        <f>IF($W266="","",IFERROR(INDEX(FormData,$W266,f_Trade)&amp;"",""))</f>
        <v/>
      </c>
      <c r="K266" s="16" t="n"/>
      <c r="L266" s="17" t="n"/>
      <c r="M266" s="16" t="n"/>
      <c r="N266" s="17" t="n"/>
      <c r="O266" s="14" t="n"/>
      <c r="P266" s="14" t="n"/>
      <c r="Q266" s="18" t="n"/>
      <c r="R266" s="18" t="n"/>
      <c r="S266" s="13">
        <f>IF($P266&lt;&gt;"✓","",IF($R266&lt;&gt;"","Done",IF($Q266="","Open — no date",IF($Q266&lt;TODAY(),"Overdue",IF($Q266-TODAY()&lt;=DueSoon,"Due soon","Scheduled")))))</f>
        <v/>
      </c>
      <c r="T266" s="14">
        <f>IF($W266="","",IFERROR(IF(INDEX(FormData,$W266,f_Consent)&amp;""="","",IF(ISNUMBER(SEARCH("yes",INDEX(FormData,$W266,f_Consent))),"Yes","No")),""))</f>
        <v/>
      </c>
      <c r="U266" s="14" t="n"/>
      <c r="V266" s="13">
        <f>IF($U266="","",IF($W266="","not found","✓"))</f>
        <v/>
      </c>
      <c r="W266">
        <f>IF($U266="","",IFERROR(MATCH($U266,INDEX(FormData,0,f_Id),0),IFERROR(MATCH(--$U266,INDEX(FormData,0,f_Id),0),IFERROR(MATCH($U266&amp;"",INDEX(FormData,0,f_Id),0),""))))</f>
        <v/>
      </c>
      <c r="X266">
        <f>IF(AND($B266&lt;&gt;"",$B266='Event Report'!$C$3),ROW(),"")</f>
        <v/>
      </c>
      <c r="Y266">
        <f>IF(AND($P266="✓",$R266=""),IF($Q266="",90000,$Q266)+ROW()/100000,"")</f>
        <v/>
      </c>
      <c r="Z266">
        <f>IF(OR($U266&lt;&gt;"",$D266&lt;&gt;"",$E266&lt;&gt;"",$N266&lt;&gt;""),1,"")</f>
        <v/>
      </c>
    </row>
    <row r="267">
      <c r="A267" s="13" t="inlineStr">
        <is>
          <t>P-0263</t>
        </is>
      </c>
      <c r="B267" s="14">
        <f>IF(AND($U267="",$C267=""),"",IFERROR(INDEX(EvID,MATCH(INDEX(FormData,$W267,f_Event),EvID,0)),IFERROR(INDEX(EvID,MATCH(INDEX(FormData,$W267,f_Event),EvName,0)),IFERROR(INDEX(EvID,MATCH(INT($C267),EvDate,0)),""))))</f>
        <v/>
      </c>
      <c r="C267" s="15">
        <f>IF($W267="","",INDEX(FormData,$W267,f_Time))</f>
        <v/>
      </c>
      <c r="D267" s="14">
        <f>IF($W267="","",IFERROR(UPPER(LEFT(TRIM(INDEX(FormData,$W267,f_Name)),1)&amp;IFERROR(MID(TRIM(INDEX(FormData,$W267,f_Name)),FIND("^",SUBSTITUTE(TRIM(INDEX(FormData,$W267,f_Name))," ","^",LEN(TRIM(INDEX(FormData,$W267,f_Name)))-LEN(SUBSTITUTE(TRIM(INDEX(FormData,$W267,f_Name))," ",""))))+1,1),"")),""))</f>
        <v/>
      </c>
      <c r="E267" s="16">
        <f>IF($W267="","",IFERROR(IF(SUMPRODUCT(MAX((WhoKW&lt;&gt;"")*ISNUMBER(SEARCH(WhoKW,INDEX(FormData,$W267,f_Who)&amp;""))*(ROW(WhoKW)-MIN(ROW(WhoKW))+1)))=0,"",INDEX(WhoVal,SUMPRODUCT(MAX((WhoKW&lt;&gt;"")*ISNUMBER(SEARCH(WhoKW,INDEX(FormData,$W267,f_Who)&amp;""))*(ROW(WhoKW)-MIN(ROW(WhoKW))+1))))),""))</f>
        <v/>
      </c>
      <c r="F267" s="17">
        <f>IF($W267="","",TRIM(IFERROR(INDEX(FormData,$W267,f_Org1)&amp;"","")&amp;" "&amp;IFERROR(INDEX(FormData,$W267,f_Org2)&amp;"","")))</f>
        <v/>
      </c>
      <c r="G267" s="16">
        <f>IF($W267="","",IFERROR(INDEX(FormData,$W267,f_Region)&amp;"",""))</f>
        <v/>
      </c>
      <c r="H267" s="16">
        <f>IF($W267="","",IFERROR(IF(SUMPRODUCT(MAX((SitKW&lt;&gt;"")*ISNUMBER(SEARCH(SitKW,INDEX(FormData,$W267,f_Sit)&amp;""))*(ROW(SitKW)-MIN(ROW(SitKW))+1)))=0,"",INDEX(SitVal,SUMPRODUCT(MAX((SitKW&lt;&gt;"")*ISNUMBER(SEARCH(SitKW,INDEX(FormData,$W267,f_Sit)&amp;""))*(ROW(SitKW)-MIN(ROW(SitKW))+1))))),""))</f>
        <v/>
      </c>
      <c r="I267" s="14">
        <f>IF($W267="","",IFERROR(INDEX(FormData,$W267,f_Appr)&amp;"",""))</f>
        <v/>
      </c>
      <c r="J267" s="16">
        <f>IF($W267="","",IFERROR(INDEX(FormData,$W267,f_Trade)&amp;"",""))</f>
        <v/>
      </c>
      <c r="K267" s="16" t="n"/>
      <c r="L267" s="17" t="n"/>
      <c r="M267" s="16" t="n"/>
      <c r="N267" s="17" t="n"/>
      <c r="O267" s="14" t="n"/>
      <c r="P267" s="14" t="n"/>
      <c r="Q267" s="18" t="n"/>
      <c r="R267" s="18" t="n"/>
      <c r="S267" s="13">
        <f>IF($P267&lt;&gt;"✓","",IF($R267&lt;&gt;"","Done",IF($Q267="","Open — no date",IF($Q267&lt;TODAY(),"Overdue",IF($Q267-TODAY()&lt;=DueSoon,"Due soon","Scheduled")))))</f>
        <v/>
      </c>
      <c r="T267" s="14">
        <f>IF($W267="","",IFERROR(IF(INDEX(FormData,$W267,f_Consent)&amp;""="","",IF(ISNUMBER(SEARCH("yes",INDEX(FormData,$W267,f_Consent))),"Yes","No")),""))</f>
        <v/>
      </c>
      <c r="U267" s="14" t="n"/>
      <c r="V267" s="13">
        <f>IF($U267="","",IF($W267="","not found","✓"))</f>
        <v/>
      </c>
      <c r="W267">
        <f>IF($U267="","",IFERROR(MATCH($U267,INDEX(FormData,0,f_Id),0),IFERROR(MATCH(--$U267,INDEX(FormData,0,f_Id),0),IFERROR(MATCH($U267&amp;"",INDEX(FormData,0,f_Id),0),""))))</f>
        <v/>
      </c>
      <c r="X267">
        <f>IF(AND($B267&lt;&gt;"",$B267='Event Report'!$C$3),ROW(),"")</f>
        <v/>
      </c>
      <c r="Y267">
        <f>IF(AND($P267="✓",$R267=""),IF($Q267="",90000,$Q267)+ROW()/100000,"")</f>
        <v/>
      </c>
      <c r="Z267">
        <f>IF(OR($U267&lt;&gt;"",$D267&lt;&gt;"",$E267&lt;&gt;"",$N267&lt;&gt;""),1,"")</f>
        <v/>
      </c>
    </row>
    <row r="268">
      <c r="A268" s="13" t="inlineStr">
        <is>
          <t>P-0264</t>
        </is>
      </c>
      <c r="B268" s="14">
        <f>IF(AND($U268="",$C268=""),"",IFERROR(INDEX(EvID,MATCH(INDEX(FormData,$W268,f_Event),EvID,0)),IFERROR(INDEX(EvID,MATCH(INDEX(FormData,$W268,f_Event),EvName,0)),IFERROR(INDEX(EvID,MATCH(INT($C268),EvDate,0)),""))))</f>
        <v/>
      </c>
      <c r="C268" s="15">
        <f>IF($W268="","",INDEX(FormData,$W268,f_Time))</f>
        <v/>
      </c>
      <c r="D268" s="14">
        <f>IF($W268="","",IFERROR(UPPER(LEFT(TRIM(INDEX(FormData,$W268,f_Name)),1)&amp;IFERROR(MID(TRIM(INDEX(FormData,$W268,f_Name)),FIND("^",SUBSTITUTE(TRIM(INDEX(FormData,$W268,f_Name))," ","^",LEN(TRIM(INDEX(FormData,$W268,f_Name)))-LEN(SUBSTITUTE(TRIM(INDEX(FormData,$W268,f_Name))," ",""))))+1,1),"")),""))</f>
        <v/>
      </c>
      <c r="E268" s="16">
        <f>IF($W268="","",IFERROR(IF(SUMPRODUCT(MAX((WhoKW&lt;&gt;"")*ISNUMBER(SEARCH(WhoKW,INDEX(FormData,$W268,f_Who)&amp;""))*(ROW(WhoKW)-MIN(ROW(WhoKW))+1)))=0,"",INDEX(WhoVal,SUMPRODUCT(MAX((WhoKW&lt;&gt;"")*ISNUMBER(SEARCH(WhoKW,INDEX(FormData,$W268,f_Who)&amp;""))*(ROW(WhoKW)-MIN(ROW(WhoKW))+1))))),""))</f>
        <v/>
      </c>
      <c r="F268" s="17">
        <f>IF($W268="","",TRIM(IFERROR(INDEX(FormData,$W268,f_Org1)&amp;"","")&amp;" "&amp;IFERROR(INDEX(FormData,$W268,f_Org2)&amp;"","")))</f>
        <v/>
      </c>
      <c r="G268" s="16">
        <f>IF($W268="","",IFERROR(INDEX(FormData,$W268,f_Region)&amp;"",""))</f>
        <v/>
      </c>
      <c r="H268" s="16">
        <f>IF($W268="","",IFERROR(IF(SUMPRODUCT(MAX((SitKW&lt;&gt;"")*ISNUMBER(SEARCH(SitKW,INDEX(FormData,$W268,f_Sit)&amp;""))*(ROW(SitKW)-MIN(ROW(SitKW))+1)))=0,"",INDEX(SitVal,SUMPRODUCT(MAX((SitKW&lt;&gt;"")*ISNUMBER(SEARCH(SitKW,INDEX(FormData,$W268,f_Sit)&amp;""))*(ROW(SitKW)-MIN(ROW(SitKW))+1))))),""))</f>
        <v/>
      </c>
      <c r="I268" s="14">
        <f>IF($W268="","",IFERROR(INDEX(FormData,$W268,f_Appr)&amp;"",""))</f>
        <v/>
      </c>
      <c r="J268" s="16">
        <f>IF($W268="","",IFERROR(INDEX(FormData,$W268,f_Trade)&amp;"",""))</f>
        <v/>
      </c>
      <c r="K268" s="16" t="n"/>
      <c r="L268" s="17" t="n"/>
      <c r="M268" s="16" t="n"/>
      <c r="N268" s="17" t="n"/>
      <c r="O268" s="14" t="n"/>
      <c r="P268" s="14" t="n"/>
      <c r="Q268" s="18" t="n"/>
      <c r="R268" s="18" t="n"/>
      <c r="S268" s="13">
        <f>IF($P268&lt;&gt;"✓","",IF($R268&lt;&gt;"","Done",IF($Q268="","Open — no date",IF($Q268&lt;TODAY(),"Overdue",IF($Q268-TODAY()&lt;=DueSoon,"Due soon","Scheduled")))))</f>
        <v/>
      </c>
      <c r="T268" s="14">
        <f>IF($W268="","",IFERROR(IF(INDEX(FormData,$W268,f_Consent)&amp;""="","",IF(ISNUMBER(SEARCH("yes",INDEX(FormData,$W268,f_Consent))),"Yes","No")),""))</f>
        <v/>
      </c>
      <c r="U268" s="14" t="n"/>
      <c r="V268" s="13">
        <f>IF($U268="","",IF($W268="","not found","✓"))</f>
        <v/>
      </c>
      <c r="W268">
        <f>IF($U268="","",IFERROR(MATCH($U268,INDEX(FormData,0,f_Id),0),IFERROR(MATCH(--$U268,INDEX(FormData,0,f_Id),0),IFERROR(MATCH($U268&amp;"",INDEX(FormData,0,f_Id),0),""))))</f>
        <v/>
      </c>
      <c r="X268">
        <f>IF(AND($B268&lt;&gt;"",$B268='Event Report'!$C$3),ROW(),"")</f>
        <v/>
      </c>
      <c r="Y268">
        <f>IF(AND($P268="✓",$R268=""),IF($Q268="",90000,$Q268)+ROW()/100000,"")</f>
        <v/>
      </c>
      <c r="Z268">
        <f>IF(OR($U268&lt;&gt;"",$D268&lt;&gt;"",$E268&lt;&gt;"",$N268&lt;&gt;""),1,"")</f>
        <v/>
      </c>
    </row>
    <row r="269">
      <c r="A269" s="13" t="inlineStr">
        <is>
          <t>P-0265</t>
        </is>
      </c>
      <c r="B269" s="14">
        <f>IF(AND($U269="",$C269=""),"",IFERROR(INDEX(EvID,MATCH(INDEX(FormData,$W269,f_Event),EvID,0)),IFERROR(INDEX(EvID,MATCH(INDEX(FormData,$W269,f_Event),EvName,0)),IFERROR(INDEX(EvID,MATCH(INT($C269),EvDate,0)),""))))</f>
        <v/>
      </c>
      <c r="C269" s="15">
        <f>IF($W269="","",INDEX(FormData,$W269,f_Time))</f>
        <v/>
      </c>
      <c r="D269" s="14">
        <f>IF($W269="","",IFERROR(UPPER(LEFT(TRIM(INDEX(FormData,$W269,f_Name)),1)&amp;IFERROR(MID(TRIM(INDEX(FormData,$W269,f_Name)),FIND("^",SUBSTITUTE(TRIM(INDEX(FormData,$W269,f_Name))," ","^",LEN(TRIM(INDEX(FormData,$W269,f_Name)))-LEN(SUBSTITUTE(TRIM(INDEX(FormData,$W269,f_Name))," ",""))))+1,1),"")),""))</f>
        <v/>
      </c>
      <c r="E269" s="16">
        <f>IF($W269="","",IFERROR(IF(SUMPRODUCT(MAX((WhoKW&lt;&gt;"")*ISNUMBER(SEARCH(WhoKW,INDEX(FormData,$W269,f_Who)&amp;""))*(ROW(WhoKW)-MIN(ROW(WhoKW))+1)))=0,"",INDEX(WhoVal,SUMPRODUCT(MAX((WhoKW&lt;&gt;"")*ISNUMBER(SEARCH(WhoKW,INDEX(FormData,$W269,f_Who)&amp;""))*(ROW(WhoKW)-MIN(ROW(WhoKW))+1))))),""))</f>
        <v/>
      </c>
      <c r="F269" s="17">
        <f>IF($W269="","",TRIM(IFERROR(INDEX(FormData,$W269,f_Org1)&amp;"","")&amp;" "&amp;IFERROR(INDEX(FormData,$W269,f_Org2)&amp;"","")))</f>
        <v/>
      </c>
      <c r="G269" s="16">
        <f>IF($W269="","",IFERROR(INDEX(FormData,$W269,f_Region)&amp;"",""))</f>
        <v/>
      </c>
      <c r="H269" s="16">
        <f>IF($W269="","",IFERROR(IF(SUMPRODUCT(MAX((SitKW&lt;&gt;"")*ISNUMBER(SEARCH(SitKW,INDEX(FormData,$W269,f_Sit)&amp;""))*(ROW(SitKW)-MIN(ROW(SitKW))+1)))=0,"",INDEX(SitVal,SUMPRODUCT(MAX((SitKW&lt;&gt;"")*ISNUMBER(SEARCH(SitKW,INDEX(FormData,$W269,f_Sit)&amp;""))*(ROW(SitKW)-MIN(ROW(SitKW))+1))))),""))</f>
        <v/>
      </c>
      <c r="I269" s="14">
        <f>IF($W269="","",IFERROR(INDEX(FormData,$W269,f_Appr)&amp;"",""))</f>
        <v/>
      </c>
      <c r="J269" s="16">
        <f>IF($W269="","",IFERROR(INDEX(FormData,$W269,f_Trade)&amp;"",""))</f>
        <v/>
      </c>
      <c r="K269" s="16" t="n"/>
      <c r="L269" s="17" t="n"/>
      <c r="M269" s="16" t="n"/>
      <c r="N269" s="17" t="n"/>
      <c r="O269" s="14" t="n"/>
      <c r="P269" s="14" t="n"/>
      <c r="Q269" s="18" t="n"/>
      <c r="R269" s="18" t="n"/>
      <c r="S269" s="13">
        <f>IF($P269&lt;&gt;"✓","",IF($R269&lt;&gt;"","Done",IF($Q269="","Open — no date",IF($Q269&lt;TODAY(),"Overdue",IF($Q269-TODAY()&lt;=DueSoon,"Due soon","Scheduled")))))</f>
        <v/>
      </c>
      <c r="T269" s="14">
        <f>IF($W269="","",IFERROR(IF(INDEX(FormData,$W269,f_Consent)&amp;""="","",IF(ISNUMBER(SEARCH("yes",INDEX(FormData,$W269,f_Consent))),"Yes","No")),""))</f>
        <v/>
      </c>
      <c r="U269" s="14" t="n"/>
      <c r="V269" s="13">
        <f>IF($U269="","",IF($W269="","not found","✓"))</f>
        <v/>
      </c>
      <c r="W269">
        <f>IF($U269="","",IFERROR(MATCH($U269,INDEX(FormData,0,f_Id),0),IFERROR(MATCH(--$U269,INDEX(FormData,0,f_Id),0),IFERROR(MATCH($U269&amp;"",INDEX(FormData,0,f_Id),0),""))))</f>
        <v/>
      </c>
      <c r="X269">
        <f>IF(AND($B269&lt;&gt;"",$B269='Event Report'!$C$3),ROW(),"")</f>
        <v/>
      </c>
      <c r="Y269">
        <f>IF(AND($P269="✓",$R269=""),IF($Q269="",90000,$Q269)+ROW()/100000,"")</f>
        <v/>
      </c>
      <c r="Z269">
        <f>IF(OR($U269&lt;&gt;"",$D269&lt;&gt;"",$E269&lt;&gt;"",$N269&lt;&gt;""),1,"")</f>
        <v/>
      </c>
    </row>
    <row r="270">
      <c r="A270" s="13" t="inlineStr">
        <is>
          <t>P-0266</t>
        </is>
      </c>
      <c r="B270" s="14">
        <f>IF(AND($U270="",$C270=""),"",IFERROR(INDEX(EvID,MATCH(INDEX(FormData,$W270,f_Event),EvID,0)),IFERROR(INDEX(EvID,MATCH(INDEX(FormData,$W270,f_Event),EvName,0)),IFERROR(INDEX(EvID,MATCH(INT($C270),EvDate,0)),""))))</f>
        <v/>
      </c>
      <c r="C270" s="15">
        <f>IF($W270="","",INDEX(FormData,$W270,f_Time))</f>
        <v/>
      </c>
      <c r="D270" s="14">
        <f>IF($W270="","",IFERROR(UPPER(LEFT(TRIM(INDEX(FormData,$W270,f_Name)),1)&amp;IFERROR(MID(TRIM(INDEX(FormData,$W270,f_Name)),FIND("^",SUBSTITUTE(TRIM(INDEX(FormData,$W270,f_Name))," ","^",LEN(TRIM(INDEX(FormData,$W270,f_Name)))-LEN(SUBSTITUTE(TRIM(INDEX(FormData,$W270,f_Name))," ",""))))+1,1),"")),""))</f>
        <v/>
      </c>
      <c r="E270" s="16">
        <f>IF($W270="","",IFERROR(IF(SUMPRODUCT(MAX((WhoKW&lt;&gt;"")*ISNUMBER(SEARCH(WhoKW,INDEX(FormData,$W270,f_Who)&amp;""))*(ROW(WhoKW)-MIN(ROW(WhoKW))+1)))=0,"",INDEX(WhoVal,SUMPRODUCT(MAX((WhoKW&lt;&gt;"")*ISNUMBER(SEARCH(WhoKW,INDEX(FormData,$W270,f_Who)&amp;""))*(ROW(WhoKW)-MIN(ROW(WhoKW))+1))))),""))</f>
        <v/>
      </c>
      <c r="F270" s="17">
        <f>IF($W270="","",TRIM(IFERROR(INDEX(FormData,$W270,f_Org1)&amp;"","")&amp;" "&amp;IFERROR(INDEX(FormData,$W270,f_Org2)&amp;"","")))</f>
        <v/>
      </c>
      <c r="G270" s="16">
        <f>IF($W270="","",IFERROR(INDEX(FormData,$W270,f_Region)&amp;"",""))</f>
        <v/>
      </c>
      <c r="H270" s="16">
        <f>IF($W270="","",IFERROR(IF(SUMPRODUCT(MAX((SitKW&lt;&gt;"")*ISNUMBER(SEARCH(SitKW,INDEX(FormData,$W270,f_Sit)&amp;""))*(ROW(SitKW)-MIN(ROW(SitKW))+1)))=0,"",INDEX(SitVal,SUMPRODUCT(MAX((SitKW&lt;&gt;"")*ISNUMBER(SEARCH(SitKW,INDEX(FormData,$W270,f_Sit)&amp;""))*(ROW(SitKW)-MIN(ROW(SitKW))+1))))),""))</f>
        <v/>
      </c>
      <c r="I270" s="14">
        <f>IF($W270="","",IFERROR(INDEX(FormData,$W270,f_Appr)&amp;"",""))</f>
        <v/>
      </c>
      <c r="J270" s="16">
        <f>IF($W270="","",IFERROR(INDEX(FormData,$W270,f_Trade)&amp;"",""))</f>
        <v/>
      </c>
      <c r="K270" s="16" t="n"/>
      <c r="L270" s="17" t="n"/>
      <c r="M270" s="16" t="n"/>
      <c r="N270" s="17" t="n"/>
      <c r="O270" s="14" t="n"/>
      <c r="P270" s="14" t="n"/>
      <c r="Q270" s="18" t="n"/>
      <c r="R270" s="18" t="n"/>
      <c r="S270" s="13">
        <f>IF($P270&lt;&gt;"✓","",IF($R270&lt;&gt;"","Done",IF($Q270="","Open — no date",IF($Q270&lt;TODAY(),"Overdue",IF($Q270-TODAY()&lt;=DueSoon,"Due soon","Scheduled")))))</f>
        <v/>
      </c>
      <c r="T270" s="14">
        <f>IF($W270="","",IFERROR(IF(INDEX(FormData,$W270,f_Consent)&amp;""="","",IF(ISNUMBER(SEARCH("yes",INDEX(FormData,$W270,f_Consent))),"Yes","No")),""))</f>
        <v/>
      </c>
      <c r="U270" s="14" t="n"/>
      <c r="V270" s="13">
        <f>IF($U270="","",IF($W270="","not found","✓"))</f>
        <v/>
      </c>
      <c r="W270">
        <f>IF($U270="","",IFERROR(MATCH($U270,INDEX(FormData,0,f_Id),0),IFERROR(MATCH(--$U270,INDEX(FormData,0,f_Id),0),IFERROR(MATCH($U270&amp;"",INDEX(FormData,0,f_Id),0),""))))</f>
        <v/>
      </c>
      <c r="X270">
        <f>IF(AND($B270&lt;&gt;"",$B270='Event Report'!$C$3),ROW(),"")</f>
        <v/>
      </c>
      <c r="Y270">
        <f>IF(AND($P270="✓",$R270=""),IF($Q270="",90000,$Q270)+ROW()/100000,"")</f>
        <v/>
      </c>
      <c r="Z270">
        <f>IF(OR($U270&lt;&gt;"",$D270&lt;&gt;"",$E270&lt;&gt;"",$N270&lt;&gt;""),1,"")</f>
        <v/>
      </c>
    </row>
    <row r="271">
      <c r="A271" s="13" t="inlineStr">
        <is>
          <t>P-0267</t>
        </is>
      </c>
      <c r="B271" s="14">
        <f>IF(AND($U271="",$C271=""),"",IFERROR(INDEX(EvID,MATCH(INDEX(FormData,$W271,f_Event),EvID,0)),IFERROR(INDEX(EvID,MATCH(INDEX(FormData,$W271,f_Event),EvName,0)),IFERROR(INDEX(EvID,MATCH(INT($C271),EvDate,0)),""))))</f>
        <v/>
      </c>
      <c r="C271" s="15">
        <f>IF($W271="","",INDEX(FormData,$W271,f_Time))</f>
        <v/>
      </c>
      <c r="D271" s="14">
        <f>IF($W271="","",IFERROR(UPPER(LEFT(TRIM(INDEX(FormData,$W271,f_Name)),1)&amp;IFERROR(MID(TRIM(INDEX(FormData,$W271,f_Name)),FIND("^",SUBSTITUTE(TRIM(INDEX(FormData,$W271,f_Name))," ","^",LEN(TRIM(INDEX(FormData,$W271,f_Name)))-LEN(SUBSTITUTE(TRIM(INDEX(FormData,$W271,f_Name))," ",""))))+1,1),"")),""))</f>
        <v/>
      </c>
      <c r="E271" s="16">
        <f>IF($W271="","",IFERROR(IF(SUMPRODUCT(MAX((WhoKW&lt;&gt;"")*ISNUMBER(SEARCH(WhoKW,INDEX(FormData,$W271,f_Who)&amp;""))*(ROW(WhoKW)-MIN(ROW(WhoKW))+1)))=0,"",INDEX(WhoVal,SUMPRODUCT(MAX((WhoKW&lt;&gt;"")*ISNUMBER(SEARCH(WhoKW,INDEX(FormData,$W271,f_Who)&amp;""))*(ROW(WhoKW)-MIN(ROW(WhoKW))+1))))),""))</f>
        <v/>
      </c>
      <c r="F271" s="17">
        <f>IF($W271="","",TRIM(IFERROR(INDEX(FormData,$W271,f_Org1)&amp;"","")&amp;" "&amp;IFERROR(INDEX(FormData,$W271,f_Org2)&amp;"","")))</f>
        <v/>
      </c>
      <c r="G271" s="16">
        <f>IF($W271="","",IFERROR(INDEX(FormData,$W271,f_Region)&amp;"",""))</f>
        <v/>
      </c>
      <c r="H271" s="16">
        <f>IF($W271="","",IFERROR(IF(SUMPRODUCT(MAX((SitKW&lt;&gt;"")*ISNUMBER(SEARCH(SitKW,INDEX(FormData,$W271,f_Sit)&amp;""))*(ROW(SitKW)-MIN(ROW(SitKW))+1)))=0,"",INDEX(SitVal,SUMPRODUCT(MAX((SitKW&lt;&gt;"")*ISNUMBER(SEARCH(SitKW,INDEX(FormData,$W271,f_Sit)&amp;""))*(ROW(SitKW)-MIN(ROW(SitKW))+1))))),""))</f>
        <v/>
      </c>
      <c r="I271" s="14">
        <f>IF($W271="","",IFERROR(INDEX(FormData,$W271,f_Appr)&amp;"",""))</f>
        <v/>
      </c>
      <c r="J271" s="16">
        <f>IF($W271="","",IFERROR(INDEX(FormData,$W271,f_Trade)&amp;"",""))</f>
        <v/>
      </c>
      <c r="K271" s="16" t="n"/>
      <c r="L271" s="17" t="n"/>
      <c r="M271" s="16" t="n"/>
      <c r="N271" s="17" t="n"/>
      <c r="O271" s="14" t="n"/>
      <c r="P271" s="14" t="n"/>
      <c r="Q271" s="18" t="n"/>
      <c r="R271" s="18" t="n"/>
      <c r="S271" s="13">
        <f>IF($P271&lt;&gt;"✓","",IF($R271&lt;&gt;"","Done",IF($Q271="","Open — no date",IF($Q271&lt;TODAY(),"Overdue",IF($Q271-TODAY()&lt;=DueSoon,"Due soon","Scheduled")))))</f>
        <v/>
      </c>
      <c r="T271" s="14">
        <f>IF($W271="","",IFERROR(IF(INDEX(FormData,$W271,f_Consent)&amp;""="","",IF(ISNUMBER(SEARCH("yes",INDEX(FormData,$W271,f_Consent))),"Yes","No")),""))</f>
        <v/>
      </c>
      <c r="U271" s="14" t="n"/>
      <c r="V271" s="13">
        <f>IF($U271="","",IF($W271="","not found","✓"))</f>
        <v/>
      </c>
      <c r="W271">
        <f>IF($U271="","",IFERROR(MATCH($U271,INDEX(FormData,0,f_Id),0),IFERROR(MATCH(--$U271,INDEX(FormData,0,f_Id),0),IFERROR(MATCH($U271&amp;"",INDEX(FormData,0,f_Id),0),""))))</f>
        <v/>
      </c>
      <c r="X271">
        <f>IF(AND($B271&lt;&gt;"",$B271='Event Report'!$C$3),ROW(),"")</f>
        <v/>
      </c>
      <c r="Y271">
        <f>IF(AND($P271="✓",$R271=""),IF($Q271="",90000,$Q271)+ROW()/100000,"")</f>
        <v/>
      </c>
      <c r="Z271">
        <f>IF(OR($U271&lt;&gt;"",$D271&lt;&gt;"",$E271&lt;&gt;"",$N271&lt;&gt;""),1,"")</f>
        <v/>
      </c>
    </row>
    <row r="272">
      <c r="A272" s="13" t="inlineStr">
        <is>
          <t>P-0268</t>
        </is>
      </c>
      <c r="B272" s="14">
        <f>IF(AND($U272="",$C272=""),"",IFERROR(INDEX(EvID,MATCH(INDEX(FormData,$W272,f_Event),EvID,0)),IFERROR(INDEX(EvID,MATCH(INDEX(FormData,$W272,f_Event),EvName,0)),IFERROR(INDEX(EvID,MATCH(INT($C272),EvDate,0)),""))))</f>
        <v/>
      </c>
      <c r="C272" s="15">
        <f>IF($W272="","",INDEX(FormData,$W272,f_Time))</f>
        <v/>
      </c>
      <c r="D272" s="14">
        <f>IF($W272="","",IFERROR(UPPER(LEFT(TRIM(INDEX(FormData,$W272,f_Name)),1)&amp;IFERROR(MID(TRIM(INDEX(FormData,$W272,f_Name)),FIND("^",SUBSTITUTE(TRIM(INDEX(FormData,$W272,f_Name))," ","^",LEN(TRIM(INDEX(FormData,$W272,f_Name)))-LEN(SUBSTITUTE(TRIM(INDEX(FormData,$W272,f_Name))," ",""))))+1,1),"")),""))</f>
        <v/>
      </c>
      <c r="E272" s="16">
        <f>IF($W272="","",IFERROR(IF(SUMPRODUCT(MAX((WhoKW&lt;&gt;"")*ISNUMBER(SEARCH(WhoKW,INDEX(FormData,$W272,f_Who)&amp;""))*(ROW(WhoKW)-MIN(ROW(WhoKW))+1)))=0,"",INDEX(WhoVal,SUMPRODUCT(MAX((WhoKW&lt;&gt;"")*ISNUMBER(SEARCH(WhoKW,INDEX(FormData,$W272,f_Who)&amp;""))*(ROW(WhoKW)-MIN(ROW(WhoKW))+1))))),""))</f>
        <v/>
      </c>
      <c r="F272" s="17">
        <f>IF($W272="","",TRIM(IFERROR(INDEX(FormData,$W272,f_Org1)&amp;"","")&amp;" "&amp;IFERROR(INDEX(FormData,$W272,f_Org2)&amp;"","")))</f>
        <v/>
      </c>
      <c r="G272" s="16">
        <f>IF($W272="","",IFERROR(INDEX(FormData,$W272,f_Region)&amp;"",""))</f>
        <v/>
      </c>
      <c r="H272" s="16">
        <f>IF($W272="","",IFERROR(IF(SUMPRODUCT(MAX((SitKW&lt;&gt;"")*ISNUMBER(SEARCH(SitKW,INDEX(FormData,$W272,f_Sit)&amp;""))*(ROW(SitKW)-MIN(ROW(SitKW))+1)))=0,"",INDEX(SitVal,SUMPRODUCT(MAX((SitKW&lt;&gt;"")*ISNUMBER(SEARCH(SitKW,INDEX(FormData,$W272,f_Sit)&amp;""))*(ROW(SitKW)-MIN(ROW(SitKW))+1))))),""))</f>
        <v/>
      </c>
      <c r="I272" s="14">
        <f>IF($W272="","",IFERROR(INDEX(FormData,$W272,f_Appr)&amp;"",""))</f>
        <v/>
      </c>
      <c r="J272" s="16">
        <f>IF($W272="","",IFERROR(INDEX(FormData,$W272,f_Trade)&amp;"",""))</f>
        <v/>
      </c>
      <c r="K272" s="16" t="n"/>
      <c r="L272" s="17" t="n"/>
      <c r="M272" s="16" t="n"/>
      <c r="N272" s="17" t="n"/>
      <c r="O272" s="14" t="n"/>
      <c r="P272" s="14" t="n"/>
      <c r="Q272" s="18" t="n"/>
      <c r="R272" s="18" t="n"/>
      <c r="S272" s="13">
        <f>IF($P272&lt;&gt;"✓","",IF($R272&lt;&gt;"","Done",IF($Q272="","Open — no date",IF($Q272&lt;TODAY(),"Overdue",IF($Q272-TODAY()&lt;=DueSoon,"Due soon","Scheduled")))))</f>
        <v/>
      </c>
      <c r="T272" s="14">
        <f>IF($W272="","",IFERROR(IF(INDEX(FormData,$W272,f_Consent)&amp;""="","",IF(ISNUMBER(SEARCH("yes",INDEX(FormData,$W272,f_Consent))),"Yes","No")),""))</f>
        <v/>
      </c>
      <c r="U272" s="14" t="n"/>
      <c r="V272" s="13">
        <f>IF($U272="","",IF($W272="","not found","✓"))</f>
        <v/>
      </c>
      <c r="W272">
        <f>IF($U272="","",IFERROR(MATCH($U272,INDEX(FormData,0,f_Id),0),IFERROR(MATCH(--$U272,INDEX(FormData,0,f_Id),0),IFERROR(MATCH($U272&amp;"",INDEX(FormData,0,f_Id),0),""))))</f>
        <v/>
      </c>
      <c r="X272">
        <f>IF(AND($B272&lt;&gt;"",$B272='Event Report'!$C$3),ROW(),"")</f>
        <v/>
      </c>
      <c r="Y272">
        <f>IF(AND($P272="✓",$R272=""),IF($Q272="",90000,$Q272)+ROW()/100000,"")</f>
        <v/>
      </c>
      <c r="Z272">
        <f>IF(OR($U272&lt;&gt;"",$D272&lt;&gt;"",$E272&lt;&gt;"",$N272&lt;&gt;""),1,"")</f>
        <v/>
      </c>
    </row>
    <row r="273">
      <c r="A273" s="13" t="inlineStr">
        <is>
          <t>P-0269</t>
        </is>
      </c>
      <c r="B273" s="14">
        <f>IF(AND($U273="",$C273=""),"",IFERROR(INDEX(EvID,MATCH(INDEX(FormData,$W273,f_Event),EvID,0)),IFERROR(INDEX(EvID,MATCH(INDEX(FormData,$W273,f_Event),EvName,0)),IFERROR(INDEX(EvID,MATCH(INT($C273),EvDate,0)),""))))</f>
        <v/>
      </c>
      <c r="C273" s="15">
        <f>IF($W273="","",INDEX(FormData,$W273,f_Time))</f>
        <v/>
      </c>
      <c r="D273" s="14">
        <f>IF($W273="","",IFERROR(UPPER(LEFT(TRIM(INDEX(FormData,$W273,f_Name)),1)&amp;IFERROR(MID(TRIM(INDEX(FormData,$W273,f_Name)),FIND("^",SUBSTITUTE(TRIM(INDEX(FormData,$W273,f_Name))," ","^",LEN(TRIM(INDEX(FormData,$W273,f_Name)))-LEN(SUBSTITUTE(TRIM(INDEX(FormData,$W273,f_Name))," ",""))))+1,1),"")),""))</f>
        <v/>
      </c>
      <c r="E273" s="16">
        <f>IF($W273="","",IFERROR(IF(SUMPRODUCT(MAX((WhoKW&lt;&gt;"")*ISNUMBER(SEARCH(WhoKW,INDEX(FormData,$W273,f_Who)&amp;""))*(ROW(WhoKW)-MIN(ROW(WhoKW))+1)))=0,"",INDEX(WhoVal,SUMPRODUCT(MAX((WhoKW&lt;&gt;"")*ISNUMBER(SEARCH(WhoKW,INDEX(FormData,$W273,f_Who)&amp;""))*(ROW(WhoKW)-MIN(ROW(WhoKW))+1))))),""))</f>
        <v/>
      </c>
      <c r="F273" s="17">
        <f>IF($W273="","",TRIM(IFERROR(INDEX(FormData,$W273,f_Org1)&amp;"","")&amp;" "&amp;IFERROR(INDEX(FormData,$W273,f_Org2)&amp;"","")))</f>
        <v/>
      </c>
      <c r="G273" s="16">
        <f>IF($W273="","",IFERROR(INDEX(FormData,$W273,f_Region)&amp;"",""))</f>
        <v/>
      </c>
      <c r="H273" s="16">
        <f>IF($W273="","",IFERROR(IF(SUMPRODUCT(MAX((SitKW&lt;&gt;"")*ISNUMBER(SEARCH(SitKW,INDEX(FormData,$W273,f_Sit)&amp;""))*(ROW(SitKW)-MIN(ROW(SitKW))+1)))=0,"",INDEX(SitVal,SUMPRODUCT(MAX((SitKW&lt;&gt;"")*ISNUMBER(SEARCH(SitKW,INDEX(FormData,$W273,f_Sit)&amp;""))*(ROW(SitKW)-MIN(ROW(SitKW))+1))))),""))</f>
        <v/>
      </c>
      <c r="I273" s="14">
        <f>IF($W273="","",IFERROR(INDEX(FormData,$W273,f_Appr)&amp;"",""))</f>
        <v/>
      </c>
      <c r="J273" s="16">
        <f>IF($W273="","",IFERROR(INDEX(FormData,$W273,f_Trade)&amp;"",""))</f>
        <v/>
      </c>
      <c r="K273" s="16" t="n"/>
      <c r="L273" s="17" t="n"/>
      <c r="M273" s="16" t="n"/>
      <c r="N273" s="17" t="n"/>
      <c r="O273" s="14" t="n"/>
      <c r="P273" s="14" t="n"/>
      <c r="Q273" s="18" t="n"/>
      <c r="R273" s="18" t="n"/>
      <c r="S273" s="13">
        <f>IF($P273&lt;&gt;"✓","",IF($R273&lt;&gt;"","Done",IF($Q273="","Open — no date",IF($Q273&lt;TODAY(),"Overdue",IF($Q273-TODAY()&lt;=DueSoon,"Due soon","Scheduled")))))</f>
        <v/>
      </c>
      <c r="T273" s="14">
        <f>IF($W273="","",IFERROR(IF(INDEX(FormData,$W273,f_Consent)&amp;""="","",IF(ISNUMBER(SEARCH("yes",INDEX(FormData,$W273,f_Consent))),"Yes","No")),""))</f>
        <v/>
      </c>
      <c r="U273" s="14" t="n"/>
      <c r="V273" s="13">
        <f>IF($U273="","",IF($W273="","not found","✓"))</f>
        <v/>
      </c>
      <c r="W273">
        <f>IF($U273="","",IFERROR(MATCH($U273,INDEX(FormData,0,f_Id),0),IFERROR(MATCH(--$U273,INDEX(FormData,0,f_Id),0),IFERROR(MATCH($U273&amp;"",INDEX(FormData,0,f_Id),0),""))))</f>
        <v/>
      </c>
      <c r="X273">
        <f>IF(AND($B273&lt;&gt;"",$B273='Event Report'!$C$3),ROW(),"")</f>
        <v/>
      </c>
      <c r="Y273">
        <f>IF(AND($P273="✓",$R273=""),IF($Q273="",90000,$Q273)+ROW()/100000,"")</f>
        <v/>
      </c>
      <c r="Z273">
        <f>IF(OR($U273&lt;&gt;"",$D273&lt;&gt;"",$E273&lt;&gt;"",$N273&lt;&gt;""),1,"")</f>
        <v/>
      </c>
    </row>
    <row r="274">
      <c r="A274" s="13" t="inlineStr">
        <is>
          <t>P-0270</t>
        </is>
      </c>
      <c r="B274" s="14">
        <f>IF(AND($U274="",$C274=""),"",IFERROR(INDEX(EvID,MATCH(INDEX(FormData,$W274,f_Event),EvID,0)),IFERROR(INDEX(EvID,MATCH(INDEX(FormData,$W274,f_Event),EvName,0)),IFERROR(INDEX(EvID,MATCH(INT($C274),EvDate,0)),""))))</f>
        <v/>
      </c>
      <c r="C274" s="15">
        <f>IF($W274="","",INDEX(FormData,$W274,f_Time))</f>
        <v/>
      </c>
      <c r="D274" s="14">
        <f>IF($W274="","",IFERROR(UPPER(LEFT(TRIM(INDEX(FormData,$W274,f_Name)),1)&amp;IFERROR(MID(TRIM(INDEX(FormData,$W274,f_Name)),FIND("^",SUBSTITUTE(TRIM(INDEX(FormData,$W274,f_Name))," ","^",LEN(TRIM(INDEX(FormData,$W274,f_Name)))-LEN(SUBSTITUTE(TRIM(INDEX(FormData,$W274,f_Name))," ",""))))+1,1),"")),""))</f>
        <v/>
      </c>
      <c r="E274" s="16">
        <f>IF($W274="","",IFERROR(IF(SUMPRODUCT(MAX((WhoKW&lt;&gt;"")*ISNUMBER(SEARCH(WhoKW,INDEX(FormData,$W274,f_Who)&amp;""))*(ROW(WhoKW)-MIN(ROW(WhoKW))+1)))=0,"",INDEX(WhoVal,SUMPRODUCT(MAX((WhoKW&lt;&gt;"")*ISNUMBER(SEARCH(WhoKW,INDEX(FormData,$W274,f_Who)&amp;""))*(ROW(WhoKW)-MIN(ROW(WhoKW))+1))))),""))</f>
        <v/>
      </c>
      <c r="F274" s="17">
        <f>IF($W274="","",TRIM(IFERROR(INDEX(FormData,$W274,f_Org1)&amp;"","")&amp;" "&amp;IFERROR(INDEX(FormData,$W274,f_Org2)&amp;"","")))</f>
        <v/>
      </c>
      <c r="G274" s="16">
        <f>IF($W274="","",IFERROR(INDEX(FormData,$W274,f_Region)&amp;"",""))</f>
        <v/>
      </c>
      <c r="H274" s="16">
        <f>IF($W274="","",IFERROR(IF(SUMPRODUCT(MAX((SitKW&lt;&gt;"")*ISNUMBER(SEARCH(SitKW,INDEX(FormData,$W274,f_Sit)&amp;""))*(ROW(SitKW)-MIN(ROW(SitKW))+1)))=0,"",INDEX(SitVal,SUMPRODUCT(MAX((SitKW&lt;&gt;"")*ISNUMBER(SEARCH(SitKW,INDEX(FormData,$W274,f_Sit)&amp;""))*(ROW(SitKW)-MIN(ROW(SitKW))+1))))),""))</f>
        <v/>
      </c>
      <c r="I274" s="14">
        <f>IF($W274="","",IFERROR(INDEX(FormData,$W274,f_Appr)&amp;"",""))</f>
        <v/>
      </c>
      <c r="J274" s="16">
        <f>IF($W274="","",IFERROR(INDEX(FormData,$W274,f_Trade)&amp;"",""))</f>
        <v/>
      </c>
      <c r="K274" s="16" t="n"/>
      <c r="L274" s="17" t="n"/>
      <c r="M274" s="16" t="n"/>
      <c r="N274" s="17" t="n"/>
      <c r="O274" s="14" t="n"/>
      <c r="P274" s="14" t="n"/>
      <c r="Q274" s="18" t="n"/>
      <c r="R274" s="18" t="n"/>
      <c r="S274" s="13">
        <f>IF($P274&lt;&gt;"✓","",IF($R274&lt;&gt;"","Done",IF($Q274="","Open — no date",IF($Q274&lt;TODAY(),"Overdue",IF($Q274-TODAY()&lt;=DueSoon,"Due soon","Scheduled")))))</f>
        <v/>
      </c>
      <c r="T274" s="14">
        <f>IF($W274="","",IFERROR(IF(INDEX(FormData,$W274,f_Consent)&amp;""="","",IF(ISNUMBER(SEARCH("yes",INDEX(FormData,$W274,f_Consent))),"Yes","No")),""))</f>
        <v/>
      </c>
      <c r="U274" s="14" t="n"/>
      <c r="V274" s="13">
        <f>IF($U274="","",IF($W274="","not found","✓"))</f>
        <v/>
      </c>
      <c r="W274">
        <f>IF($U274="","",IFERROR(MATCH($U274,INDEX(FormData,0,f_Id),0),IFERROR(MATCH(--$U274,INDEX(FormData,0,f_Id),0),IFERROR(MATCH($U274&amp;"",INDEX(FormData,0,f_Id),0),""))))</f>
        <v/>
      </c>
      <c r="X274">
        <f>IF(AND($B274&lt;&gt;"",$B274='Event Report'!$C$3),ROW(),"")</f>
        <v/>
      </c>
      <c r="Y274">
        <f>IF(AND($P274="✓",$R274=""),IF($Q274="",90000,$Q274)+ROW()/100000,"")</f>
        <v/>
      </c>
      <c r="Z274">
        <f>IF(OR($U274&lt;&gt;"",$D274&lt;&gt;"",$E274&lt;&gt;"",$N274&lt;&gt;""),1,"")</f>
        <v/>
      </c>
    </row>
    <row r="275">
      <c r="A275" s="13" t="inlineStr">
        <is>
          <t>P-0271</t>
        </is>
      </c>
      <c r="B275" s="14">
        <f>IF(AND($U275="",$C275=""),"",IFERROR(INDEX(EvID,MATCH(INDEX(FormData,$W275,f_Event),EvID,0)),IFERROR(INDEX(EvID,MATCH(INDEX(FormData,$W275,f_Event),EvName,0)),IFERROR(INDEX(EvID,MATCH(INT($C275),EvDate,0)),""))))</f>
        <v/>
      </c>
      <c r="C275" s="15">
        <f>IF($W275="","",INDEX(FormData,$W275,f_Time))</f>
        <v/>
      </c>
      <c r="D275" s="14">
        <f>IF($W275="","",IFERROR(UPPER(LEFT(TRIM(INDEX(FormData,$W275,f_Name)),1)&amp;IFERROR(MID(TRIM(INDEX(FormData,$W275,f_Name)),FIND("^",SUBSTITUTE(TRIM(INDEX(FormData,$W275,f_Name))," ","^",LEN(TRIM(INDEX(FormData,$W275,f_Name)))-LEN(SUBSTITUTE(TRIM(INDEX(FormData,$W275,f_Name))," ",""))))+1,1),"")),""))</f>
        <v/>
      </c>
      <c r="E275" s="16">
        <f>IF($W275="","",IFERROR(IF(SUMPRODUCT(MAX((WhoKW&lt;&gt;"")*ISNUMBER(SEARCH(WhoKW,INDEX(FormData,$W275,f_Who)&amp;""))*(ROW(WhoKW)-MIN(ROW(WhoKW))+1)))=0,"",INDEX(WhoVal,SUMPRODUCT(MAX((WhoKW&lt;&gt;"")*ISNUMBER(SEARCH(WhoKW,INDEX(FormData,$W275,f_Who)&amp;""))*(ROW(WhoKW)-MIN(ROW(WhoKW))+1))))),""))</f>
        <v/>
      </c>
      <c r="F275" s="17">
        <f>IF($W275="","",TRIM(IFERROR(INDEX(FormData,$W275,f_Org1)&amp;"","")&amp;" "&amp;IFERROR(INDEX(FormData,$W275,f_Org2)&amp;"","")))</f>
        <v/>
      </c>
      <c r="G275" s="16">
        <f>IF($W275="","",IFERROR(INDEX(FormData,$W275,f_Region)&amp;"",""))</f>
        <v/>
      </c>
      <c r="H275" s="16">
        <f>IF($W275="","",IFERROR(IF(SUMPRODUCT(MAX((SitKW&lt;&gt;"")*ISNUMBER(SEARCH(SitKW,INDEX(FormData,$W275,f_Sit)&amp;""))*(ROW(SitKW)-MIN(ROW(SitKW))+1)))=0,"",INDEX(SitVal,SUMPRODUCT(MAX((SitKW&lt;&gt;"")*ISNUMBER(SEARCH(SitKW,INDEX(FormData,$W275,f_Sit)&amp;""))*(ROW(SitKW)-MIN(ROW(SitKW))+1))))),""))</f>
        <v/>
      </c>
      <c r="I275" s="14">
        <f>IF($W275="","",IFERROR(INDEX(FormData,$W275,f_Appr)&amp;"",""))</f>
        <v/>
      </c>
      <c r="J275" s="16">
        <f>IF($W275="","",IFERROR(INDEX(FormData,$W275,f_Trade)&amp;"",""))</f>
        <v/>
      </c>
      <c r="K275" s="16" t="n"/>
      <c r="L275" s="17" t="n"/>
      <c r="M275" s="16" t="n"/>
      <c r="N275" s="17" t="n"/>
      <c r="O275" s="14" t="n"/>
      <c r="P275" s="14" t="n"/>
      <c r="Q275" s="18" t="n"/>
      <c r="R275" s="18" t="n"/>
      <c r="S275" s="13">
        <f>IF($P275&lt;&gt;"✓","",IF($R275&lt;&gt;"","Done",IF($Q275="","Open — no date",IF($Q275&lt;TODAY(),"Overdue",IF($Q275-TODAY()&lt;=DueSoon,"Due soon","Scheduled")))))</f>
        <v/>
      </c>
      <c r="T275" s="14">
        <f>IF($W275="","",IFERROR(IF(INDEX(FormData,$W275,f_Consent)&amp;""="","",IF(ISNUMBER(SEARCH("yes",INDEX(FormData,$W275,f_Consent))),"Yes","No")),""))</f>
        <v/>
      </c>
      <c r="U275" s="14" t="n"/>
      <c r="V275" s="13">
        <f>IF($U275="","",IF($W275="","not found","✓"))</f>
        <v/>
      </c>
      <c r="W275">
        <f>IF($U275="","",IFERROR(MATCH($U275,INDEX(FormData,0,f_Id),0),IFERROR(MATCH(--$U275,INDEX(FormData,0,f_Id),0),IFERROR(MATCH($U275&amp;"",INDEX(FormData,0,f_Id),0),""))))</f>
        <v/>
      </c>
      <c r="X275">
        <f>IF(AND($B275&lt;&gt;"",$B275='Event Report'!$C$3),ROW(),"")</f>
        <v/>
      </c>
      <c r="Y275">
        <f>IF(AND($P275="✓",$R275=""),IF($Q275="",90000,$Q275)+ROW()/100000,"")</f>
        <v/>
      </c>
      <c r="Z275">
        <f>IF(OR($U275&lt;&gt;"",$D275&lt;&gt;"",$E275&lt;&gt;"",$N275&lt;&gt;""),1,"")</f>
        <v/>
      </c>
    </row>
    <row r="276">
      <c r="A276" s="13" t="inlineStr">
        <is>
          <t>P-0272</t>
        </is>
      </c>
      <c r="B276" s="14">
        <f>IF(AND($U276="",$C276=""),"",IFERROR(INDEX(EvID,MATCH(INDEX(FormData,$W276,f_Event),EvID,0)),IFERROR(INDEX(EvID,MATCH(INDEX(FormData,$W276,f_Event),EvName,0)),IFERROR(INDEX(EvID,MATCH(INT($C276),EvDate,0)),""))))</f>
        <v/>
      </c>
      <c r="C276" s="15">
        <f>IF($W276="","",INDEX(FormData,$W276,f_Time))</f>
        <v/>
      </c>
      <c r="D276" s="14">
        <f>IF($W276="","",IFERROR(UPPER(LEFT(TRIM(INDEX(FormData,$W276,f_Name)),1)&amp;IFERROR(MID(TRIM(INDEX(FormData,$W276,f_Name)),FIND("^",SUBSTITUTE(TRIM(INDEX(FormData,$W276,f_Name))," ","^",LEN(TRIM(INDEX(FormData,$W276,f_Name)))-LEN(SUBSTITUTE(TRIM(INDEX(FormData,$W276,f_Name))," ",""))))+1,1),"")),""))</f>
        <v/>
      </c>
      <c r="E276" s="16">
        <f>IF($W276="","",IFERROR(IF(SUMPRODUCT(MAX((WhoKW&lt;&gt;"")*ISNUMBER(SEARCH(WhoKW,INDEX(FormData,$W276,f_Who)&amp;""))*(ROW(WhoKW)-MIN(ROW(WhoKW))+1)))=0,"",INDEX(WhoVal,SUMPRODUCT(MAX((WhoKW&lt;&gt;"")*ISNUMBER(SEARCH(WhoKW,INDEX(FormData,$W276,f_Who)&amp;""))*(ROW(WhoKW)-MIN(ROW(WhoKW))+1))))),""))</f>
        <v/>
      </c>
      <c r="F276" s="17">
        <f>IF($W276="","",TRIM(IFERROR(INDEX(FormData,$W276,f_Org1)&amp;"","")&amp;" "&amp;IFERROR(INDEX(FormData,$W276,f_Org2)&amp;"","")))</f>
        <v/>
      </c>
      <c r="G276" s="16">
        <f>IF($W276="","",IFERROR(INDEX(FormData,$W276,f_Region)&amp;"",""))</f>
        <v/>
      </c>
      <c r="H276" s="16">
        <f>IF($W276="","",IFERROR(IF(SUMPRODUCT(MAX((SitKW&lt;&gt;"")*ISNUMBER(SEARCH(SitKW,INDEX(FormData,$W276,f_Sit)&amp;""))*(ROW(SitKW)-MIN(ROW(SitKW))+1)))=0,"",INDEX(SitVal,SUMPRODUCT(MAX((SitKW&lt;&gt;"")*ISNUMBER(SEARCH(SitKW,INDEX(FormData,$W276,f_Sit)&amp;""))*(ROW(SitKW)-MIN(ROW(SitKW))+1))))),""))</f>
        <v/>
      </c>
      <c r="I276" s="14">
        <f>IF($W276="","",IFERROR(INDEX(FormData,$W276,f_Appr)&amp;"",""))</f>
        <v/>
      </c>
      <c r="J276" s="16">
        <f>IF($W276="","",IFERROR(INDEX(FormData,$W276,f_Trade)&amp;"",""))</f>
        <v/>
      </c>
      <c r="K276" s="16" t="n"/>
      <c r="L276" s="17" t="n"/>
      <c r="M276" s="16" t="n"/>
      <c r="N276" s="17" t="n"/>
      <c r="O276" s="14" t="n"/>
      <c r="P276" s="14" t="n"/>
      <c r="Q276" s="18" t="n"/>
      <c r="R276" s="18" t="n"/>
      <c r="S276" s="13">
        <f>IF($P276&lt;&gt;"✓","",IF($R276&lt;&gt;"","Done",IF($Q276="","Open — no date",IF($Q276&lt;TODAY(),"Overdue",IF($Q276-TODAY()&lt;=DueSoon,"Due soon","Scheduled")))))</f>
        <v/>
      </c>
      <c r="T276" s="14">
        <f>IF($W276="","",IFERROR(IF(INDEX(FormData,$W276,f_Consent)&amp;""="","",IF(ISNUMBER(SEARCH("yes",INDEX(FormData,$W276,f_Consent))),"Yes","No")),""))</f>
        <v/>
      </c>
      <c r="U276" s="14" t="n"/>
      <c r="V276" s="13">
        <f>IF($U276="","",IF($W276="","not found","✓"))</f>
        <v/>
      </c>
      <c r="W276">
        <f>IF($U276="","",IFERROR(MATCH($U276,INDEX(FormData,0,f_Id),0),IFERROR(MATCH(--$U276,INDEX(FormData,0,f_Id),0),IFERROR(MATCH($U276&amp;"",INDEX(FormData,0,f_Id),0),""))))</f>
        <v/>
      </c>
      <c r="X276">
        <f>IF(AND($B276&lt;&gt;"",$B276='Event Report'!$C$3),ROW(),"")</f>
        <v/>
      </c>
      <c r="Y276">
        <f>IF(AND($P276="✓",$R276=""),IF($Q276="",90000,$Q276)+ROW()/100000,"")</f>
        <v/>
      </c>
      <c r="Z276">
        <f>IF(OR($U276&lt;&gt;"",$D276&lt;&gt;"",$E276&lt;&gt;"",$N276&lt;&gt;""),1,"")</f>
        <v/>
      </c>
    </row>
    <row r="277">
      <c r="A277" s="13" t="inlineStr">
        <is>
          <t>P-0273</t>
        </is>
      </c>
      <c r="B277" s="14">
        <f>IF(AND($U277="",$C277=""),"",IFERROR(INDEX(EvID,MATCH(INDEX(FormData,$W277,f_Event),EvID,0)),IFERROR(INDEX(EvID,MATCH(INDEX(FormData,$W277,f_Event),EvName,0)),IFERROR(INDEX(EvID,MATCH(INT($C277),EvDate,0)),""))))</f>
        <v/>
      </c>
      <c r="C277" s="15">
        <f>IF($W277="","",INDEX(FormData,$W277,f_Time))</f>
        <v/>
      </c>
      <c r="D277" s="14">
        <f>IF($W277="","",IFERROR(UPPER(LEFT(TRIM(INDEX(FormData,$W277,f_Name)),1)&amp;IFERROR(MID(TRIM(INDEX(FormData,$W277,f_Name)),FIND("^",SUBSTITUTE(TRIM(INDEX(FormData,$W277,f_Name))," ","^",LEN(TRIM(INDEX(FormData,$W277,f_Name)))-LEN(SUBSTITUTE(TRIM(INDEX(FormData,$W277,f_Name))," ",""))))+1,1),"")),""))</f>
        <v/>
      </c>
      <c r="E277" s="16">
        <f>IF($W277="","",IFERROR(IF(SUMPRODUCT(MAX((WhoKW&lt;&gt;"")*ISNUMBER(SEARCH(WhoKW,INDEX(FormData,$W277,f_Who)&amp;""))*(ROW(WhoKW)-MIN(ROW(WhoKW))+1)))=0,"",INDEX(WhoVal,SUMPRODUCT(MAX((WhoKW&lt;&gt;"")*ISNUMBER(SEARCH(WhoKW,INDEX(FormData,$W277,f_Who)&amp;""))*(ROW(WhoKW)-MIN(ROW(WhoKW))+1))))),""))</f>
        <v/>
      </c>
      <c r="F277" s="17">
        <f>IF($W277="","",TRIM(IFERROR(INDEX(FormData,$W277,f_Org1)&amp;"","")&amp;" "&amp;IFERROR(INDEX(FormData,$W277,f_Org2)&amp;"","")))</f>
        <v/>
      </c>
      <c r="G277" s="16">
        <f>IF($W277="","",IFERROR(INDEX(FormData,$W277,f_Region)&amp;"",""))</f>
        <v/>
      </c>
      <c r="H277" s="16">
        <f>IF($W277="","",IFERROR(IF(SUMPRODUCT(MAX((SitKW&lt;&gt;"")*ISNUMBER(SEARCH(SitKW,INDEX(FormData,$W277,f_Sit)&amp;""))*(ROW(SitKW)-MIN(ROW(SitKW))+1)))=0,"",INDEX(SitVal,SUMPRODUCT(MAX((SitKW&lt;&gt;"")*ISNUMBER(SEARCH(SitKW,INDEX(FormData,$W277,f_Sit)&amp;""))*(ROW(SitKW)-MIN(ROW(SitKW))+1))))),""))</f>
        <v/>
      </c>
      <c r="I277" s="14">
        <f>IF($W277="","",IFERROR(INDEX(FormData,$W277,f_Appr)&amp;"",""))</f>
        <v/>
      </c>
      <c r="J277" s="16">
        <f>IF($W277="","",IFERROR(INDEX(FormData,$W277,f_Trade)&amp;"",""))</f>
        <v/>
      </c>
      <c r="K277" s="16" t="n"/>
      <c r="L277" s="17" t="n"/>
      <c r="M277" s="16" t="n"/>
      <c r="N277" s="17" t="n"/>
      <c r="O277" s="14" t="n"/>
      <c r="P277" s="14" t="n"/>
      <c r="Q277" s="18" t="n"/>
      <c r="R277" s="18" t="n"/>
      <c r="S277" s="13">
        <f>IF($P277&lt;&gt;"✓","",IF($R277&lt;&gt;"","Done",IF($Q277="","Open — no date",IF($Q277&lt;TODAY(),"Overdue",IF($Q277-TODAY()&lt;=DueSoon,"Due soon","Scheduled")))))</f>
        <v/>
      </c>
      <c r="T277" s="14">
        <f>IF($W277="","",IFERROR(IF(INDEX(FormData,$W277,f_Consent)&amp;""="","",IF(ISNUMBER(SEARCH("yes",INDEX(FormData,$W277,f_Consent))),"Yes","No")),""))</f>
        <v/>
      </c>
      <c r="U277" s="14" t="n"/>
      <c r="V277" s="13">
        <f>IF($U277="","",IF($W277="","not found","✓"))</f>
        <v/>
      </c>
      <c r="W277">
        <f>IF($U277="","",IFERROR(MATCH($U277,INDEX(FormData,0,f_Id),0),IFERROR(MATCH(--$U277,INDEX(FormData,0,f_Id),0),IFERROR(MATCH($U277&amp;"",INDEX(FormData,0,f_Id),0),""))))</f>
        <v/>
      </c>
      <c r="X277">
        <f>IF(AND($B277&lt;&gt;"",$B277='Event Report'!$C$3),ROW(),"")</f>
        <v/>
      </c>
      <c r="Y277">
        <f>IF(AND($P277="✓",$R277=""),IF($Q277="",90000,$Q277)+ROW()/100000,"")</f>
        <v/>
      </c>
      <c r="Z277">
        <f>IF(OR($U277&lt;&gt;"",$D277&lt;&gt;"",$E277&lt;&gt;"",$N277&lt;&gt;""),1,"")</f>
        <v/>
      </c>
    </row>
    <row r="278">
      <c r="A278" s="13" t="inlineStr">
        <is>
          <t>P-0274</t>
        </is>
      </c>
      <c r="B278" s="14">
        <f>IF(AND($U278="",$C278=""),"",IFERROR(INDEX(EvID,MATCH(INDEX(FormData,$W278,f_Event),EvID,0)),IFERROR(INDEX(EvID,MATCH(INDEX(FormData,$W278,f_Event),EvName,0)),IFERROR(INDEX(EvID,MATCH(INT($C278),EvDate,0)),""))))</f>
        <v/>
      </c>
      <c r="C278" s="15">
        <f>IF($W278="","",INDEX(FormData,$W278,f_Time))</f>
        <v/>
      </c>
      <c r="D278" s="14">
        <f>IF($W278="","",IFERROR(UPPER(LEFT(TRIM(INDEX(FormData,$W278,f_Name)),1)&amp;IFERROR(MID(TRIM(INDEX(FormData,$W278,f_Name)),FIND("^",SUBSTITUTE(TRIM(INDEX(FormData,$W278,f_Name))," ","^",LEN(TRIM(INDEX(FormData,$W278,f_Name)))-LEN(SUBSTITUTE(TRIM(INDEX(FormData,$W278,f_Name))," ",""))))+1,1),"")),""))</f>
        <v/>
      </c>
      <c r="E278" s="16">
        <f>IF($W278="","",IFERROR(IF(SUMPRODUCT(MAX((WhoKW&lt;&gt;"")*ISNUMBER(SEARCH(WhoKW,INDEX(FormData,$W278,f_Who)&amp;""))*(ROW(WhoKW)-MIN(ROW(WhoKW))+1)))=0,"",INDEX(WhoVal,SUMPRODUCT(MAX((WhoKW&lt;&gt;"")*ISNUMBER(SEARCH(WhoKW,INDEX(FormData,$W278,f_Who)&amp;""))*(ROW(WhoKW)-MIN(ROW(WhoKW))+1))))),""))</f>
        <v/>
      </c>
      <c r="F278" s="17">
        <f>IF($W278="","",TRIM(IFERROR(INDEX(FormData,$W278,f_Org1)&amp;"","")&amp;" "&amp;IFERROR(INDEX(FormData,$W278,f_Org2)&amp;"","")))</f>
        <v/>
      </c>
      <c r="G278" s="16">
        <f>IF($W278="","",IFERROR(INDEX(FormData,$W278,f_Region)&amp;"",""))</f>
        <v/>
      </c>
      <c r="H278" s="16">
        <f>IF($W278="","",IFERROR(IF(SUMPRODUCT(MAX((SitKW&lt;&gt;"")*ISNUMBER(SEARCH(SitKW,INDEX(FormData,$W278,f_Sit)&amp;""))*(ROW(SitKW)-MIN(ROW(SitKW))+1)))=0,"",INDEX(SitVal,SUMPRODUCT(MAX((SitKW&lt;&gt;"")*ISNUMBER(SEARCH(SitKW,INDEX(FormData,$W278,f_Sit)&amp;""))*(ROW(SitKW)-MIN(ROW(SitKW))+1))))),""))</f>
        <v/>
      </c>
      <c r="I278" s="14">
        <f>IF($W278="","",IFERROR(INDEX(FormData,$W278,f_Appr)&amp;"",""))</f>
        <v/>
      </c>
      <c r="J278" s="16">
        <f>IF($W278="","",IFERROR(INDEX(FormData,$W278,f_Trade)&amp;"",""))</f>
        <v/>
      </c>
      <c r="K278" s="16" t="n"/>
      <c r="L278" s="17" t="n"/>
      <c r="M278" s="16" t="n"/>
      <c r="N278" s="17" t="n"/>
      <c r="O278" s="14" t="n"/>
      <c r="P278" s="14" t="n"/>
      <c r="Q278" s="18" t="n"/>
      <c r="R278" s="18" t="n"/>
      <c r="S278" s="13">
        <f>IF($P278&lt;&gt;"✓","",IF($R278&lt;&gt;"","Done",IF($Q278="","Open — no date",IF($Q278&lt;TODAY(),"Overdue",IF($Q278-TODAY()&lt;=DueSoon,"Due soon","Scheduled")))))</f>
        <v/>
      </c>
      <c r="T278" s="14">
        <f>IF($W278="","",IFERROR(IF(INDEX(FormData,$W278,f_Consent)&amp;""="","",IF(ISNUMBER(SEARCH("yes",INDEX(FormData,$W278,f_Consent))),"Yes","No")),""))</f>
        <v/>
      </c>
      <c r="U278" s="14" t="n"/>
      <c r="V278" s="13">
        <f>IF($U278="","",IF($W278="","not found","✓"))</f>
        <v/>
      </c>
      <c r="W278">
        <f>IF($U278="","",IFERROR(MATCH($U278,INDEX(FormData,0,f_Id),0),IFERROR(MATCH(--$U278,INDEX(FormData,0,f_Id),0),IFERROR(MATCH($U278&amp;"",INDEX(FormData,0,f_Id),0),""))))</f>
        <v/>
      </c>
      <c r="X278">
        <f>IF(AND($B278&lt;&gt;"",$B278='Event Report'!$C$3),ROW(),"")</f>
        <v/>
      </c>
      <c r="Y278">
        <f>IF(AND($P278="✓",$R278=""),IF($Q278="",90000,$Q278)+ROW()/100000,"")</f>
        <v/>
      </c>
      <c r="Z278">
        <f>IF(OR($U278&lt;&gt;"",$D278&lt;&gt;"",$E278&lt;&gt;"",$N278&lt;&gt;""),1,"")</f>
        <v/>
      </c>
    </row>
    <row r="279">
      <c r="A279" s="13" t="inlineStr">
        <is>
          <t>P-0275</t>
        </is>
      </c>
      <c r="B279" s="14">
        <f>IF(AND($U279="",$C279=""),"",IFERROR(INDEX(EvID,MATCH(INDEX(FormData,$W279,f_Event),EvID,0)),IFERROR(INDEX(EvID,MATCH(INDEX(FormData,$W279,f_Event),EvName,0)),IFERROR(INDEX(EvID,MATCH(INT($C279),EvDate,0)),""))))</f>
        <v/>
      </c>
      <c r="C279" s="15">
        <f>IF($W279="","",INDEX(FormData,$W279,f_Time))</f>
        <v/>
      </c>
      <c r="D279" s="14">
        <f>IF($W279="","",IFERROR(UPPER(LEFT(TRIM(INDEX(FormData,$W279,f_Name)),1)&amp;IFERROR(MID(TRIM(INDEX(FormData,$W279,f_Name)),FIND("^",SUBSTITUTE(TRIM(INDEX(FormData,$W279,f_Name))," ","^",LEN(TRIM(INDEX(FormData,$W279,f_Name)))-LEN(SUBSTITUTE(TRIM(INDEX(FormData,$W279,f_Name))," ",""))))+1,1),"")),""))</f>
        <v/>
      </c>
      <c r="E279" s="16">
        <f>IF($W279="","",IFERROR(IF(SUMPRODUCT(MAX((WhoKW&lt;&gt;"")*ISNUMBER(SEARCH(WhoKW,INDEX(FormData,$W279,f_Who)&amp;""))*(ROW(WhoKW)-MIN(ROW(WhoKW))+1)))=0,"",INDEX(WhoVal,SUMPRODUCT(MAX((WhoKW&lt;&gt;"")*ISNUMBER(SEARCH(WhoKW,INDEX(FormData,$W279,f_Who)&amp;""))*(ROW(WhoKW)-MIN(ROW(WhoKW))+1))))),""))</f>
        <v/>
      </c>
      <c r="F279" s="17">
        <f>IF($W279="","",TRIM(IFERROR(INDEX(FormData,$W279,f_Org1)&amp;"","")&amp;" "&amp;IFERROR(INDEX(FormData,$W279,f_Org2)&amp;"","")))</f>
        <v/>
      </c>
      <c r="G279" s="16">
        <f>IF($W279="","",IFERROR(INDEX(FormData,$W279,f_Region)&amp;"",""))</f>
        <v/>
      </c>
      <c r="H279" s="16">
        <f>IF($W279="","",IFERROR(IF(SUMPRODUCT(MAX((SitKW&lt;&gt;"")*ISNUMBER(SEARCH(SitKW,INDEX(FormData,$W279,f_Sit)&amp;""))*(ROW(SitKW)-MIN(ROW(SitKW))+1)))=0,"",INDEX(SitVal,SUMPRODUCT(MAX((SitKW&lt;&gt;"")*ISNUMBER(SEARCH(SitKW,INDEX(FormData,$W279,f_Sit)&amp;""))*(ROW(SitKW)-MIN(ROW(SitKW))+1))))),""))</f>
        <v/>
      </c>
      <c r="I279" s="14">
        <f>IF($W279="","",IFERROR(INDEX(FormData,$W279,f_Appr)&amp;"",""))</f>
        <v/>
      </c>
      <c r="J279" s="16">
        <f>IF($W279="","",IFERROR(INDEX(FormData,$W279,f_Trade)&amp;"",""))</f>
        <v/>
      </c>
      <c r="K279" s="16" t="n"/>
      <c r="L279" s="17" t="n"/>
      <c r="M279" s="16" t="n"/>
      <c r="N279" s="17" t="n"/>
      <c r="O279" s="14" t="n"/>
      <c r="P279" s="14" t="n"/>
      <c r="Q279" s="18" t="n"/>
      <c r="R279" s="18" t="n"/>
      <c r="S279" s="13">
        <f>IF($P279&lt;&gt;"✓","",IF($R279&lt;&gt;"","Done",IF($Q279="","Open — no date",IF($Q279&lt;TODAY(),"Overdue",IF($Q279-TODAY()&lt;=DueSoon,"Due soon","Scheduled")))))</f>
        <v/>
      </c>
      <c r="T279" s="14">
        <f>IF($W279="","",IFERROR(IF(INDEX(FormData,$W279,f_Consent)&amp;""="","",IF(ISNUMBER(SEARCH("yes",INDEX(FormData,$W279,f_Consent))),"Yes","No")),""))</f>
        <v/>
      </c>
      <c r="U279" s="14" t="n"/>
      <c r="V279" s="13">
        <f>IF($U279="","",IF($W279="","not found","✓"))</f>
        <v/>
      </c>
      <c r="W279">
        <f>IF($U279="","",IFERROR(MATCH($U279,INDEX(FormData,0,f_Id),0),IFERROR(MATCH(--$U279,INDEX(FormData,0,f_Id),0),IFERROR(MATCH($U279&amp;"",INDEX(FormData,0,f_Id),0),""))))</f>
        <v/>
      </c>
      <c r="X279">
        <f>IF(AND($B279&lt;&gt;"",$B279='Event Report'!$C$3),ROW(),"")</f>
        <v/>
      </c>
      <c r="Y279">
        <f>IF(AND($P279="✓",$R279=""),IF($Q279="",90000,$Q279)+ROW()/100000,"")</f>
        <v/>
      </c>
      <c r="Z279">
        <f>IF(OR($U279&lt;&gt;"",$D279&lt;&gt;"",$E279&lt;&gt;"",$N279&lt;&gt;""),1,"")</f>
        <v/>
      </c>
    </row>
    <row r="280">
      <c r="A280" s="13" t="inlineStr">
        <is>
          <t>P-0276</t>
        </is>
      </c>
      <c r="B280" s="14">
        <f>IF(AND($U280="",$C280=""),"",IFERROR(INDEX(EvID,MATCH(INDEX(FormData,$W280,f_Event),EvID,0)),IFERROR(INDEX(EvID,MATCH(INDEX(FormData,$W280,f_Event),EvName,0)),IFERROR(INDEX(EvID,MATCH(INT($C280),EvDate,0)),""))))</f>
        <v/>
      </c>
      <c r="C280" s="15">
        <f>IF($W280="","",INDEX(FormData,$W280,f_Time))</f>
        <v/>
      </c>
      <c r="D280" s="14">
        <f>IF($W280="","",IFERROR(UPPER(LEFT(TRIM(INDEX(FormData,$W280,f_Name)),1)&amp;IFERROR(MID(TRIM(INDEX(FormData,$W280,f_Name)),FIND("^",SUBSTITUTE(TRIM(INDEX(FormData,$W280,f_Name))," ","^",LEN(TRIM(INDEX(FormData,$W280,f_Name)))-LEN(SUBSTITUTE(TRIM(INDEX(FormData,$W280,f_Name))," ",""))))+1,1),"")),""))</f>
        <v/>
      </c>
      <c r="E280" s="16">
        <f>IF($W280="","",IFERROR(IF(SUMPRODUCT(MAX((WhoKW&lt;&gt;"")*ISNUMBER(SEARCH(WhoKW,INDEX(FormData,$W280,f_Who)&amp;""))*(ROW(WhoKW)-MIN(ROW(WhoKW))+1)))=0,"",INDEX(WhoVal,SUMPRODUCT(MAX((WhoKW&lt;&gt;"")*ISNUMBER(SEARCH(WhoKW,INDEX(FormData,$W280,f_Who)&amp;""))*(ROW(WhoKW)-MIN(ROW(WhoKW))+1))))),""))</f>
        <v/>
      </c>
      <c r="F280" s="17">
        <f>IF($W280="","",TRIM(IFERROR(INDEX(FormData,$W280,f_Org1)&amp;"","")&amp;" "&amp;IFERROR(INDEX(FormData,$W280,f_Org2)&amp;"","")))</f>
        <v/>
      </c>
      <c r="G280" s="16">
        <f>IF($W280="","",IFERROR(INDEX(FormData,$W280,f_Region)&amp;"",""))</f>
        <v/>
      </c>
      <c r="H280" s="16">
        <f>IF($W280="","",IFERROR(IF(SUMPRODUCT(MAX((SitKW&lt;&gt;"")*ISNUMBER(SEARCH(SitKW,INDEX(FormData,$W280,f_Sit)&amp;""))*(ROW(SitKW)-MIN(ROW(SitKW))+1)))=0,"",INDEX(SitVal,SUMPRODUCT(MAX((SitKW&lt;&gt;"")*ISNUMBER(SEARCH(SitKW,INDEX(FormData,$W280,f_Sit)&amp;""))*(ROW(SitKW)-MIN(ROW(SitKW))+1))))),""))</f>
        <v/>
      </c>
      <c r="I280" s="14">
        <f>IF($W280="","",IFERROR(INDEX(FormData,$W280,f_Appr)&amp;"",""))</f>
        <v/>
      </c>
      <c r="J280" s="16">
        <f>IF($W280="","",IFERROR(INDEX(FormData,$W280,f_Trade)&amp;"",""))</f>
        <v/>
      </c>
      <c r="K280" s="16" t="n"/>
      <c r="L280" s="17" t="n"/>
      <c r="M280" s="16" t="n"/>
      <c r="N280" s="17" t="n"/>
      <c r="O280" s="14" t="n"/>
      <c r="P280" s="14" t="n"/>
      <c r="Q280" s="18" t="n"/>
      <c r="R280" s="18" t="n"/>
      <c r="S280" s="13">
        <f>IF($P280&lt;&gt;"✓","",IF($R280&lt;&gt;"","Done",IF($Q280="","Open — no date",IF($Q280&lt;TODAY(),"Overdue",IF($Q280-TODAY()&lt;=DueSoon,"Due soon","Scheduled")))))</f>
        <v/>
      </c>
      <c r="T280" s="14">
        <f>IF($W280="","",IFERROR(IF(INDEX(FormData,$W280,f_Consent)&amp;""="","",IF(ISNUMBER(SEARCH("yes",INDEX(FormData,$W280,f_Consent))),"Yes","No")),""))</f>
        <v/>
      </c>
      <c r="U280" s="14" t="n"/>
      <c r="V280" s="13">
        <f>IF($U280="","",IF($W280="","not found","✓"))</f>
        <v/>
      </c>
      <c r="W280">
        <f>IF($U280="","",IFERROR(MATCH($U280,INDEX(FormData,0,f_Id),0),IFERROR(MATCH(--$U280,INDEX(FormData,0,f_Id),0),IFERROR(MATCH($U280&amp;"",INDEX(FormData,0,f_Id),0),""))))</f>
        <v/>
      </c>
      <c r="X280">
        <f>IF(AND($B280&lt;&gt;"",$B280='Event Report'!$C$3),ROW(),"")</f>
        <v/>
      </c>
      <c r="Y280">
        <f>IF(AND($P280="✓",$R280=""),IF($Q280="",90000,$Q280)+ROW()/100000,"")</f>
        <v/>
      </c>
      <c r="Z280">
        <f>IF(OR($U280&lt;&gt;"",$D280&lt;&gt;"",$E280&lt;&gt;"",$N280&lt;&gt;""),1,"")</f>
        <v/>
      </c>
    </row>
    <row r="281">
      <c r="A281" s="13" t="inlineStr">
        <is>
          <t>P-0277</t>
        </is>
      </c>
      <c r="B281" s="14">
        <f>IF(AND($U281="",$C281=""),"",IFERROR(INDEX(EvID,MATCH(INDEX(FormData,$W281,f_Event),EvID,0)),IFERROR(INDEX(EvID,MATCH(INDEX(FormData,$W281,f_Event),EvName,0)),IFERROR(INDEX(EvID,MATCH(INT($C281),EvDate,0)),""))))</f>
        <v/>
      </c>
      <c r="C281" s="15">
        <f>IF($W281="","",INDEX(FormData,$W281,f_Time))</f>
        <v/>
      </c>
      <c r="D281" s="14">
        <f>IF($W281="","",IFERROR(UPPER(LEFT(TRIM(INDEX(FormData,$W281,f_Name)),1)&amp;IFERROR(MID(TRIM(INDEX(FormData,$W281,f_Name)),FIND("^",SUBSTITUTE(TRIM(INDEX(FormData,$W281,f_Name))," ","^",LEN(TRIM(INDEX(FormData,$W281,f_Name)))-LEN(SUBSTITUTE(TRIM(INDEX(FormData,$W281,f_Name))," ",""))))+1,1),"")),""))</f>
        <v/>
      </c>
      <c r="E281" s="16">
        <f>IF($W281="","",IFERROR(IF(SUMPRODUCT(MAX((WhoKW&lt;&gt;"")*ISNUMBER(SEARCH(WhoKW,INDEX(FormData,$W281,f_Who)&amp;""))*(ROW(WhoKW)-MIN(ROW(WhoKW))+1)))=0,"",INDEX(WhoVal,SUMPRODUCT(MAX((WhoKW&lt;&gt;"")*ISNUMBER(SEARCH(WhoKW,INDEX(FormData,$W281,f_Who)&amp;""))*(ROW(WhoKW)-MIN(ROW(WhoKW))+1))))),""))</f>
        <v/>
      </c>
      <c r="F281" s="17">
        <f>IF($W281="","",TRIM(IFERROR(INDEX(FormData,$W281,f_Org1)&amp;"","")&amp;" "&amp;IFERROR(INDEX(FormData,$W281,f_Org2)&amp;"","")))</f>
        <v/>
      </c>
      <c r="G281" s="16">
        <f>IF($W281="","",IFERROR(INDEX(FormData,$W281,f_Region)&amp;"",""))</f>
        <v/>
      </c>
      <c r="H281" s="16">
        <f>IF($W281="","",IFERROR(IF(SUMPRODUCT(MAX((SitKW&lt;&gt;"")*ISNUMBER(SEARCH(SitKW,INDEX(FormData,$W281,f_Sit)&amp;""))*(ROW(SitKW)-MIN(ROW(SitKW))+1)))=0,"",INDEX(SitVal,SUMPRODUCT(MAX((SitKW&lt;&gt;"")*ISNUMBER(SEARCH(SitKW,INDEX(FormData,$W281,f_Sit)&amp;""))*(ROW(SitKW)-MIN(ROW(SitKW))+1))))),""))</f>
        <v/>
      </c>
      <c r="I281" s="14">
        <f>IF($W281="","",IFERROR(INDEX(FormData,$W281,f_Appr)&amp;"",""))</f>
        <v/>
      </c>
      <c r="J281" s="16">
        <f>IF($W281="","",IFERROR(INDEX(FormData,$W281,f_Trade)&amp;"",""))</f>
        <v/>
      </c>
      <c r="K281" s="16" t="n"/>
      <c r="L281" s="17" t="n"/>
      <c r="M281" s="16" t="n"/>
      <c r="N281" s="17" t="n"/>
      <c r="O281" s="14" t="n"/>
      <c r="P281" s="14" t="n"/>
      <c r="Q281" s="18" t="n"/>
      <c r="R281" s="18" t="n"/>
      <c r="S281" s="13">
        <f>IF($P281&lt;&gt;"✓","",IF($R281&lt;&gt;"","Done",IF($Q281="","Open — no date",IF($Q281&lt;TODAY(),"Overdue",IF($Q281-TODAY()&lt;=DueSoon,"Due soon","Scheduled")))))</f>
        <v/>
      </c>
      <c r="T281" s="14">
        <f>IF($W281="","",IFERROR(IF(INDEX(FormData,$W281,f_Consent)&amp;""="","",IF(ISNUMBER(SEARCH("yes",INDEX(FormData,$W281,f_Consent))),"Yes","No")),""))</f>
        <v/>
      </c>
      <c r="U281" s="14" t="n"/>
      <c r="V281" s="13">
        <f>IF($U281="","",IF($W281="","not found","✓"))</f>
        <v/>
      </c>
      <c r="W281">
        <f>IF($U281="","",IFERROR(MATCH($U281,INDEX(FormData,0,f_Id),0),IFERROR(MATCH(--$U281,INDEX(FormData,0,f_Id),0),IFERROR(MATCH($U281&amp;"",INDEX(FormData,0,f_Id),0),""))))</f>
        <v/>
      </c>
      <c r="X281">
        <f>IF(AND($B281&lt;&gt;"",$B281='Event Report'!$C$3),ROW(),"")</f>
        <v/>
      </c>
      <c r="Y281">
        <f>IF(AND($P281="✓",$R281=""),IF($Q281="",90000,$Q281)+ROW()/100000,"")</f>
        <v/>
      </c>
      <c r="Z281">
        <f>IF(OR($U281&lt;&gt;"",$D281&lt;&gt;"",$E281&lt;&gt;"",$N281&lt;&gt;""),1,"")</f>
        <v/>
      </c>
    </row>
    <row r="282">
      <c r="A282" s="13" t="inlineStr">
        <is>
          <t>P-0278</t>
        </is>
      </c>
      <c r="B282" s="14">
        <f>IF(AND($U282="",$C282=""),"",IFERROR(INDEX(EvID,MATCH(INDEX(FormData,$W282,f_Event),EvID,0)),IFERROR(INDEX(EvID,MATCH(INDEX(FormData,$W282,f_Event),EvName,0)),IFERROR(INDEX(EvID,MATCH(INT($C282),EvDate,0)),""))))</f>
        <v/>
      </c>
      <c r="C282" s="15">
        <f>IF($W282="","",INDEX(FormData,$W282,f_Time))</f>
        <v/>
      </c>
      <c r="D282" s="14">
        <f>IF($W282="","",IFERROR(UPPER(LEFT(TRIM(INDEX(FormData,$W282,f_Name)),1)&amp;IFERROR(MID(TRIM(INDEX(FormData,$W282,f_Name)),FIND("^",SUBSTITUTE(TRIM(INDEX(FormData,$W282,f_Name))," ","^",LEN(TRIM(INDEX(FormData,$W282,f_Name)))-LEN(SUBSTITUTE(TRIM(INDEX(FormData,$W282,f_Name))," ",""))))+1,1),"")),""))</f>
        <v/>
      </c>
      <c r="E282" s="16">
        <f>IF($W282="","",IFERROR(IF(SUMPRODUCT(MAX((WhoKW&lt;&gt;"")*ISNUMBER(SEARCH(WhoKW,INDEX(FormData,$W282,f_Who)&amp;""))*(ROW(WhoKW)-MIN(ROW(WhoKW))+1)))=0,"",INDEX(WhoVal,SUMPRODUCT(MAX((WhoKW&lt;&gt;"")*ISNUMBER(SEARCH(WhoKW,INDEX(FormData,$W282,f_Who)&amp;""))*(ROW(WhoKW)-MIN(ROW(WhoKW))+1))))),""))</f>
        <v/>
      </c>
      <c r="F282" s="17">
        <f>IF($W282="","",TRIM(IFERROR(INDEX(FormData,$W282,f_Org1)&amp;"","")&amp;" "&amp;IFERROR(INDEX(FormData,$W282,f_Org2)&amp;"","")))</f>
        <v/>
      </c>
      <c r="G282" s="16">
        <f>IF($W282="","",IFERROR(INDEX(FormData,$W282,f_Region)&amp;"",""))</f>
        <v/>
      </c>
      <c r="H282" s="16">
        <f>IF($W282="","",IFERROR(IF(SUMPRODUCT(MAX((SitKW&lt;&gt;"")*ISNUMBER(SEARCH(SitKW,INDEX(FormData,$W282,f_Sit)&amp;""))*(ROW(SitKW)-MIN(ROW(SitKW))+1)))=0,"",INDEX(SitVal,SUMPRODUCT(MAX((SitKW&lt;&gt;"")*ISNUMBER(SEARCH(SitKW,INDEX(FormData,$W282,f_Sit)&amp;""))*(ROW(SitKW)-MIN(ROW(SitKW))+1))))),""))</f>
        <v/>
      </c>
      <c r="I282" s="14">
        <f>IF($W282="","",IFERROR(INDEX(FormData,$W282,f_Appr)&amp;"",""))</f>
        <v/>
      </c>
      <c r="J282" s="16">
        <f>IF($W282="","",IFERROR(INDEX(FormData,$W282,f_Trade)&amp;"",""))</f>
        <v/>
      </c>
      <c r="K282" s="16" t="n"/>
      <c r="L282" s="17" t="n"/>
      <c r="M282" s="16" t="n"/>
      <c r="N282" s="17" t="n"/>
      <c r="O282" s="14" t="n"/>
      <c r="P282" s="14" t="n"/>
      <c r="Q282" s="18" t="n"/>
      <c r="R282" s="18" t="n"/>
      <c r="S282" s="13">
        <f>IF($P282&lt;&gt;"✓","",IF($R282&lt;&gt;"","Done",IF($Q282="","Open — no date",IF($Q282&lt;TODAY(),"Overdue",IF($Q282-TODAY()&lt;=DueSoon,"Due soon","Scheduled")))))</f>
        <v/>
      </c>
      <c r="T282" s="14">
        <f>IF($W282="","",IFERROR(IF(INDEX(FormData,$W282,f_Consent)&amp;""="","",IF(ISNUMBER(SEARCH("yes",INDEX(FormData,$W282,f_Consent))),"Yes","No")),""))</f>
        <v/>
      </c>
      <c r="U282" s="14" t="n"/>
      <c r="V282" s="13">
        <f>IF($U282="","",IF($W282="","not found","✓"))</f>
        <v/>
      </c>
      <c r="W282">
        <f>IF($U282="","",IFERROR(MATCH($U282,INDEX(FormData,0,f_Id),0),IFERROR(MATCH(--$U282,INDEX(FormData,0,f_Id),0),IFERROR(MATCH($U282&amp;"",INDEX(FormData,0,f_Id),0),""))))</f>
        <v/>
      </c>
      <c r="X282">
        <f>IF(AND($B282&lt;&gt;"",$B282='Event Report'!$C$3),ROW(),"")</f>
        <v/>
      </c>
      <c r="Y282">
        <f>IF(AND($P282="✓",$R282=""),IF($Q282="",90000,$Q282)+ROW()/100000,"")</f>
        <v/>
      </c>
      <c r="Z282">
        <f>IF(OR($U282&lt;&gt;"",$D282&lt;&gt;"",$E282&lt;&gt;"",$N282&lt;&gt;""),1,"")</f>
        <v/>
      </c>
    </row>
    <row r="283">
      <c r="A283" s="13" t="inlineStr">
        <is>
          <t>P-0279</t>
        </is>
      </c>
      <c r="B283" s="14">
        <f>IF(AND($U283="",$C283=""),"",IFERROR(INDEX(EvID,MATCH(INDEX(FormData,$W283,f_Event),EvID,0)),IFERROR(INDEX(EvID,MATCH(INDEX(FormData,$W283,f_Event),EvName,0)),IFERROR(INDEX(EvID,MATCH(INT($C283),EvDate,0)),""))))</f>
        <v/>
      </c>
      <c r="C283" s="15">
        <f>IF($W283="","",INDEX(FormData,$W283,f_Time))</f>
        <v/>
      </c>
      <c r="D283" s="14">
        <f>IF($W283="","",IFERROR(UPPER(LEFT(TRIM(INDEX(FormData,$W283,f_Name)),1)&amp;IFERROR(MID(TRIM(INDEX(FormData,$W283,f_Name)),FIND("^",SUBSTITUTE(TRIM(INDEX(FormData,$W283,f_Name))," ","^",LEN(TRIM(INDEX(FormData,$W283,f_Name)))-LEN(SUBSTITUTE(TRIM(INDEX(FormData,$W283,f_Name))," ",""))))+1,1),"")),""))</f>
        <v/>
      </c>
      <c r="E283" s="16">
        <f>IF($W283="","",IFERROR(IF(SUMPRODUCT(MAX((WhoKW&lt;&gt;"")*ISNUMBER(SEARCH(WhoKW,INDEX(FormData,$W283,f_Who)&amp;""))*(ROW(WhoKW)-MIN(ROW(WhoKW))+1)))=0,"",INDEX(WhoVal,SUMPRODUCT(MAX((WhoKW&lt;&gt;"")*ISNUMBER(SEARCH(WhoKW,INDEX(FormData,$W283,f_Who)&amp;""))*(ROW(WhoKW)-MIN(ROW(WhoKW))+1))))),""))</f>
        <v/>
      </c>
      <c r="F283" s="17">
        <f>IF($W283="","",TRIM(IFERROR(INDEX(FormData,$W283,f_Org1)&amp;"","")&amp;" "&amp;IFERROR(INDEX(FormData,$W283,f_Org2)&amp;"","")))</f>
        <v/>
      </c>
      <c r="G283" s="16">
        <f>IF($W283="","",IFERROR(INDEX(FormData,$W283,f_Region)&amp;"",""))</f>
        <v/>
      </c>
      <c r="H283" s="16">
        <f>IF($W283="","",IFERROR(IF(SUMPRODUCT(MAX((SitKW&lt;&gt;"")*ISNUMBER(SEARCH(SitKW,INDEX(FormData,$W283,f_Sit)&amp;""))*(ROW(SitKW)-MIN(ROW(SitKW))+1)))=0,"",INDEX(SitVal,SUMPRODUCT(MAX((SitKW&lt;&gt;"")*ISNUMBER(SEARCH(SitKW,INDEX(FormData,$W283,f_Sit)&amp;""))*(ROW(SitKW)-MIN(ROW(SitKW))+1))))),""))</f>
        <v/>
      </c>
      <c r="I283" s="14">
        <f>IF($W283="","",IFERROR(INDEX(FormData,$W283,f_Appr)&amp;"",""))</f>
        <v/>
      </c>
      <c r="J283" s="16">
        <f>IF($W283="","",IFERROR(INDEX(FormData,$W283,f_Trade)&amp;"",""))</f>
        <v/>
      </c>
      <c r="K283" s="16" t="n"/>
      <c r="L283" s="17" t="n"/>
      <c r="M283" s="16" t="n"/>
      <c r="N283" s="17" t="n"/>
      <c r="O283" s="14" t="n"/>
      <c r="P283" s="14" t="n"/>
      <c r="Q283" s="18" t="n"/>
      <c r="R283" s="18" t="n"/>
      <c r="S283" s="13">
        <f>IF($P283&lt;&gt;"✓","",IF($R283&lt;&gt;"","Done",IF($Q283="","Open — no date",IF($Q283&lt;TODAY(),"Overdue",IF($Q283-TODAY()&lt;=DueSoon,"Due soon","Scheduled")))))</f>
        <v/>
      </c>
      <c r="T283" s="14">
        <f>IF($W283="","",IFERROR(IF(INDEX(FormData,$W283,f_Consent)&amp;""="","",IF(ISNUMBER(SEARCH("yes",INDEX(FormData,$W283,f_Consent))),"Yes","No")),""))</f>
        <v/>
      </c>
      <c r="U283" s="14" t="n"/>
      <c r="V283" s="13">
        <f>IF($U283="","",IF($W283="","not found","✓"))</f>
        <v/>
      </c>
      <c r="W283">
        <f>IF($U283="","",IFERROR(MATCH($U283,INDEX(FormData,0,f_Id),0),IFERROR(MATCH(--$U283,INDEX(FormData,0,f_Id),0),IFERROR(MATCH($U283&amp;"",INDEX(FormData,0,f_Id),0),""))))</f>
        <v/>
      </c>
      <c r="X283">
        <f>IF(AND($B283&lt;&gt;"",$B283='Event Report'!$C$3),ROW(),"")</f>
        <v/>
      </c>
      <c r="Y283">
        <f>IF(AND($P283="✓",$R283=""),IF($Q283="",90000,$Q283)+ROW()/100000,"")</f>
        <v/>
      </c>
      <c r="Z283">
        <f>IF(OR($U283&lt;&gt;"",$D283&lt;&gt;"",$E283&lt;&gt;"",$N283&lt;&gt;""),1,"")</f>
        <v/>
      </c>
    </row>
    <row r="284">
      <c r="A284" s="13" t="inlineStr">
        <is>
          <t>P-0280</t>
        </is>
      </c>
      <c r="B284" s="14">
        <f>IF(AND($U284="",$C284=""),"",IFERROR(INDEX(EvID,MATCH(INDEX(FormData,$W284,f_Event),EvID,0)),IFERROR(INDEX(EvID,MATCH(INDEX(FormData,$W284,f_Event),EvName,0)),IFERROR(INDEX(EvID,MATCH(INT($C284),EvDate,0)),""))))</f>
        <v/>
      </c>
      <c r="C284" s="15">
        <f>IF($W284="","",INDEX(FormData,$W284,f_Time))</f>
        <v/>
      </c>
      <c r="D284" s="14">
        <f>IF($W284="","",IFERROR(UPPER(LEFT(TRIM(INDEX(FormData,$W284,f_Name)),1)&amp;IFERROR(MID(TRIM(INDEX(FormData,$W284,f_Name)),FIND("^",SUBSTITUTE(TRIM(INDEX(FormData,$W284,f_Name))," ","^",LEN(TRIM(INDEX(FormData,$W284,f_Name)))-LEN(SUBSTITUTE(TRIM(INDEX(FormData,$W284,f_Name))," ",""))))+1,1),"")),""))</f>
        <v/>
      </c>
      <c r="E284" s="16">
        <f>IF($W284="","",IFERROR(IF(SUMPRODUCT(MAX((WhoKW&lt;&gt;"")*ISNUMBER(SEARCH(WhoKW,INDEX(FormData,$W284,f_Who)&amp;""))*(ROW(WhoKW)-MIN(ROW(WhoKW))+1)))=0,"",INDEX(WhoVal,SUMPRODUCT(MAX((WhoKW&lt;&gt;"")*ISNUMBER(SEARCH(WhoKW,INDEX(FormData,$W284,f_Who)&amp;""))*(ROW(WhoKW)-MIN(ROW(WhoKW))+1))))),""))</f>
        <v/>
      </c>
      <c r="F284" s="17">
        <f>IF($W284="","",TRIM(IFERROR(INDEX(FormData,$W284,f_Org1)&amp;"","")&amp;" "&amp;IFERROR(INDEX(FormData,$W284,f_Org2)&amp;"","")))</f>
        <v/>
      </c>
      <c r="G284" s="16">
        <f>IF($W284="","",IFERROR(INDEX(FormData,$W284,f_Region)&amp;"",""))</f>
        <v/>
      </c>
      <c r="H284" s="16">
        <f>IF($W284="","",IFERROR(IF(SUMPRODUCT(MAX((SitKW&lt;&gt;"")*ISNUMBER(SEARCH(SitKW,INDEX(FormData,$W284,f_Sit)&amp;""))*(ROW(SitKW)-MIN(ROW(SitKW))+1)))=0,"",INDEX(SitVal,SUMPRODUCT(MAX((SitKW&lt;&gt;"")*ISNUMBER(SEARCH(SitKW,INDEX(FormData,$W284,f_Sit)&amp;""))*(ROW(SitKW)-MIN(ROW(SitKW))+1))))),""))</f>
        <v/>
      </c>
      <c r="I284" s="14">
        <f>IF($W284="","",IFERROR(INDEX(FormData,$W284,f_Appr)&amp;"",""))</f>
        <v/>
      </c>
      <c r="J284" s="16">
        <f>IF($W284="","",IFERROR(INDEX(FormData,$W284,f_Trade)&amp;"",""))</f>
        <v/>
      </c>
      <c r="K284" s="16" t="n"/>
      <c r="L284" s="17" t="n"/>
      <c r="M284" s="16" t="n"/>
      <c r="N284" s="17" t="n"/>
      <c r="O284" s="14" t="n"/>
      <c r="P284" s="14" t="n"/>
      <c r="Q284" s="18" t="n"/>
      <c r="R284" s="18" t="n"/>
      <c r="S284" s="13">
        <f>IF($P284&lt;&gt;"✓","",IF($R284&lt;&gt;"","Done",IF($Q284="","Open — no date",IF($Q284&lt;TODAY(),"Overdue",IF($Q284-TODAY()&lt;=DueSoon,"Due soon","Scheduled")))))</f>
        <v/>
      </c>
      <c r="T284" s="14">
        <f>IF($W284="","",IFERROR(IF(INDEX(FormData,$W284,f_Consent)&amp;""="","",IF(ISNUMBER(SEARCH("yes",INDEX(FormData,$W284,f_Consent))),"Yes","No")),""))</f>
        <v/>
      </c>
      <c r="U284" s="14" t="n"/>
      <c r="V284" s="13">
        <f>IF($U284="","",IF($W284="","not found","✓"))</f>
        <v/>
      </c>
      <c r="W284">
        <f>IF($U284="","",IFERROR(MATCH($U284,INDEX(FormData,0,f_Id),0),IFERROR(MATCH(--$U284,INDEX(FormData,0,f_Id),0),IFERROR(MATCH($U284&amp;"",INDEX(FormData,0,f_Id),0),""))))</f>
        <v/>
      </c>
      <c r="X284">
        <f>IF(AND($B284&lt;&gt;"",$B284='Event Report'!$C$3),ROW(),"")</f>
        <v/>
      </c>
      <c r="Y284">
        <f>IF(AND($P284="✓",$R284=""),IF($Q284="",90000,$Q284)+ROW()/100000,"")</f>
        <v/>
      </c>
      <c r="Z284">
        <f>IF(OR($U284&lt;&gt;"",$D284&lt;&gt;"",$E284&lt;&gt;"",$N284&lt;&gt;""),1,"")</f>
        <v/>
      </c>
    </row>
    <row r="285">
      <c r="A285" s="13" t="inlineStr">
        <is>
          <t>P-0281</t>
        </is>
      </c>
      <c r="B285" s="14">
        <f>IF(AND($U285="",$C285=""),"",IFERROR(INDEX(EvID,MATCH(INDEX(FormData,$W285,f_Event),EvID,0)),IFERROR(INDEX(EvID,MATCH(INDEX(FormData,$W285,f_Event),EvName,0)),IFERROR(INDEX(EvID,MATCH(INT($C285),EvDate,0)),""))))</f>
        <v/>
      </c>
      <c r="C285" s="15">
        <f>IF($W285="","",INDEX(FormData,$W285,f_Time))</f>
        <v/>
      </c>
      <c r="D285" s="14">
        <f>IF($W285="","",IFERROR(UPPER(LEFT(TRIM(INDEX(FormData,$W285,f_Name)),1)&amp;IFERROR(MID(TRIM(INDEX(FormData,$W285,f_Name)),FIND("^",SUBSTITUTE(TRIM(INDEX(FormData,$W285,f_Name))," ","^",LEN(TRIM(INDEX(FormData,$W285,f_Name)))-LEN(SUBSTITUTE(TRIM(INDEX(FormData,$W285,f_Name))," ",""))))+1,1),"")),""))</f>
        <v/>
      </c>
      <c r="E285" s="16">
        <f>IF($W285="","",IFERROR(IF(SUMPRODUCT(MAX((WhoKW&lt;&gt;"")*ISNUMBER(SEARCH(WhoKW,INDEX(FormData,$W285,f_Who)&amp;""))*(ROW(WhoKW)-MIN(ROW(WhoKW))+1)))=0,"",INDEX(WhoVal,SUMPRODUCT(MAX((WhoKW&lt;&gt;"")*ISNUMBER(SEARCH(WhoKW,INDEX(FormData,$W285,f_Who)&amp;""))*(ROW(WhoKW)-MIN(ROW(WhoKW))+1))))),""))</f>
        <v/>
      </c>
      <c r="F285" s="17">
        <f>IF($W285="","",TRIM(IFERROR(INDEX(FormData,$W285,f_Org1)&amp;"","")&amp;" "&amp;IFERROR(INDEX(FormData,$W285,f_Org2)&amp;"","")))</f>
        <v/>
      </c>
      <c r="G285" s="16">
        <f>IF($W285="","",IFERROR(INDEX(FormData,$W285,f_Region)&amp;"",""))</f>
        <v/>
      </c>
      <c r="H285" s="16">
        <f>IF($W285="","",IFERROR(IF(SUMPRODUCT(MAX((SitKW&lt;&gt;"")*ISNUMBER(SEARCH(SitKW,INDEX(FormData,$W285,f_Sit)&amp;""))*(ROW(SitKW)-MIN(ROW(SitKW))+1)))=0,"",INDEX(SitVal,SUMPRODUCT(MAX((SitKW&lt;&gt;"")*ISNUMBER(SEARCH(SitKW,INDEX(FormData,$W285,f_Sit)&amp;""))*(ROW(SitKW)-MIN(ROW(SitKW))+1))))),""))</f>
        <v/>
      </c>
      <c r="I285" s="14">
        <f>IF($W285="","",IFERROR(INDEX(FormData,$W285,f_Appr)&amp;"",""))</f>
        <v/>
      </c>
      <c r="J285" s="16">
        <f>IF($W285="","",IFERROR(INDEX(FormData,$W285,f_Trade)&amp;"",""))</f>
        <v/>
      </c>
      <c r="K285" s="16" t="n"/>
      <c r="L285" s="17" t="n"/>
      <c r="M285" s="16" t="n"/>
      <c r="N285" s="17" t="n"/>
      <c r="O285" s="14" t="n"/>
      <c r="P285" s="14" t="n"/>
      <c r="Q285" s="18" t="n"/>
      <c r="R285" s="18" t="n"/>
      <c r="S285" s="13">
        <f>IF($P285&lt;&gt;"✓","",IF($R285&lt;&gt;"","Done",IF($Q285="","Open — no date",IF($Q285&lt;TODAY(),"Overdue",IF($Q285-TODAY()&lt;=DueSoon,"Due soon","Scheduled")))))</f>
        <v/>
      </c>
      <c r="T285" s="14">
        <f>IF($W285="","",IFERROR(IF(INDEX(FormData,$W285,f_Consent)&amp;""="","",IF(ISNUMBER(SEARCH("yes",INDEX(FormData,$W285,f_Consent))),"Yes","No")),""))</f>
        <v/>
      </c>
      <c r="U285" s="14" t="n"/>
      <c r="V285" s="13">
        <f>IF($U285="","",IF($W285="","not found","✓"))</f>
        <v/>
      </c>
      <c r="W285">
        <f>IF($U285="","",IFERROR(MATCH($U285,INDEX(FormData,0,f_Id),0),IFERROR(MATCH(--$U285,INDEX(FormData,0,f_Id),0),IFERROR(MATCH($U285&amp;"",INDEX(FormData,0,f_Id),0),""))))</f>
        <v/>
      </c>
      <c r="X285">
        <f>IF(AND($B285&lt;&gt;"",$B285='Event Report'!$C$3),ROW(),"")</f>
        <v/>
      </c>
      <c r="Y285">
        <f>IF(AND($P285="✓",$R285=""),IF($Q285="",90000,$Q285)+ROW()/100000,"")</f>
        <v/>
      </c>
      <c r="Z285">
        <f>IF(OR($U285&lt;&gt;"",$D285&lt;&gt;"",$E285&lt;&gt;"",$N285&lt;&gt;""),1,"")</f>
        <v/>
      </c>
    </row>
    <row r="286">
      <c r="A286" s="13" t="inlineStr">
        <is>
          <t>P-0282</t>
        </is>
      </c>
      <c r="B286" s="14">
        <f>IF(AND($U286="",$C286=""),"",IFERROR(INDEX(EvID,MATCH(INDEX(FormData,$W286,f_Event),EvID,0)),IFERROR(INDEX(EvID,MATCH(INDEX(FormData,$W286,f_Event),EvName,0)),IFERROR(INDEX(EvID,MATCH(INT($C286),EvDate,0)),""))))</f>
        <v/>
      </c>
      <c r="C286" s="15">
        <f>IF($W286="","",INDEX(FormData,$W286,f_Time))</f>
        <v/>
      </c>
      <c r="D286" s="14">
        <f>IF($W286="","",IFERROR(UPPER(LEFT(TRIM(INDEX(FormData,$W286,f_Name)),1)&amp;IFERROR(MID(TRIM(INDEX(FormData,$W286,f_Name)),FIND("^",SUBSTITUTE(TRIM(INDEX(FormData,$W286,f_Name))," ","^",LEN(TRIM(INDEX(FormData,$W286,f_Name)))-LEN(SUBSTITUTE(TRIM(INDEX(FormData,$W286,f_Name))," ",""))))+1,1),"")),""))</f>
        <v/>
      </c>
      <c r="E286" s="16">
        <f>IF($W286="","",IFERROR(IF(SUMPRODUCT(MAX((WhoKW&lt;&gt;"")*ISNUMBER(SEARCH(WhoKW,INDEX(FormData,$W286,f_Who)&amp;""))*(ROW(WhoKW)-MIN(ROW(WhoKW))+1)))=0,"",INDEX(WhoVal,SUMPRODUCT(MAX((WhoKW&lt;&gt;"")*ISNUMBER(SEARCH(WhoKW,INDEX(FormData,$W286,f_Who)&amp;""))*(ROW(WhoKW)-MIN(ROW(WhoKW))+1))))),""))</f>
        <v/>
      </c>
      <c r="F286" s="17">
        <f>IF($W286="","",TRIM(IFERROR(INDEX(FormData,$W286,f_Org1)&amp;"","")&amp;" "&amp;IFERROR(INDEX(FormData,$W286,f_Org2)&amp;"","")))</f>
        <v/>
      </c>
      <c r="G286" s="16">
        <f>IF($W286="","",IFERROR(INDEX(FormData,$W286,f_Region)&amp;"",""))</f>
        <v/>
      </c>
      <c r="H286" s="16">
        <f>IF($W286="","",IFERROR(IF(SUMPRODUCT(MAX((SitKW&lt;&gt;"")*ISNUMBER(SEARCH(SitKW,INDEX(FormData,$W286,f_Sit)&amp;""))*(ROW(SitKW)-MIN(ROW(SitKW))+1)))=0,"",INDEX(SitVal,SUMPRODUCT(MAX((SitKW&lt;&gt;"")*ISNUMBER(SEARCH(SitKW,INDEX(FormData,$W286,f_Sit)&amp;""))*(ROW(SitKW)-MIN(ROW(SitKW))+1))))),""))</f>
        <v/>
      </c>
      <c r="I286" s="14">
        <f>IF($W286="","",IFERROR(INDEX(FormData,$W286,f_Appr)&amp;"",""))</f>
        <v/>
      </c>
      <c r="J286" s="16">
        <f>IF($W286="","",IFERROR(INDEX(FormData,$W286,f_Trade)&amp;"",""))</f>
        <v/>
      </c>
      <c r="K286" s="16" t="n"/>
      <c r="L286" s="17" t="n"/>
      <c r="M286" s="16" t="n"/>
      <c r="N286" s="17" t="n"/>
      <c r="O286" s="14" t="n"/>
      <c r="P286" s="14" t="n"/>
      <c r="Q286" s="18" t="n"/>
      <c r="R286" s="18" t="n"/>
      <c r="S286" s="13">
        <f>IF($P286&lt;&gt;"✓","",IF($R286&lt;&gt;"","Done",IF($Q286="","Open — no date",IF($Q286&lt;TODAY(),"Overdue",IF($Q286-TODAY()&lt;=DueSoon,"Due soon","Scheduled")))))</f>
        <v/>
      </c>
      <c r="T286" s="14">
        <f>IF($W286="","",IFERROR(IF(INDEX(FormData,$W286,f_Consent)&amp;""="","",IF(ISNUMBER(SEARCH("yes",INDEX(FormData,$W286,f_Consent))),"Yes","No")),""))</f>
        <v/>
      </c>
      <c r="U286" s="14" t="n"/>
      <c r="V286" s="13">
        <f>IF($U286="","",IF($W286="","not found","✓"))</f>
        <v/>
      </c>
      <c r="W286">
        <f>IF($U286="","",IFERROR(MATCH($U286,INDEX(FormData,0,f_Id),0),IFERROR(MATCH(--$U286,INDEX(FormData,0,f_Id),0),IFERROR(MATCH($U286&amp;"",INDEX(FormData,0,f_Id),0),""))))</f>
        <v/>
      </c>
      <c r="X286">
        <f>IF(AND($B286&lt;&gt;"",$B286='Event Report'!$C$3),ROW(),"")</f>
        <v/>
      </c>
      <c r="Y286">
        <f>IF(AND($P286="✓",$R286=""),IF($Q286="",90000,$Q286)+ROW()/100000,"")</f>
        <v/>
      </c>
      <c r="Z286">
        <f>IF(OR($U286&lt;&gt;"",$D286&lt;&gt;"",$E286&lt;&gt;"",$N286&lt;&gt;""),1,"")</f>
        <v/>
      </c>
    </row>
    <row r="287">
      <c r="A287" s="13" t="inlineStr">
        <is>
          <t>P-0283</t>
        </is>
      </c>
      <c r="B287" s="14">
        <f>IF(AND($U287="",$C287=""),"",IFERROR(INDEX(EvID,MATCH(INDEX(FormData,$W287,f_Event),EvID,0)),IFERROR(INDEX(EvID,MATCH(INDEX(FormData,$W287,f_Event),EvName,0)),IFERROR(INDEX(EvID,MATCH(INT($C287),EvDate,0)),""))))</f>
        <v/>
      </c>
      <c r="C287" s="15">
        <f>IF($W287="","",INDEX(FormData,$W287,f_Time))</f>
        <v/>
      </c>
      <c r="D287" s="14">
        <f>IF($W287="","",IFERROR(UPPER(LEFT(TRIM(INDEX(FormData,$W287,f_Name)),1)&amp;IFERROR(MID(TRIM(INDEX(FormData,$W287,f_Name)),FIND("^",SUBSTITUTE(TRIM(INDEX(FormData,$W287,f_Name))," ","^",LEN(TRIM(INDEX(FormData,$W287,f_Name)))-LEN(SUBSTITUTE(TRIM(INDEX(FormData,$W287,f_Name))," ",""))))+1,1),"")),""))</f>
        <v/>
      </c>
      <c r="E287" s="16">
        <f>IF($W287="","",IFERROR(IF(SUMPRODUCT(MAX((WhoKW&lt;&gt;"")*ISNUMBER(SEARCH(WhoKW,INDEX(FormData,$W287,f_Who)&amp;""))*(ROW(WhoKW)-MIN(ROW(WhoKW))+1)))=0,"",INDEX(WhoVal,SUMPRODUCT(MAX((WhoKW&lt;&gt;"")*ISNUMBER(SEARCH(WhoKW,INDEX(FormData,$W287,f_Who)&amp;""))*(ROW(WhoKW)-MIN(ROW(WhoKW))+1))))),""))</f>
        <v/>
      </c>
      <c r="F287" s="17">
        <f>IF($W287="","",TRIM(IFERROR(INDEX(FormData,$W287,f_Org1)&amp;"","")&amp;" "&amp;IFERROR(INDEX(FormData,$W287,f_Org2)&amp;"","")))</f>
        <v/>
      </c>
      <c r="G287" s="16">
        <f>IF($W287="","",IFERROR(INDEX(FormData,$W287,f_Region)&amp;"",""))</f>
        <v/>
      </c>
      <c r="H287" s="16">
        <f>IF($W287="","",IFERROR(IF(SUMPRODUCT(MAX((SitKW&lt;&gt;"")*ISNUMBER(SEARCH(SitKW,INDEX(FormData,$W287,f_Sit)&amp;""))*(ROW(SitKW)-MIN(ROW(SitKW))+1)))=0,"",INDEX(SitVal,SUMPRODUCT(MAX((SitKW&lt;&gt;"")*ISNUMBER(SEARCH(SitKW,INDEX(FormData,$W287,f_Sit)&amp;""))*(ROW(SitKW)-MIN(ROW(SitKW))+1))))),""))</f>
        <v/>
      </c>
      <c r="I287" s="14">
        <f>IF($W287="","",IFERROR(INDEX(FormData,$W287,f_Appr)&amp;"",""))</f>
        <v/>
      </c>
      <c r="J287" s="16">
        <f>IF($W287="","",IFERROR(INDEX(FormData,$W287,f_Trade)&amp;"",""))</f>
        <v/>
      </c>
      <c r="K287" s="16" t="n"/>
      <c r="L287" s="17" t="n"/>
      <c r="M287" s="16" t="n"/>
      <c r="N287" s="17" t="n"/>
      <c r="O287" s="14" t="n"/>
      <c r="P287" s="14" t="n"/>
      <c r="Q287" s="18" t="n"/>
      <c r="R287" s="18" t="n"/>
      <c r="S287" s="13">
        <f>IF($P287&lt;&gt;"✓","",IF($R287&lt;&gt;"","Done",IF($Q287="","Open — no date",IF($Q287&lt;TODAY(),"Overdue",IF($Q287-TODAY()&lt;=DueSoon,"Due soon","Scheduled")))))</f>
        <v/>
      </c>
      <c r="T287" s="14">
        <f>IF($W287="","",IFERROR(IF(INDEX(FormData,$W287,f_Consent)&amp;""="","",IF(ISNUMBER(SEARCH("yes",INDEX(FormData,$W287,f_Consent))),"Yes","No")),""))</f>
        <v/>
      </c>
      <c r="U287" s="14" t="n"/>
      <c r="V287" s="13">
        <f>IF($U287="","",IF($W287="","not found","✓"))</f>
        <v/>
      </c>
      <c r="W287">
        <f>IF($U287="","",IFERROR(MATCH($U287,INDEX(FormData,0,f_Id),0),IFERROR(MATCH(--$U287,INDEX(FormData,0,f_Id),0),IFERROR(MATCH($U287&amp;"",INDEX(FormData,0,f_Id),0),""))))</f>
        <v/>
      </c>
      <c r="X287">
        <f>IF(AND($B287&lt;&gt;"",$B287='Event Report'!$C$3),ROW(),"")</f>
        <v/>
      </c>
      <c r="Y287">
        <f>IF(AND($P287="✓",$R287=""),IF($Q287="",90000,$Q287)+ROW()/100000,"")</f>
        <v/>
      </c>
      <c r="Z287">
        <f>IF(OR($U287&lt;&gt;"",$D287&lt;&gt;"",$E287&lt;&gt;"",$N287&lt;&gt;""),1,"")</f>
        <v/>
      </c>
    </row>
    <row r="288">
      <c r="A288" s="13" t="inlineStr">
        <is>
          <t>P-0284</t>
        </is>
      </c>
      <c r="B288" s="14">
        <f>IF(AND($U288="",$C288=""),"",IFERROR(INDEX(EvID,MATCH(INDEX(FormData,$W288,f_Event),EvID,0)),IFERROR(INDEX(EvID,MATCH(INDEX(FormData,$W288,f_Event),EvName,0)),IFERROR(INDEX(EvID,MATCH(INT($C288),EvDate,0)),""))))</f>
        <v/>
      </c>
      <c r="C288" s="15">
        <f>IF($W288="","",INDEX(FormData,$W288,f_Time))</f>
        <v/>
      </c>
      <c r="D288" s="14">
        <f>IF($W288="","",IFERROR(UPPER(LEFT(TRIM(INDEX(FormData,$W288,f_Name)),1)&amp;IFERROR(MID(TRIM(INDEX(FormData,$W288,f_Name)),FIND("^",SUBSTITUTE(TRIM(INDEX(FormData,$W288,f_Name))," ","^",LEN(TRIM(INDEX(FormData,$W288,f_Name)))-LEN(SUBSTITUTE(TRIM(INDEX(FormData,$W288,f_Name))," ",""))))+1,1),"")),""))</f>
        <v/>
      </c>
      <c r="E288" s="16">
        <f>IF($W288="","",IFERROR(IF(SUMPRODUCT(MAX((WhoKW&lt;&gt;"")*ISNUMBER(SEARCH(WhoKW,INDEX(FormData,$W288,f_Who)&amp;""))*(ROW(WhoKW)-MIN(ROW(WhoKW))+1)))=0,"",INDEX(WhoVal,SUMPRODUCT(MAX((WhoKW&lt;&gt;"")*ISNUMBER(SEARCH(WhoKW,INDEX(FormData,$W288,f_Who)&amp;""))*(ROW(WhoKW)-MIN(ROW(WhoKW))+1))))),""))</f>
        <v/>
      </c>
      <c r="F288" s="17">
        <f>IF($W288="","",TRIM(IFERROR(INDEX(FormData,$W288,f_Org1)&amp;"","")&amp;" "&amp;IFERROR(INDEX(FormData,$W288,f_Org2)&amp;"","")))</f>
        <v/>
      </c>
      <c r="G288" s="16">
        <f>IF($W288="","",IFERROR(INDEX(FormData,$W288,f_Region)&amp;"",""))</f>
        <v/>
      </c>
      <c r="H288" s="16">
        <f>IF($W288="","",IFERROR(IF(SUMPRODUCT(MAX((SitKW&lt;&gt;"")*ISNUMBER(SEARCH(SitKW,INDEX(FormData,$W288,f_Sit)&amp;""))*(ROW(SitKW)-MIN(ROW(SitKW))+1)))=0,"",INDEX(SitVal,SUMPRODUCT(MAX((SitKW&lt;&gt;"")*ISNUMBER(SEARCH(SitKW,INDEX(FormData,$W288,f_Sit)&amp;""))*(ROW(SitKW)-MIN(ROW(SitKW))+1))))),""))</f>
        <v/>
      </c>
      <c r="I288" s="14">
        <f>IF($W288="","",IFERROR(INDEX(FormData,$W288,f_Appr)&amp;"",""))</f>
        <v/>
      </c>
      <c r="J288" s="16">
        <f>IF($W288="","",IFERROR(INDEX(FormData,$W288,f_Trade)&amp;"",""))</f>
        <v/>
      </c>
      <c r="K288" s="16" t="n"/>
      <c r="L288" s="17" t="n"/>
      <c r="M288" s="16" t="n"/>
      <c r="N288" s="17" t="n"/>
      <c r="O288" s="14" t="n"/>
      <c r="P288" s="14" t="n"/>
      <c r="Q288" s="18" t="n"/>
      <c r="R288" s="18" t="n"/>
      <c r="S288" s="13">
        <f>IF($P288&lt;&gt;"✓","",IF($R288&lt;&gt;"","Done",IF($Q288="","Open — no date",IF($Q288&lt;TODAY(),"Overdue",IF($Q288-TODAY()&lt;=DueSoon,"Due soon","Scheduled")))))</f>
        <v/>
      </c>
      <c r="T288" s="14">
        <f>IF($W288="","",IFERROR(IF(INDEX(FormData,$W288,f_Consent)&amp;""="","",IF(ISNUMBER(SEARCH("yes",INDEX(FormData,$W288,f_Consent))),"Yes","No")),""))</f>
        <v/>
      </c>
      <c r="U288" s="14" t="n"/>
      <c r="V288" s="13">
        <f>IF($U288="","",IF($W288="","not found","✓"))</f>
        <v/>
      </c>
      <c r="W288">
        <f>IF($U288="","",IFERROR(MATCH($U288,INDEX(FormData,0,f_Id),0),IFERROR(MATCH(--$U288,INDEX(FormData,0,f_Id),0),IFERROR(MATCH($U288&amp;"",INDEX(FormData,0,f_Id),0),""))))</f>
        <v/>
      </c>
      <c r="X288">
        <f>IF(AND($B288&lt;&gt;"",$B288='Event Report'!$C$3),ROW(),"")</f>
        <v/>
      </c>
      <c r="Y288">
        <f>IF(AND($P288="✓",$R288=""),IF($Q288="",90000,$Q288)+ROW()/100000,"")</f>
        <v/>
      </c>
      <c r="Z288">
        <f>IF(OR($U288&lt;&gt;"",$D288&lt;&gt;"",$E288&lt;&gt;"",$N288&lt;&gt;""),1,"")</f>
        <v/>
      </c>
    </row>
    <row r="289">
      <c r="A289" s="13" t="inlineStr">
        <is>
          <t>P-0285</t>
        </is>
      </c>
      <c r="B289" s="14">
        <f>IF(AND($U289="",$C289=""),"",IFERROR(INDEX(EvID,MATCH(INDEX(FormData,$W289,f_Event),EvID,0)),IFERROR(INDEX(EvID,MATCH(INDEX(FormData,$W289,f_Event),EvName,0)),IFERROR(INDEX(EvID,MATCH(INT($C289),EvDate,0)),""))))</f>
        <v/>
      </c>
      <c r="C289" s="15">
        <f>IF($W289="","",INDEX(FormData,$W289,f_Time))</f>
        <v/>
      </c>
      <c r="D289" s="14">
        <f>IF($W289="","",IFERROR(UPPER(LEFT(TRIM(INDEX(FormData,$W289,f_Name)),1)&amp;IFERROR(MID(TRIM(INDEX(FormData,$W289,f_Name)),FIND("^",SUBSTITUTE(TRIM(INDEX(FormData,$W289,f_Name))," ","^",LEN(TRIM(INDEX(FormData,$W289,f_Name)))-LEN(SUBSTITUTE(TRIM(INDEX(FormData,$W289,f_Name))," ",""))))+1,1),"")),""))</f>
        <v/>
      </c>
      <c r="E289" s="16">
        <f>IF($W289="","",IFERROR(IF(SUMPRODUCT(MAX((WhoKW&lt;&gt;"")*ISNUMBER(SEARCH(WhoKW,INDEX(FormData,$W289,f_Who)&amp;""))*(ROW(WhoKW)-MIN(ROW(WhoKW))+1)))=0,"",INDEX(WhoVal,SUMPRODUCT(MAX((WhoKW&lt;&gt;"")*ISNUMBER(SEARCH(WhoKW,INDEX(FormData,$W289,f_Who)&amp;""))*(ROW(WhoKW)-MIN(ROW(WhoKW))+1))))),""))</f>
        <v/>
      </c>
      <c r="F289" s="17">
        <f>IF($W289="","",TRIM(IFERROR(INDEX(FormData,$W289,f_Org1)&amp;"","")&amp;" "&amp;IFERROR(INDEX(FormData,$W289,f_Org2)&amp;"","")))</f>
        <v/>
      </c>
      <c r="G289" s="16">
        <f>IF($W289="","",IFERROR(INDEX(FormData,$W289,f_Region)&amp;"",""))</f>
        <v/>
      </c>
      <c r="H289" s="16">
        <f>IF($W289="","",IFERROR(IF(SUMPRODUCT(MAX((SitKW&lt;&gt;"")*ISNUMBER(SEARCH(SitKW,INDEX(FormData,$W289,f_Sit)&amp;""))*(ROW(SitKW)-MIN(ROW(SitKW))+1)))=0,"",INDEX(SitVal,SUMPRODUCT(MAX((SitKW&lt;&gt;"")*ISNUMBER(SEARCH(SitKW,INDEX(FormData,$W289,f_Sit)&amp;""))*(ROW(SitKW)-MIN(ROW(SitKW))+1))))),""))</f>
        <v/>
      </c>
      <c r="I289" s="14">
        <f>IF($W289="","",IFERROR(INDEX(FormData,$W289,f_Appr)&amp;"",""))</f>
        <v/>
      </c>
      <c r="J289" s="16">
        <f>IF($W289="","",IFERROR(INDEX(FormData,$W289,f_Trade)&amp;"",""))</f>
        <v/>
      </c>
      <c r="K289" s="16" t="n"/>
      <c r="L289" s="17" t="n"/>
      <c r="M289" s="16" t="n"/>
      <c r="N289" s="17" t="n"/>
      <c r="O289" s="14" t="n"/>
      <c r="P289" s="14" t="n"/>
      <c r="Q289" s="18" t="n"/>
      <c r="R289" s="18" t="n"/>
      <c r="S289" s="13">
        <f>IF($P289&lt;&gt;"✓","",IF($R289&lt;&gt;"","Done",IF($Q289="","Open — no date",IF($Q289&lt;TODAY(),"Overdue",IF($Q289-TODAY()&lt;=DueSoon,"Due soon","Scheduled")))))</f>
        <v/>
      </c>
      <c r="T289" s="14">
        <f>IF($W289="","",IFERROR(IF(INDEX(FormData,$W289,f_Consent)&amp;""="","",IF(ISNUMBER(SEARCH("yes",INDEX(FormData,$W289,f_Consent))),"Yes","No")),""))</f>
        <v/>
      </c>
      <c r="U289" s="14" t="n"/>
      <c r="V289" s="13">
        <f>IF($U289="","",IF($W289="","not found","✓"))</f>
        <v/>
      </c>
      <c r="W289">
        <f>IF($U289="","",IFERROR(MATCH($U289,INDEX(FormData,0,f_Id),0),IFERROR(MATCH(--$U289,INDEX(FormData,0,f_Id),0),IFERROR(MATCH($U289&amp;"",INDEX(FormData,0,f_Id),0),""))))</f>
        <v/>
      </c>
      <c r="X289">
        <f>IF(AND($B289&lt;&gt;"",$B289='Event Report'!$C$3),ROW(),"")</f>
        <v/>
      </c>
      <c r="Y289">
        <f>IF(AND($P289="✓",$R289=""),IF($Q289="",90000,$Q289)+ROW()/100000,"")</f>
        <v/>
      </c>
      <c r="Z289">
        <f>IF(OR($U289&lt;&gt;"",$D289&lt;&gt;"",$E289&lt;&gt;"",$N289&lt;&gt;""),1,"")</f>
        <v/>
      </c>
    </row>
    <row r="290">
      <c r="A290" s="13" t="inlineStr">
        <is>
          <t>P-0286</t>
        </is>
      </c>
      <c r="B290" s="14">
        <f>IF(AND($U290="",$C290=""),"",IFERROR(INDEX(EvID,MATCH(INDEX(FormData,$W290,f_Event),EvID,0)),IFERROR(INDEX(EvID,MATCH(INDEX(FormData,$W290,f_Event),EvName,0)),IFERROR(INDEX(EvID,MATCH(INT($C290),EvDate,0)),""))))</f>
        <v/>
      </c>
      <c r="C290" s="15">
        <f>IF($W290="","",INDEX(FormData,$W290,f_Time))</f>
        <v/>
      </c>
      <c r="D290" s="14">
        <f>IF($W290="","",IFERROR(UPPER(LEFT(TRIM(INDEX(FormData,$W290,f_Name)),1)&amp;IFERROR(MID(TRIM(INDEX(FormData,$W290,f_Name)),FIND("^",SUBSTITUTE(TRIM(INDEX(FormData,$W290,f_Name))," ","^",LEN(TRIM(INDEX(FormData,$W290,f_Name)))-LEN(SUBSTITUTE(TRIM(INDEX(FormData,$W290,f_Name))," ",""))))+1,1),"")),""))</f>
        <v/>
      </c>
      <c r="E290" s="16">
        <f>IF($W290="","",IFERROR(IF(SUMPRODUCT(MAX((WhoKW&lt;&gt;"")*ISNUMBER(SEARCH(WhoKW,INDEX(FormData,$W290,f_Who)&amp;""))*(ROW(WhoKW)-MIN(ROW(WhoKW))+1)))=0,"",INDEX(WhoVal,SUMPRODUCT(MAX((WhoKW&lt;&gt;"")*ISNUMBER(SEARCH(WhoKW,INDEX(FormData,$W290,f_Who)&amp;""))*(ROW(WhoKW)-MIN(ROW(WhoKW))+1))))),""))</f>
        <v/>
      </c>
      <c r="F290" s="17">
        <f>IF($W290="","",TRIM(IFERROR(INDEX(FormData,$W290,f_Org1)&amp;"","")&amp;" "&amp;IFERROR(INDEX(FormData,$W290,f_Org2)&amp;"","")))</f>
        <v/>
      </c>
      <c r="G290" s="16">
        <f>IF($W290="","",IFERROR(INDEX(FormData,$W290,f_Region)&amp;"",""))</f>
        <v/>
      </c>
      <c r="H290" s="16">
        <f>IF($W290="","",IFERROR(IF(SUMPRODUCT(MAX((SitKW&lt;&gt;"")*ISNUMBER(SEARCH(SitKW,INDEX(FormData,$W290,f_Sit)&amp;""))*(ROW(SitKW)-MIN(ROW(SitKW))+1)))=0,"",INDEX(SitVal,SUMPRODUCT(MAX((SitKW&lt;&gt;"")*ISNUMBER(SEARCH(SitKW,INDEX(FormData,$W290,f_Sit)&amp;""))*(ROW(SitKW)-MIN(ROW(SitKW))+1))))),""))</f>
        <v/>
      </c>
      <c r="I290" s="14">
        <f>IF($W290="","",IFERROR(INDEX(FormData,$W290,f_Appr)&amp;"",""))</f>
        <v/>
      </c>
      <c r="J290" s="16">
        <f>IF($W290="","",IFERROR(INDEX(FormData,$W290,f_Trade)&amp;"",""))</f>
        <v/>
      </c>
      <c r="K290" s="16" t="n"/>
      <c r="L290" s="17" t="n"/>
      <c r="M290" s="16" t="n"/>
      <c r="N290" s="17" t="n"/>
      <c r="O290" s="14" t="n"/>
      <c r="P290" s="14" t="n"/>
      <c r="Q290" s="18" t="n"/>
      <c r="R290" s="18" t="n"/>
      <c r="S290" s="13">
        <f>IF($P290&lt;&gt;"✓","",IF($R290&lt;&gt;"","Done",IF($Q290="","Open — no date",IF($Q290&lt;TODAY(),"Overdue",IF($Q290-TODAY()&lt;=DueSoon,"Due soon","Scheduled")))))</f>
        <v/>
      </c>
      <c r="T290" s="14">
        <f>IF($W290="","",IFERROR(IF(INDEX(FormData,$W290,f_Consent)&amp;""="","",IF(ISNUMBER(SEARCH("yes",INDEX(FormData,$W290,f_Consent))),"Yes","No")),""))</f>
        <v/>
      </c>
      <c r="U290" s="14" t="n"/>
      <c r="V290" s="13">
        <f>IF($U290="","",IF($W290="","not found","✓"))</f>
        <v/>
      </c>
      <c r="W290">
        <f>IF($U290="","",IFERROR(MATCH($U290,INDEX(FormData,0,f_Id),0),IFERROR(MATCH(--$U290,INDEX(FormData,0,f_Id),0),IFERROR(MATCH($U290&amp;"",INDEX(FormData,0,f_Id),0),""))))</f>
        <v/>
      </c>
      <c r="X290">
        <f>IF(AND($B290&lt;&gt;"",$B290='Event Report'!$C$3),ROW(),"")</f>
        <v/>
      </c>
      <c r="Y290">
        <f>IF(AND($P290="✓",$R290=""),IF($Q290="",90000,$Q290)+ROW()/100000,"")</f>
        <v/>
      </c>
      <c r="Z290">
        <f>IF(OR($U290&lt;&gt;"",$D290&lt;&gt;"",$E290&lt;&gt;"",$N290&lt;&gt;""),1,"")</f>
        <v/>
      </c>
    </row>
    <row r="291">
      <c r="A291" s="13" t="inlineStr">
        <is>
          <t>P-0287</t>
        </is>
      </c>
      <c r="B291" s="14">
        <f>IF(AND($U291="",$C291=""),"",IFERROR(INDEX(EvID,MATCH(INDEX(FormData,$W291,f_Event),EvID,0)),IFERROR(INDEX(EvID,MATCH(INDEX(FormData,$W291,f_Event),EvName,0)),IFERROR(INDEX(EvID,MATCH(INT($C291),EvDate,0)),""))))</f>
        <v/>
      </c>
      <c r="C291" s="15">
        <f>IF($W291="","",INDEX(FormData,$W291,f_Time))</f>
        <v/>
      </c>
      <c r="D291" s="14">
        <f>IF($W291="","",IFERROR(UPPER(LEFT(TRIM(INDEX(FormData,$W291,f_Name)),1)&amp;IFERROR(MID(TRIM(INDEX(FormData,$W291,f_Name)),FIND("^",SUBSTITUTE(TRIM(INDEX(FormData,$W291,f_Name))," ","^",LEN(TRIM(INDEX(FormData,$W291,f_Name)))-LEN(SUBSTITUTE(TRIM(INDEX(FormData,$W291,f_Name))," ",""))))+1,1),"")),""))</f>
        <v/>
      </c>
      <c r="E291" s="16">
        <f>IF($W291="","",IFERROR(IF(SUMPRODUCT(MAX((WhoKW&lt;&gt;"")*ISNUMBER(SEARCH(WhoKW,INDEX(FormData,$W291,f_Who)&amp;""))*(ROW(WhoKW)-MIN(ROW(WhoKW))+1)))=0,"",INDEX(WhoVal,SUMPRODUCT(MAX((WhoKW&lt;&gt;"")*ISNUMBER(SEARCH(WhoKW,INDEX(FormData,$W291,f_Who)&amp;""))*(ROW(WhoKW)-MIN(ROW(WhoKW))+1))))),""))</f>
        <v/>
      </c>
      <c r="F291" s="17">
        <f>IF($W291="","",TRIM(IFERROR(INDEX(FormData,$W291,f_Org1)&amp;"","")&amp;" "&amp;IFERROR(INDEX(FormData,$W291,f_Org2)&amp;"","")))</f>
        <v/>
      </c>
      <c r="G291" s="16">
        <f>IF($W291="","",IFERROR(INDEX(FormData,$W291,f_Region)&amp;"",""))</f>
        <v/>
      </c>
      <c r="H291" s="16">
        <f>IF($W291="","",IFERROR(IF(SUMPRODUCT(MAX((SitKW&lt;&gt;"")*ISNUMBER(SEARCH(SitKW,INDEX(FormData,$W291,f_Sit)&amp;""))*(ROW(SitKW)-MIN(ROW(SitKW))+1)))=0,"",INDEX(SitVal,SUMPRODUCT(MAX((SitKW&lt;&gt;"")*ISNUMBER(SEARCH(SitKW,INDEX(FormData,$W291,f_Sit)&amp;""))*(ROW(SitKW)-MIN(ROW(SitKW))+1))))),""))</f>
        <v/>
      </c>
      <c r="I291" s="14">
        <f>IF($W291="","",IFERROR(INDEX(FormData,$W291,f_Appr)&amp;"",""))</f>
        <v/>
      </c>
      <c r="J291" s="16">
        <f>IF($W291="","",IFERROR(INDEX(FormData,$W291,f_Trade)&amp;"",""))</f>
        <v/>
      </c>
      <c r="K291" s="16" t="n"/>
      <c r="L291" s="17" t="n"/>
      <c r="M291" s="16" t="n"/>
      <c r="N291" s="17" t="n"/>
      <c r="O291" s="14" t="n"/>
      <c r="P291" s="14" t="n"/>
      <c r="Q291" s="18" t="n"/>
      <c r="R291" s="18" t="n"/>
      <c r="S291" s="13">
        <f>IF($P291&lt;&gt;"✓","",IF($R291&lt;&gt;"","Done",IF($Q291="","Open — no date",IF($Q291&lt;TODAY(),"Overdue",IF($Q291-TODAY()&lt;=DueSoon,"Due soon","Scheduled")))))</f>
        <v/>
      </c>
      <c r="T291" s="14">
        <f>IF($W291="","",IFERROR(IF(INDEX(FormData,$W291,f_Consent)&amp;""="","",IF(ISNUMBER(SEARCH("yes",INDEX(FormData,$W291,f_Consent))),"Yes","No")),""))</f>
        <v/>
      </c>
      <c r="U291" s="14" t="n"/>
      <c r="V291" s="13">
        <f>IF($U291="","",IF($W291="","not found","✓"))</f>
        <v/>
      </c>
      <c r="W291">
        <f>IF($U291="","",IFERROR(MATCH($U291,INDEX(FormData,0,f_Id),0),IFERROR(MATCH(--$U291,INDEX(FormData,0,f_Id),0),IFERROR(MATCH($U291&amp;"",INDEX(FormData,0,f_Id),0),""))))</f>
        <v/>
      </c>
      <c r="X291">
        <f>IF(AND($B291&lt;&gt;"",$B291='Event Report'!$C$3),ROW(),"")</f>
        <v/>
      </c>
      <c r="Y291">
        <f>IF(AND($P291="✓",$R291=""),IF($Q291="",90000,$Q291)+ROW()/100000,"")</f>
        <v/>
      </c>
      <c r="Z291">
        <f>IF(OR($U291&lt;&gt;"",$D291&lt;&gt;"",$E291&lt;&gt;"",$N291&lt;&gt;""),1,"")</f>
        <v/>
      </c>
    </row>
    <row r="292">
      <c r="A292" s="13" t="inlineStr">
        <is>
          <t>P-0288</t>
        </is>
      </c>
      <c r="B292" s="14">
        <f>IF(AND($U292="",$C292=""),"",IFERROR(INDEX(EvID,MATCH(INDEX(FormData,$W292,f_Event),EvID,0)),IFERROR(INDEX(EvID,MATCH(INDEX(FormData,$W292,f_Event),EvName,0)),IFERROR(INDEX(EvID,MATCH(INT($C292),EvDate,0)),""))))</f>
        <v/>
      </c>
      <c r="C292" s="15">
        <f>IF($W292="","",INDEX(FormData,$W292,f_Time))</f>
        <v/>
      </c>
      <c r="D292" s="14">
        <f>IF($W292="","",IFERROR(UPPER(LEFT(TRIM(INDEX(FormData,$W292,f_Name)),1)&amp;IFERROR(MID(TRIM(INDEX(FormData,$W292,f_Name)),FIND("^",SUBSTITUTE(TRIM(INDEX(FormData,$W292,f_Name))," ","^",LEN(TRIM(INDEX(FormData,$W292,f_Name)))-LEN(SUBSTITUTE(TRIM(INDEX(FormData,$W292,f_Name))," ",""))))+1,1),"")),""))</f>
        <v/>
      </c>
      <c r="E292" s="16">
        <f>IF($W292="","",IFERROR(IF(SUMPRODUCT(MAX((WhoKW&lt;&gt;"")*ISNUMBER(SEARCH(WhoKW,INDEX(FormData,$W292,f_Who)&amp;""))*(ROW(WhoKW)-MIN(ROW(WhoKW))+1)))=0,"",INDEX(WhoVal,SUMPRODUCT(MAX((WhoKW&lt;&gt;"")*ISNUMBER(SEARCH(WhoKW,INDEX(FormData,$W292,f_Who)&amp;""))*(ROW(WhoKW)-MIN(ROW(WhoKW))+1))))),""))</f>
        <v/>
      </c>
      <c r="F292" s="17">
        <f>IF($W292="","",TRIM(IFERROR(INDEX(FormData,$W292,f_Org1)&amp;"","")&amp;" "&amp;IFERROR(INDEX(FormData,$W292,f_Org2)&amp;"","")))</f>
        <v/>
      </c>
      <c r="G292" s="16">
        <f>IF($W292="","",IFERROR(INDEX(FormData,$W292,f_Region)&amp;"",""))</f>
        <v/>
      </c>
      <c r="H292" s="16">
        <f>IF($W292="","",IFERROR(IF(SUMPRODUCT(MAX((SitKW&lt;&gt;"")*ISNUMBER(SEARCH(SitKW,INDEX(FormData,$W292,f_Sit)&amp;""))*(ROW(SitKW)-MIN(ROW(SitKW))+1)))=0,"",INDEX(SitVal,SUMPRODUCT(MAX((SitKW&lt;&gt;"")*ISNUMBER(SEARCH(SitKW,INDEX(FormData,$W292,f_Sit)&amp;""))*(ROW(SitKW)-MIN(ROW(SitKW))+1))))),""))</f>
        <v/>
      </c>
      <c r="I292" s="14">
        <f>IF($W292="","",IFERROR(INDEX(FormData,$W292,f_Appr)&amp;"",""))</f>
        <v/>
      </c>
      <c r="J292" s="16">
        <f>IF($W292="","",IFERROR(INDEX(FormData,$W292,f_Trade)&amp;"",""))</f>
        <v/>
      </c>
      <c r="K292" s="16" t="n"/>
      <c r="L292" s="17" t="n"/>
      <c r="M292" s="16" t="n"/>
      <c r="N292" s="17" t="n"/>
      <c r="O292" s="14" t="n"/>
      <c r="P292" s="14" t="n"/>
      <c r="Q292" s="18" t="n"/>
      <c r="R292" s="18" t="n"/>
      <c r="S292" s="13">
        <f>IF($P292&lt;&gt;"✓","",IF($R292&lt;&gt;"","Done",IF($Q292="","Open — no date",IF($Q292&lt;TODAY(),"Overdue",IF($Q292-TODAY()&lt;=DueSoon,"Due soon","Scheduled")))))</f>
        <v/>
      </c>
      <c r="T292" s="14">
        <f>IF($W292="","",IFERROR(IF(INDEX(FormData,$W292,f_Consent)&amp;""="","",IF(ISNUMBER(SEARCH("yes",INDEX(FormData,$W292,f_Consent))),"Yes","No")),""))</f>
        <v/>
      </c>
      <c r="U292" s="14" t="n"/>
      <c r="V292" s="13">
        <f>IF($U292="","",IF($W292="","not found","✓"))</f>
        <v/>
      </c>
      <c r="W292">
        <f>IF($U292="","",IFERROR(MATCH($U292,INDEX(FormData,0,f_Id),0),IFERROR(MATCH(--$U292,INDEX(FormData,0,f_Id),0),IFERROR(MATCH($U292&amp;"",INDEX(FormData,0,f_Id),0),""))))</f>
        <v/>
      </c>
      <c r="X292">
        <f>IF(AND($B292&lt;&gt;"",$B292='Event Report'!$C$3),ROW(),"")</f>
        <v/>
      </c>
      <c r="Y292">
        <f>IF(AND($P292="✓",$R292=""),IF($Q292="",90000,$Q292)+ROW()/100000,"")</f>
        <v/>
      </c>
      <c r="Z292">
        <f>IF(OR($U292&lt;&gt;"",$D292&lt;&gt;"",$E292&lt;&gt;"",$N292&lt;&gt;""),1,"")</f>
        <v/>
      </c>
    </row>
    <row r="293">
      <c r="A293" s="13" t="inlineStr">
        <is>
          <t>P-0289</t>
        </is>
      </c>
      <c r="B293" s="14">
        <f>IF(AND($U293="",$C293=""),"",IFERROR(INDEX(EvID,MATCH(INDEX(FormData,$W293,f_Event),EvID,0)),IFERROR(INDEX(EvID,MATCH(INDEX(FormData,$W293,f_Event),EvName,0)),IFERROR(INDEX(EvID,MATCH(INT($C293),EvDate,0)),""))))</f>
        <v/>
      </c>
      <c r="C293" s="15">
        <f>IF($W293="","",INDEX(FormData,$W293,f_Time))</f>
        <v/>
      </c>
      <c r="D293" s="14">
        <f>IF($W293="","",IFERROR(UPPER(LEFT(TRIM(INDEX(FormData,$W293,f_Name)),1)&amp;IFERROR(MID(TRIM(INDEX(FormData,$W293,f_Name)),FIND("^",SUBSTITUTE(TRIM(INDEX(FormData,$W293,f_Name))," ","^",LEN(TRIM(INDEX(FormData,$W293,f_Name)))-LEN(SUBSTITUTE(TRIM(INDEX(FormData,$W293,f_Name))," ",""))))+1,1),"")),""))</f>
        <v/>
      </c>
      <c r="E293" s="16">
        <f>IF($W293="","",IFERROR(IF(SUMPRODUCT(MAX((WhoKW&lt;&gt;"")*ISNUMBER(SEARCH(WhoKW,INDEX(FormData,$W293,f_Who)&amp;""))*(ROW(WhoKW)-MIN(ROW(WhoKW))+1)))=0,"",INDEX(WhoVal,SUMPRODUCT(MAX((WhoKW&lt;&gt;"")*ISNUMBER(SEARCH(WhoKW,INDEX(FormData,$W293,f_Who)&amp;""))*(ROW(WhoKW)-MIN(ROW(WhoKW))+1))))),""))</f>
        <v/>
      </c>
      <c r="F293" s="17">
        <f>IF($W293="","",TRIM(IFERROR(INDEX(FormData,$W293,f_Org1)&amp;"","")&amp;" "&amp;IFERROR(INDEX(FormData,$W293,f_Org2)&amp;"","")))</f>
        <v/>
      </c>
      <c r="G293" s="16">
        <f>IF($W293="","",IFERROR(INDEX(FormData,$W293,f_Region)&amp;"",""))</f>
        <v/>
      </c>
      <c r="H293" s="16">
        <f>IF($W293="","",IFERROR(IF(SUMPRODUCT(MAX((SitKW&lt;&gt;"")*ISNUMBER(SEARCH(SitKW,INDEX(FormData,$W293,f_Sit)&amp;""))*(ROW(SitKW)-MIN(ROW(SitKW))+1)))=0,"",INDEX(SitVal,SUMPRODUCT(MAX((SitKW&lt;&gt;"")*ISNUMBER(SEARCH(SitKW,INDEX(FormData,$W293,f_Sit)&amp;""))*(ROW(SitKW)-MIN(ROW(SitKW))+1))))),""))</f>
        <v/>
      </c>
      <c r="I293" s="14">
        <f>IF($W293="","",IFERROR(INDEX(FormData,$W293,f_Appr)&amp;"",""))</f>
        <v/>
      </c>
      <c r="J293" s="16">
        <f>IF($W293="","",IFERROR(INDEX(FormData,$W293,f_Trade)&amp;"",""))</f>
        <v/>
      </c>
      <c r="K293" s="16" t="n"/>
      <c r="L293" s="17" t="n"/>
      <c r="M293" s="16" t="n"/>
      <c r="N293" s="17" t="n"/>
      <c r="O293" s="14" t="n"/>
      <c r="P293" s="14" t="n"/>
      <c r="Q293" s="18" t="n"/>
      <c r="R293" s="18" t="n"/>
      <c r="S293" s="13">
        <f>IF($P293&lt;&gt;"✓","",IF($R293&lt;&gt;"","Done",IF($Q293="","Open — no date",IF($Q293&lt;TODAY(),"Overdue",IF($Q293-TODAY()&lt;=DueSoon,"Due soon","Scheduled")))))</f>
        <v/>
      </c>
      <c r="T293" s="14">
        <f>IF($W293="","",IFERROR(IF(INDEX(FormData,$W293,f_Consent)&amp;""="","",IF(ISNUMBER(SEARCH("yes",INDEX(FormData,$W293,f_Consent))),"Yes","No")),""))</f>
        <v/>
      </c>
      <c r="U293" s="14" t="n"/>
      <c r="V293" s="13">
        <f>IF($U293="","",IF($W293="","not found","✓"))</f>
        <v/>
      </c>
      <c r="W293">
        <f>IF($U293="","",IFERROR(MATCH($U293,INDEX(FormData,0,f_Id),0),IFERROR(MATCH(--$U293,INDEX(FormData,0,f_Id),0),IFERROR(MATCH($U293&amp;"",INDEX(FormData,0,f_Id),0),""))))</f>
        <v/>
      </c>
      <c r="X293">
        <f>IF(AND($B293&lt;&gt;"",$B293='Event Report'!$C$3),ROW(),"")</f>
        <v/>
      </c>
      <c r="Y293">
        <f>IF(AND($P293="✓",$R293=""),IF($Q293="",90000,$Q293)+ROW()/100000,"")</f>
        <v/>
      </c>
      <c r="Z293">
        <f>IF(OR($U293&lt;&gt;"",$D293&lt;&gt;"",$E293&lt;&gt;"",$N293&lt;&gt;""),1,"")</f>
        <v/>
      </c>
    </row>
    <row r="294">
      <c r="A294" s="13" t="inlineStr">
        <is>
          <t>P-0290</t>
        </is>
      </c>
      <c r="B294" s="14">
        <f>IF(AND($U294="",$C294=""),"",IFERROR(INDEX(EvID,MATCH(INDEX(FormData,$W294,f_Event),EvID,0)),IFERROR(INDEX(EvID,MATCH(INDEX(FormData,$W294,f_Event),EvName,0)),IFERROR(INDEX(EvID,MATCH(INT($C294),EvDate,0)),""))))</f>
        <v/>
      </c>
      <c r="C294" s="15">
        <f>IF($W294="","",INDEX(FormData,$W294,f_Time))</f>
        <v/>
      </c>
      <c r="D294" s="14">
        <f>IF($W294="","",IFERROR(UPPER(LEFT(TRIM(INDEX(FormData,$W294,f_Name)),1)&amp;IFERROR(MID(TRIM(INDEX(FormData,$W294,f_Name)),FIND("^",SUBSTITUTE(TRIM(INDEX(FormData,$W294,f_Name))," ","^",LEN(TRIM(INDEX(FormData,$W294,f_Name)))-LEN(SUBSTITUTE(TRIM(INDEX(FormData,$W294,f_Name))," ",""))))+1,1),"")),""))</f>
        <v/>
      </c>
      <c r="E294" s="16">
        <f>IF($W294="","",IFERROR(IF(SUMPRODUCT(MAX((WhoKW&lt;&gt;"")*ISNUMBER(SEARCH(WhoKW,INDEX(FormData,$W294,f_Who)&amp;""))*(ROW(WhoKW)-MIN(ROW(WhoKW))+1)))=0,"",INDEX(WhoVal,SUMPRODUCT(MAX((WhoKW&lt;&gt;"")*ISNUMBER(SEARCH(WhoKW,INDEX(FormData,$W294,f_Who)&amp;""))*(ROW(WhoKW)-MIN(ROW(WhoKW))+1))))),""))</f>
        <v/>
      </c>
      <c r="F294" s="17">
        <f>IF($W294="","",TRIM(IFERROR(INDEX(FormData,$W294,f_Org1)&amp;"","")&amp;" "&amp;IFERROR(INDEX(FormData,$W294,f_Org2)&amp;"","")))</f>
        <v/>
      </c>
      <c r="G294" s="16">
        <f>IF($W294="","",IFERROR(INDEX(FormData,$W294,f_Region)&amp;"",""))</f>
        <v/>
      </c>
      <c r="H294" s="16">
        <f>IF($W294="","",IFERROR(IF(SUMPRODUCT(MAX((SitKW&lt;&gt;"")*ISNUMBER(SEARCH(SitKW,INDEX(FormData,$W294,f_Sit)&amp;""))*(ROW(SitKW)-MIN(ROW(SitKW))+1)))=0,"",INDEX(SitVal,SUMPRODUCT(MAX((SitKW&lt;&gt;"")*ISNUMBER(SEARCH(SitKW,INDEX(FormData,$W294,f_Sit)&amp;""))*(ROW(SitKW)-MIN(ROW(SitKW))+1))))),""))</f>
        <v/>
      </c>
      <c r="I294" s="14">
        <f>IF($W294="","",IFERROR(INDEX(FormData,$W294,f_Appr)&amp;"",""))</f>
        <v/>
      </c>
      <c r="J294" s="16">
        <f>IF($W294="","",IFERROR(INDEX(FormData,$W294,f_Trade)&amp;"",""))</f>
        <v/>
      </c>
      <c r="K294" s="16" t="n"/>
      <c r="L294" s="17" t="n"/>
      <c r="M294" s="16" t="n"/>
      <c r="N294" s="17" t="n"/>
      <c r="O294" s="14" t="n"/>
      <c r="P294" s="14" t="n"/>
      <c r="Q294" s="18" t="n"/>
      <c r="R294" s="18" t="n"/>
      <c r="S294" s="13">
        <f>IF($P294&lt;&gt;"✓","",IF($R294&lt;&gt;"","Done",IF($Q294="","Open — no date",IF($Q294&lt;TODAY(),"Overdue",IF($Q294-TODAY()&lt;=DueSoon,"Due soon","Scheduled")))))</f>
        <v/>
      </c>
      <c r="T294" s="14">
        <f>IF($W294="","",IFERROR(IF(INDEX(FormData,$W294,f_Consent)&amp;""="","",IF(ISNUMBER(SEARCH("yes",INDEX(FormData,$W294,f_Consent))),"Yes","No")),""))</f>
        <v/>
      </c>
      <c r="U294" s="14" t="n"/>
      <c r="V294" s="13">
        <f>IF($U294="","",IF($W294="","not found","✓"))</f>
        <v/>
      </c>
      <c r="W294">
        <f>IF($U294="","",IFERROR(MATCH($U294,INDEX(FormData,0,f_Id),0),IFERROR(MATCH(--$U294,INDEX(FormData,0,f_Id),0),IFERROR(MATCH($U294&amp;"",INDEX(FormData,0,f_Id),0),""))))</f>
        <v/>
      </c>
      <c r="X294">
        <f>IF(AND($B294&lt;&gt;"",$B294='Event Report'!$C$3),ROW(),"")</f>
        <v/>
      </c>
      <c r="Y294">
        <f>IF(AND($P294="✓",$R294=""),IF($Q294="",90000,$Q294)+ROW()/100000,"")</f>
        <v/>
      </c>
      <c r="Z294">
        <f>IF(OR($U294&lt;&gt;"",$D294&lt;&gt;"",$E294&lt;&gt;"",$N294&lt;&gt;""),1,"")</f>
        <v/>
      </c>
    </row>
    <row r="295">
      <c r="A295" s="13" t="inlineStr">
        <is>
          <t>P-0291</t>
        </is>
      </c>
      <c r="B295" s="14">
        <f>IF(AND($U295="",$C295=""),"",IFERROR(INDEX(EvID,MATCH(INDEX(FormData,$W295,f_Event),EvID,0)),IFERROR(INDEX(EvID,MATCH(INDEX(FormData,$W295,f_Event),EvName,0)),IFERROR(INDEX(EvID,MATCH(INT($C295),EvDate,0)),""))))</f>
        <v/>
      </c>
      <c r="C295" s="15">
        <f>IF($W295="","",INDEX(FormData,$W295,f_Time))</f>
        <v/>
      </c>
      <c r="D295" s="14">
        <f>IF($W295="","",IFERROR(UPPER(LEFT(TRIM(INDEX(FormData,$W295,f_Name)),1)&amp;IFERROR(MID(TRIM(INDEX(FormData,$W295,f_Name)),FIND("^",SUBSTITUTE(TRIM(INDEX(FormData,$W295,f_Name))," ","^",LEN(TRIM(INDEX(FormData,$W295,f_Name)))-LEN(SUBSTITUTE(TRIM(INDEX(FormData,$W295,f_Name))," ",""))))+1,1),"")),""))</f>
        <v/>
      </c>
      <c r="E295" s="16">
        <f>IF($W295="","",IFERROR(IF(SUMPRODUCT(MAX((WhoKW&lt;&gt;"")*ISNUMBER(SEARCH(WhoKW,INDEX(FormData,$W295,f_Who)&amp;""))*(ROW(WhoKW)-MIN(ROW(WhoKW))+1)))=0,"",INDEX(WhoVal,SUMPRODUCT(MAX((WhoKW&lt;&gt;"")*ISNUMBER(SEARCH(WhoKW,INDEX(FormData,$W295,f_Who)&amp;""))*(ROW(WhoKW)-MIN(ROW(WhoKW))+1))))),""))</f>
        <v/>
      </c>
      <c r="F295" s="17">
        <f>IF($W295="","",TRIM(IFERROR(INDEX(FormData,$W295,f_Org1)&amp;"","")&amp;" "&amp;IFERROR(INDEX(FormData,$W295,f_Org2)&amp;"","")))</f>
        <v/>
      </c>
      <c r="G295" s="16">
        <f>IF($W295="","",IFERROR(INDEX(FormData,$W295,f_Region)&amp;"",""))</f>
        <v/>
      </c>
      <c r="H295" s="16">
        <f>IF($W295="","",IFERROR(IF(SUMPRODUCT(MAX((SitKW&lt;&gt;"")*ISNUMBER(SEARCH(SitKW,INDEX(FormData,$W295,f_Sit)&amp;""))*(ROW(SitKW)-MIN(ROW(SitKW))+1)))=0,"",INDEX(SitVal,SUMPRODUCT(MAX((SitKW&lt;&gt;"")*ISNUMBER(SEARCH(SitKW,INDEX(FormData,$W295,f_Sit)&amp;""))*(ROW(SitKW)-MIN(ROW(SitKW))+1))))),""))</f>
        <v/>
      </c>
      <c r="I295" s="14">
        <f>IF($W295="","",IFERROR(INDEX(FormData,$W295,f_Appr)&amp;"",""))</f>
        <v/>
      </c>
      <c r="J295" s="16">
        <f>IF($W295="","",IFERROR(INDEX(FormData,$W295,f_Trade)&amp;"",""))</f>
        <v/>
      </c>
      <c r="K295" s="16" t="n"/>
      <c r="L295" s="17" t="n"/>
      <c r="M295" s="16" t="n"/>
      <c r="N295" s="17" t="n"/>
      <c r="O295" s="14" t="n"/>
      <c r="P295" s="14" t="n"/>
      <c r="Q295" s="18" t="n"/>
      <c r="R295" s="18" t="n"/>
      <c r="S295" s="13">
        <f>IF($P295&lt;&gt;"✓","",IF($R295&lt;&gt;"","Done",IF($Q295="","Open — no date",IF($Q295&lt;TODAY(),"Overdue",IF($Q295-TODAY()&lt;=DueSoon,"Due soon","Scheduled")))))</f>
        <v/>
      </c>
      <c r="T295" s="14">
        <f>IF($W295="","",IFERROR(IF(INDEX(FormData,$W295,f_Consent)&amp;""="","",IF(ISNUMBER(SEARCH("yes",INDEX(FormData,$W295,f_Consent))),"Yes","No")),""))</f>
        <v/>
      </c>
      <c r="U295" s="14" t="n"/>
      <c r="V295" s="13">
        <f>IF($U295="","",IF($W295="","not found","✓"))</f>
        <v/>
      </c>
      <c r="W295">
        <f>IF($U295="","",IFERROR(MATCH($U295,INDEX(FormData,0,f_Id),0),IFERROR(MATCH(--$U295,INDEX(FormData,0,f_Id),0),IFERROR(MATCH($U295&amp;"",INDEX(FormData,0,f_Id),0),""))))</f>
        <v/>
      </c>
      <c r="X295">
        <f>IF(AND($B295&lt;&gt;"",$B295='Event Report'!$C$3),ROW(),"")</f>
        <v/>
      </c>
      <c r="Y295">
        <f>IF(AND($P295="✓",$R295=""),IF($Q295="",90000,$Q295)+ROW()/100000,"")</f>
        <v/>
      </c>
      <c r="Z295">
        <f>IF(OR($U295&lt;&gt;"",$D295&lt;&gt;"",$E295&lt;&gt;"",$N295&lt;&gt;""),1,"")</f>
        <v/>
      </c>
    </row>
    <row r="296">
      <c r="A296" s="13" t="inlineStr">
        <is>
          <t>P-0292</t>
        </is>
      </c>
      <c r="B296" s="14">
        <f>IF(AND($U296="",$C296=""),"",IFERROR(INDEX(EvID,MATCH(INDEX(FormData,$W296,f_Event),EvID,0)),IFERROR(INDEX(EvID,MATCH(INDEX(FormData,$W296,f_Event),EvName,0)),IFERROR(INDEX(EvID,MATCH(INT($C296),EvDate,0)),""))))</f>
        <v/>
      </c>
      <c r="C296" s="15">
        <f>IF($W296="","",INDEX(FormData,$W296,f_Time))</f>
        <v/>
      </c>
      <c r="D296" s="14">
        <f>IF($W296="","",IFERROR(UPPER(LEFT(TRIM(INDEX(FormData,$W296,f_Name)),1)&amp;IFERROR(MID(TRIM(INDEX(FormData,$W296,f_Name)),FIND("^",SUBSTITUTE(TRIM(INDEX(FormData,$W296,f_Name))," ","^",LEN(TRIM(INDEX(FormData,$W296,f_Name)))-LEN(SUBSTITUTE(TRIM(INDEX(FormData,$W296,f_Name))," ",""))))+1,1),"")),""))</f>
        <v/>
      </c>
      <c r="E296" s="16">
        <f>IF($W296="","",IFERROR(IF(SUMPRODUCT(MAX((WhoKW&lt;&gt;"")*ISNUMBER(SEARCH(WhoKW,INDEX(FormData,$W296,f_Who)&amp;""))*(ROW(WhoKW)-MIN(ROW(WhoKW))+1)))=0,"",INDEX(WhoVal,SUMPRODUCT(MAX((WhoKW&lt;&gt;"")*ISNUMBER(SEARCH(WhoKW,INDEX(FormData,$W296,f_Who)&amp;""))*(ROW(WhoKW)-MIN(ROW(WhoKW))+1))))),""))</f>
        <v/>
      </c>
      <c r="F296" s="17">
        <f>IF($W296="","",TRIM(IFERROR(INDEX(FormData,$W296,f_Org1)&amp;"","")&amp;" "&amp;IFERROR(INDEX(FormData,$W296,f_Org2)&amp;"","")))</f>
        <v/>
      </c>
      <c r="G296" s="16">
        <f>IF($W296="","",IFERROR(INDEX(FormData,$W296,f_Region)&amp;"",""))</f>
        <v/>
      </c>
      <c r="H296" s="16">
        <f>IF($W296="","",IFERROR(IF(SUMPRODUCT(MAX((SitKW&lt;&gt;"")*ISNUMBER(SEARCH(SitKW,INDEX(FormData,$W296,f_Sit)&amp;""))*(ROW(SitKW)-MIN(ROW(SitKW))+1)))=0,"",INDEX(SitVal,SUMPRODUCT(MAX((SitKW&lt;&gt;"")*ISNUMBER(SEARCH(SitKW,INDEX(FormData,$W296,f_Sit)&amp;""))*(ROW(SitKW)-MIN(ROW(SitKW))+1))))),""))</f>
        <v/>
      </c>
      <c r="I296" s="14">
        <f>IF($W296="","",IFERROR(INDEX(FormData,$W296,f_Appr)&amp;"",""))</f>
        <v/>
      </c>
      <c r="J296" s="16">
        <f>IF($W296="","",IFERROR(INDEX(FormData,$W296,f_Trade)&amp;"",""))</f>
        <v/>
      </c>
      <c r="K296" s="16" t="n"/>
      <c r="L296" s="17" t="n"/>
      <c r="M296" s="16" t="n"/>
      <c r="N296" s="17" t="n"/>
      <c r="O296" s="14" t="n"/>
      <c r="P296" s="14" t="n"/>
      <c r="Q296" s="18" t="n"/>
      <c r="R296" s="18" t="n"/>
      <c r="S296" s="13">
        <f>IF($P296&lt;&gt;"✓","",IF($R296&lt;&gt;"","Done",IF($Q296="","Open — no date",IF($Q296&lt;TODAY(),"Overdue",IF($Q296-TODAY()&lt;=DueSoon,"Due soon","Scheduled")))))</f>
        <v/>
      </c>
      <c r="T296" s="14">
        <f>IF($W296="","",IFERROR(IF(INDEX(FormData,$W296,f_Consent)&amp;""="","",IF(ISNUMBER(SEARCH("yes",INDEX(FormData,$W296,f_Consent))),"Yes","No")),""))</f>
        <v/>
      </c>
      <c r="U296" s="14" t="n"/>
      <c r="V296" s="13">
        <f>IF($U296="","",IF($W296="","not found","✓"))</f>
        <v/>
      </c>
      <c r="W296">
        <f>IF($U296="","",IFERROR(MATCH($U296,INDEX(FormData,0,f_Id),0),IFERROR(MATCH(--$U296,INDEX(FormData,0,f_Id),0),IFERROR(MATCH($U296&amp;"",INDEX(FormData,0,f_Id),0),""))))</f>
        <v/>
      </c>
      <c r="X296">
        <f>IF(AND($B296&lt;&gt;"",$B296='Event Report'!$C$3),ROW(),"")</f>
        <v/>
      </c>
      <c r="Y296">
        <f>IF(AND($P296="✓",$R296=""),IF($Q296="",90000,$Q296)+ROW()/100000,"")</f>
        <v/>
      </c>
      <c r="Z296">
        <f>IF(OR($U296&lt;&gt;"",$D296&lt;&gt;"",$E296&lt;&gt;"",$N296&lt;&gt;""),1,"")</f>
        <v/>
      </c>
    </row>
    <row r="297">
      <c r="A297" s="13" t="inlineStr">
        <is>
          <t>P-0293</t>
        </is>
      </c>
      <c r="B297" s="14">
        <f>IF(AND($U297="",$C297=""),"",IFERROR(INDEX(EvID,MATCH(INDEX(FormData,$W297,f_Event),EvID,0)),IFERROR(INDEX(EvID,MATCH(INDEX(FormData,$W297,f_Event),EvName,0)),IFERROR(INDEX(EvID,MATCH(INT($C297),EvDate,0)),""))))</f>
        <v/>
      </c>
      <c r="C297" s="15">
        <f>IF($W297="","",INDEX(FormData,$W297,f_Time))</f>
        <v/>
      </c>
      <c r="D297" s="14">
        <f>IF($W297="","",IFERROR(UPPER(LEFT(TRIM(INDEX(FormData,$W297,f_Name)),1)&amp;IFERROR(MID(TRIM(INDEX(FormData,$W297,f_Name)),FIND("^",SUBSTITUTE(TRIM(INDEX(FormData,$W297,f_Name))," ","^",LEN(TRIM(INDEX(FormData,$W297,f_Name)))-LEN(SUBSTITUTE(TRIM(INDEX(FormData,$W297,f_Name))," ",""))))+1,1),"")),""))</f>
        <v/>
      </c>
      <c r="E297" s="16">
        <f>IF($W297="","",IFERROR(IF(SUMPRODUCT(MAX((WhoKW&lt;&gt;"")*ISNUMBER(SEARCH(WhoKW,INDEX(FormData,$W297,f_Who)&amp;""))*(ROW(WhoKW)-MIN(ROW(WhoKW))+1)))=0,"",INDEX(WhoVal,SUMPRODUCT(MAX((WhoKW&lt;&gt;"")*ISNUMBER(SEARCH(WhoKW,INDEX(FormData,$W297,f_Who)&amp;""))*(ROW(WhoKW)-MIN(ROW(WhoKW))+1))))),""))</f>
        <v/>
      </c>
      <c r="F297" s="17">
        <f>IF($W297="","",TRIM(IFERROR(INDEX(FormData,$W297,f_Org1)&amp;"","")&amp;" "&amp;IFERROR(INDEX(FormData,$W297,f_Org2)&amp;"","")))</f>
        <v/>
      </c>
      <c r="G297" s="16">
        <f>IF($W297="","",IFERROR(INDEX(FormData,$W297,f_Region)&amp;"",""))</f>
        <v/>
      </c>
      <c r="H297" s="16">
        <f>IF($W297="","",IFERROR(IF(SUMPRODUCT(MAX((SitKW&lt;&gt;"")*ISNUMBER(SEARCH(SitKW,INDEX(FormData,$W297,f_Sit)&amp;""))*(ROW(SitKW)-MIN(ROW(SitKW))+1)))=0,"",INDEX(SitVal,SUMPRODUCT(MAX((SitKW&lt;&gt;"")*ISNUMBER(SEARCH(SitKW,INDEX(FormData,$W297,f_Sit)&amp;""))*(ROW(SitKW)-MIN(ROW(SitKW))+1))))),""))</f>
        <v/>
      </c>
      <c r="I297" s="14">
        <f>IF($W297="","",IFERROR(INDEX(FormData,$W297,f_Appr)&amp;"",""))</f>
        <v/>
      </c>
      <c r="J297" s="16">
        <f>IF($W297="","",IFERROR(INDEX(FormData,$W297,f_Trade)&amp;"",""))</f>
        <v/>
      </c>
      <c r="K297" s="16" t="n"/>
      <c r="L297" s="17" t="n"/>
      <c r="M297" s="16" t="n"/>
      <c r="N297" s="17" t="n"/>
      <c r="O297" s="14" t="n"/>
      <c r="P297" s="14" t="n"/>
      <c r="Q297" s="18" t="n"/>
      <c r="R297" s="18" t="n"/>
      <c r="S297" s="13">
        <f>IF($P297&lt;&gt;"✓","",IF($R297&lt;&gt;"","Done",IF($Q297="","Open — no date",IF($Q297&lt;TODAY(),"Overdue",IF($Q297-TODAY()&lt;=DueSoon,"Due soon","Scheduled")))))</f>
        <v/>
      </c>
      <c r="T297" s="14">
        <f>IF($W297="","",IFERROR(IF(INDEX(FormData,$W297,f_Consent)&amp;""="","",IF(ISNUMBER(SEARCH("yes",INDEX(FormData,$W297,f_Consent))),"Yes","No")),""))</f>
        <v/>
      </c>
      <c r="U297" s="14" t="n"/>
      <c r="V297" s="13">
        <f>IF($U297="","",IF($W297="","not found","✓"))</f>
        <v/>
      </c>
      <c r="W297">
        <f>IF($U297="","",IFERROR(MATCH($U297,INDEX(FormData,0,f_Id),0),IFERROR(MATCH(--$U297,INDEX(FormData,0,f_Id),0),IFERROR(MATCH($U297&amp;"",INDEX(FormData,0,f_Id),0),""))))</f>
        <v/>
      </c>
      <c r="X297">
        <f>IF(AND($B297&lt;&gt;"",$B297='Event Report'!$C$3),ROW(),"")</f>
        <v/>
      </c>
      <c r="Y297">
        <f>IF(AND($P297="✓",$R297=""),IF($Q297="",90000,$Q297)+ROW()/100000,"")</f>
        <v/>
      </c>
      <c r="Z297">
        <f>IF(OR($U297&lt;&gt;"",$D297&lt;&gt;"",$E297&lt;&gt;"",$N297&lt;&gt;""),1,"")</f>
        <v/>
      </c>
    </row>
    <row r="298">
      <c r="A298" s="13" t="inlineStr">
        <is>
          <t>P-0294</t>
        </is>
      </c>
      <c r="B298" s="14">
        <f>IF(AND($U298="",$C298=""),"",IFERROR(INDEX(EvID,MATCH(INDEX(FormData,$W298,f_Event),EvID,0)),IFERROR(INDEX(EvID,MATCH(INDEX(FormData,$W298,f_Event),EvName,0)),IFERROR(INDEX(EvID,MATCH(INT($C298),EvDate,0)),""))))</f>
        <v/>
      </c>
      <c r="C298" s="15">
        <f>IF($W298="","",INDEX(FormData,$W298,f_Time))</f>
        <v/>
      </c>
      <c r="D298" s="14">
        <f>IF($W298="","",IFERROR(UPPER(LEFT(TRIM(INDEX(FormData,$W298,f_Name)),1)&amp;IFERROR(MID(TRIM(INDEX(FormData,$W298,f_Name)),FIND("^",SUBSTITUTE(TRIM(INDEX(FormData,$W298,f_Name))," ","^",LEN(TRIM(INDEX(FormData,$W298,f_Name)))-LEN(SUBSTITUTE(TRIM(INDEX(FormData,$W298,f_Name))," ",""))))+1,1),"")),""))</f>
        <v/>
      </c>
      <c r="E298" s="16">
        <f>IF($W298="","",IFERROR(IF(SUMPRODUCT(MAX((WhoKW&lt;&gt;"")*ISNUMBER(SEARCH(WhoKW,INDEX(FormData,$W298,f_Who)&amp;""))*(ROW(WhoKW)-MIN(ROW(WhoKW))+1)))=0,"",INDEX(WhoVal,SUMPRODUCT(MAX((WhoKW&lt;&gt;"")*ISNUMBER(SEARCH(WhoKW,INDEX(FormData,$W298,f_Who)&amp;""))*(ROW(WhoKW)-MIN(ROW(WhoKW))+1))))),""))</f>
        <v/>
      </c>
      <c r="F298" s="17">
        <f>IF($W298="","",TRIM(IFERROR(INDEX(FormData,$W298,f_Org1)&amp;"","")&amp;" "&amp;IFERROR(INDEX(FormData,$W298,f_Org2)&amp;"","")))</f>
        <v/>
      </c>
      <c r="G298" s="16">
        <f>IF($W298="","",IFERROR(INDEX(FormData,$W298,f_Region)&amp;"",""))</f>
        <v/>
      </c>
      <c r="H298" s="16">
        <f>IF($W298="","",IFERROR(IF(SUMPRODUCT(MAX((SitKW&lt;&gt;"")*ISNUMBER(SEARCH(SitKW,INDEX(FormData,$W298,f_Sit)&amp;""))*(ROW(SitKW)-MIN(ROW(SitKW))+1)))=0,"",INDEX(SitVal,SUMPRODUCT(MAX((SitKW&lt;&gt;"")*ISNUMBER(SEARCH(SitKW,INDEX(FormData,$W298,f_Sit)&amp;""))*(ROW(SitKW)-MIN(ROW(SitKW))+1))))),""))</f>
        <v/>
      </c>
      <c r="I298" s="14">
        <f>IF($W298="","",IFERROR(INDEX(FormData,$W298,f_Appr)&amp;"",""))</f>
        <v/>
      </c>
      <c r="J298" s="16">
        <f>IF($W298="","",IFERROR(INDEX(FormData,$W298,f_Trade)&amp;"",""))</f>
        <v/>
      </c>
      <c r="K298" s="16" t="n"/>
      <c r="L298" s="17" t="n"/>
      <c r="M298" s="16" t="n"/>
      <c r="N298" s="17" t="n"/>
      <c r="O298" s="14" t="n"/>
      <c r="P298" s="14" t="n"/>
      <c r="Q298" s="18" t="n"/>
      <c r="R298" s="18" t="n"/>
      <c r="S298" s="13">
        <f>IF($P298&lt;&gt;"✓","",IF($R298&lt;&gt;"","Done",IF($Q298="","Open — no date",IF($Q298&lt;TODAY(),"Overdue",IF($Q298-TODAY()&lt;=DueSoon,"Due soon","Scheduled")))))</f>
        <v/>
      </c>
      <c r="T298" s="14">
        <f>IF($W298="","",IFERROR(IF(INDEX(FormData,$W298,f_Consent)&amp;""="","",IF(ISNUMBER(SEARCH("yes",INDEX(FormData,$W298,f_Consent))),"Yes","No")),""))</f>
        <v/>
      </c>
      <c r="U298" s="14" t="n"/>
      <c r="V298" s="13">
        <f>IF($U298="","",IF($W298="","not found","✓"))</f>
        <v/>
      </c>
      <c r="W298">
        <f>IF($U298="","",IFERROR(MATCH($U298,INDEX(FormData,0,f_Id),0),IFERROR(MATCH(--$U298,INDEX(FormData,0,f_Id),0),IFERROR(MATCH($U298&amp;"",INDEX(FormData,0,f_Id),0),""))))</f>
        <v/>
      </c>
      <c r="X298">
        <f>IF(AND($B298&lt;&gt;"",$B298='Event Report'!$C$3),ROW(),"")</f>
        <v/>
      </c>
      <c r="Y298">
        <f>IF(AND($P298="✓",$R298=""),IF($Q298="",90000,$Q298)+ROW()/100000,"")</f>
        <v/>
      </c>
      <c r="Z298">
        <f>IF(OR($U298&lt;&gt;"",$D298&lt;&gt;"",$E298&lt;&gt;"",$N298&lt;&gt;""),1,"")</f>
        <v/>
      </c>
    </row>
    <row r="299">
      <c r="A299" s="13" t="inlineStr">
        <is>
          <t>P-0295</t>
        </is>
      </c>
      <c r="B299" s="14">
        <f>IF(AND($U299="",$C299=""),"",IFERROR(INDEX(EvID,MATCH(INDEX(FormData,$W299,f_Event),EvID,0)),IFERROR(INDEX(EvID,MATCH(INDEX(FormData,$W299,f_Event),EvName,0)),IFERROR(INDEX(EvID,MATCH(INT($C299),EvDate,0)),""))))</f>
        <v/>
      </c>
      <c r="C299" s="15">
        <f>IF($W299="","",INDEX(FormData,$W299,f_Time))</f>
        <v/>
      </c>
      <c r="D299" s="14">
        <f>IF($W299="","",IFERROR(UPPER(LEFT(TRIM(INDEX(FormData,$W299,f_Name)),1)&amp;IFERROR(MID(TRIM(INDEX(FormData,$W299,f_Name)),FIND("^",SUBSTITUTE(TRIM(INDEX(FormData,$W299,f_Name))," ","^",LEN(TRIM(INDEX(FormData,$W299,f_Name)))-LEN(SUBSTITUTE(TRIM(INDEX(FormData,$W299,f_Name))," ",""))))+1,1),"")),""))</f>
        <v/>
      </c>
      <c r="E299" s="16">
        <f>IF($W299="","",IFERROR(IF(SUMPRODUCT(MAX((WhoKW&lt;&gt;"")*ISNUMBER(SEARCH(WhoKW,INDEX(FormData,$W299,f_Who)&amp;""))*(ROW(WhoKW)-MIN(ROW(WhoKW))+1)))=0,"",INDEX(WhoVal,SUMPRODUCT(MAX((WhoKW&lt;&gt;"")*ISNUMBER(SEARCH(WhoKW,INDEX(FormData,$W299,f_Who)&amp;""))*(ROW(WhoKW)-MIN(ROW(WhoKW))+1))))),""))</f>
        <v/>
      </c>
      <c r="F299" s="17">
        <f>IF($W299="","",TRIM(IFERROR(INDEX(FormData,$W299,f_Org1)&amp;"","")&amp;" "&amp;IFERROR(INDEX(FormData,$W299,f_Org2)&amp;"","")))</f>
        <v/>
      </c>
      <c r="G299" s="16">
        <f>IF($W299="","",IFERROR(INDEX(FormData,$W299,f_Region)&amp;"",""))</f>
        <v/>
      </c>
      <c r="H299" s="16">
        <f>IF($W299="","",IFERROR(IF(SUMPRODUCT(MAX((SitKW&lt;&gt;"")*ISNUMBER(SEARCH(SitKW,INDEX(FormData,$W299,f_Sit)&amp;""))*(ROW(SitKW)-MIN(ROW(SitKW))+1)))=0,"",INDEX(SitVal,SUMPRODUCT(MAX((SitKW&lt;&gt;"")*ISNUMBER(SEARCH(SitKW,INDEX(FormData,$W299,f_Sit)&amp;""))*(ROW(SitKW)-MIN(ROW(SitKW))+1))))),""))</f>
        <v/>
      </c>
      <c r="I299" s="14">
        <f>IF($W299="","",IFERROR(INDEX(FormData,$W299,f_Appr)&amp;"",""))</f>
        <v/>
      </c>
      <c r="J299" s="16">
        <f>IF($W299="","",IFERROR(INDEX(FormData,$W299,f_Trade)&amp;"",""))</f>
        <v/>
      </c>
      <c r="K299" s="16" t="n"/>
      <c r="L299" s="17" t="n"/>
      <c r="M299" s="16" t="n"/>
      <c r="N299" s="17" t="n"/>
      <c r="O299" s="14" t="n"/>
      <c r="P299" s="14" t="n"/>
      <c r="Q299" s="18" t="n"/>
      <c r="R299" s="18" t="n"/>
      <c r="S299" s="13">
        <f>IF($P299&lt;&gt;"✓","",IF($R299&lt;&gt;"","Done",IF($Q299="","Open — no date",IF($Q299&lt;TODAY(),"Overdue",IF($Q299-TODAY()&lt;=DueSoon,"Due soon","Scheduled")))))</f>
        <v/>
      </c>
      <c r="T299" s="14">
        <f>IF($W299="","",IFERROR(IF(INDEX(FormData,$W299,f_Consent)&amp;""="","",IF(ISNUMBER(SEARCH("yes",INDEX(FormData,$W299,f_Consent))),"Yes","No")),""))</f>
        <v/>
      </c>
      <c r="U299" s="14" t="n"/>
      <c r="V299" s="13">
        <f>IF($U299="","",IF($W299="","not found","✓"))</f>
        <v/>
      </c>
      <c r="W299">
        <f>IF($U299="","",IFERROR(MATCH($U299,INDEX(FormData,0,f_Id),0),IFERROR(MATCH(--$U299,INDEX(FormData,0,f_Id),0),IFERROR(MATCH($U299&amp;"",INDEX(FormData,0,f_Id),0),""))))</f>
        <v/>
      </c>
      <c r="X299">
        <f>IF(AND($B299&lt;&gt;"",$B299='Event Report'!$C$3),ROW(),"")</f>
        <v/>
      </c>
      <c r="Y299">
        <f>IF(AND($P299="✓",$R299=""),IF($Q299="",90000,$Q299)+ROW()/100000,"")</f>
        <v/>
      </c>
      <c r="Z299">
        <f>IF(OR($U299&lt;&gt;"",$D299&lt;&gt;"",$E299&lt;&gt;"",$N299&lt;&gt;""),1,"")</f>
        <v/>
      </c>
    </row>
    <row r="300">
      <c r="A300" s="13" t="inlineStr">
        <is>
          <t>P-0296</t>
        </is>
      </c>
      <c r="B300" s="14">
        <f>IF(AND($U300="",$C300=""),"",IFERROR(INDEX(EvID,MATCH(INDEX(FormData,$W300,f_Event),EvID,0)),IFERROR(INDEX(EvID,MATCH(INDEX(FormData,$W300,f_Event),EvName,0)),IFERROR(INDEX(EvID,MATCH(INT($C300),EvDate,0)),""))))</f>
        <v/>
      </c>
      <c r="C300" s="15">
        <f>IF($W300="","",INDEX(FormData,$W300,f_Time))</f>
        <v/>
      </c>
      <c r="D300" s="14">
        <f>IF($W300="","",IFERROR(UPPER(LEFT(TRIM(INDEX(FormData,$W300,f_Name)),1)&amp;IFERROR(MID(TRIM(INDEX(FormData,$W300,f_Name)),FIND("^",SUBSTITUTE(TRIM(INDEX(FormData,$W300,f_Name))," ","^",LEN(TRIM(INDEX(FormData,$W300,f_Name)))-LEN(SUBSTITUTE(TRIM(INDEX(FormData,$W300,f_Name))," ",""))))+1,1),"")),""))</f>
        <v/>
      </c>
      <c r="E300" s="16">
        <f>IF($W300="","",IFERROR(IF(SUMPRODUCT(MAX((WhoKW&lt;&gt;"")*ISNUMBER(SEARCH(WhoKW,INDEX(FormData,$W300,f_Who)&amp;""))*(ROW(WhoKW)-MIN(ROW(WhoKW))+1)))=0,"",INDEX(WhoVal,SUMPRODUCT(MAX((WhoKW&lt;&gt;"")*ISNUMBER(SEARCH(WhoKW,INDEX(FormData,$W300,f_Who)&amp;""))*(ROW(WhoKW)-MIN(ROW(WhoKW))+1))))),""))</f>
        <v/>
      </c>
      <c r="F300" s="17">
        <f>IF($W300="","",TRIM(IFERROR(INDEX(FormData,$W300,f_Org1)&amp;"","")&amp;" "&amp;IFERROR(INDEX(FormData,$W300,f_Org2)&amp;"","")))</f>
        <v/>
      </c>
      <c r="G300" s="16">
        <f>IF($W300="","",IFERROR(INDEX(FormData,$W300,f_Region)&amp;"",""))</f>
        <v/>
      </c>
      <c r="H300" s="16">
        <f>IF($W300="","",IFERROR(IF(SUMPRODUCT(MAX((SitKW&lt;&gt;"")*ISNUMBER(SEARCH(SitKW,INDEX(FormData,$W300,f_Sit)&amp;""))*(ROW(SitKW)-MIN(ROW(SitKW))+1)))=0,"",INDEX(SitVal,SUMPRODUCT(MAX((SitKW&lt;&gt;"")*ISNUMBER(SEARCH(SitKW,INDEX(FormData,$W300,f_Sit)&amp;""))*(ROW(SitKW)-MIN(ROW(SitKW))+1))))),""))</f>
        <v/>
      </c>
      <c r="I300" s="14">
        <f>IF($W300="","",IFERROR(INDEX(FormData,$W300,f_Appr)&amp;"",""))</f>
        <v/>
      </c>
      <c r="J300" s="16">
        <f>IF($W300="","",IFERROR(INDEX(FormData,$W300,f_Trade)&amp;"",""))</f>
        <v/>
      </c>
      <c r="K300" s="16" t="n"/>
      <c r="L300" s="17" t="n"/>
      <c r="M300" s="16" t="n"/>
      <c r="N300" s="17" t="n"/>
      <c r="O300" s="14" t="n"/>
      <c r="P300" s="14" t="n"/>
      <c r="Q300" s="18" t="n"/>
      <c r="R300" s="18" t="n"/>
      <c r="S300" s="13">
        <f>IF($P300&lt;&gt;"✓","",IF($R300&lt;&gt;"","Done",IF($Q300="","Open — no date",IF($Q300&lt;TODAY(),"Overdue",IF($Q300-TODAY()&lt;=DueSoon,"Due soon","Scheduled")))))</f>
        <v/>
      </c>
      <c r="T300" s="14">
        <f>IF($W300="","",IFERROR(IF(INDEX(FormData,$W300,f_Consent)&amp;""="","",IF(ISNUMBER(SEARCH("yes",INDEX(FormData,$W300,f_Consent))),"Yes","No")),""))</f>
        <v/>
      </c>
      <c r="U300" s="14" t="n"/>
      <c r="V300" s="13">
        <f>IF($U300="","",IF($W300="","not found","✓"))</f>
        <v/>
      </c>
      <c r="W300">
        <f>IF($U300="","",IFERROR(MATCH($U300,INDEX(FormData,0,f_Id),0),IFERROR(MATCH(--$U300,INDEX(FormData,0,f_Id),0),IFERROR(MATCH($U300&amp;"",INDEX(FormData,0,f_Id),0),""))))</f>
        <v/>
      </c>
      <c r="X300">
        <f>IF(AND($B300&lt;&gt;"",$B300='Event Report'!$C$3),ROW(),"")</f>
        <v/>
      </c>
      <c r="Y300">
        <f>IF(AND($P300="✓",$R300=""),IF($Q300="",90000,$Q300)+ROW()/100000,"")</f>
        <v/>
      </c>
      <c r="Z300">
        <f>IF(OR($U300&lt;&gt;"",$D300&lt;&gt;"",$E300&lt;&gt;"",$N300&lt;&gt;""),1,"")</f>
        <v/>
      </c>
    </row>
    <row r="301">
      <c r="A301" s="13" t="inlineStr">
        <is>
          <t>P-0297</t>
        </is>
      </c>
      <c r="B301" s="14">
        <f>IF(AND($U301="",$C301=""),"",IFERROR(INDEX(EvID,MATCH(INDEX(FormData,$W301,f_Event),EvID,0)),IFERROR(INDEX(EvID,MATCH(INDEX(FormData,$W301,f_Event),EvName,0)),IFERROR(INDEX(EvID,MATCH(INT($C301),EvDate,0)),""))))</f>
        <v/>
      </c>
      <c r="C301" s="15">
        <f>IF($W301="","",INDEX(FormData,$W301,f_Time))</f>
        <v/>
      </c>
      <c r="D301" s="14">
        <f>IF($W301="","",IFERROR(UPPER(LEFT(TRIM(INDEX(FormData,$W301,f_Name)),1)&amp;IFERROR(MID(TRIM(INDEX(FormData,$W301,f_Name)),FIND("^",SUBSTITUTE(TRIM(INDEX(FormData,$W301,f_Name))," ","^",LEN(TRIM(INDEX(FormData,$W301,f_Name)))-LEN(SUBSTITUTE(TRIM(INDEX(FormData,$W301,f_Name))," ",""))))+1,1),"")),""))</f>
        <v/>
      </c>
      <c r="E301" s="16">
        <f>IF($W301="","",IFERROR(IF(SUMPRODUCT(MAX((WhoKW&lt;&gt;"")*ISNUMBER(SEARCH(WhoKW,INDEX(FormData,$W301,f_Who)&amp;""))*(ROW(WhoKW)-MIN(ROW(WhoKW))+1)))=0,"",INDEX(WhoVal,SUMPRODUCT(MAX((WhoKW&lt;&gt;"")*ISNUMBER(SEARCH(WhoKW,INDEX(FormData,$W301,f_Who)&amp;""))*(ROW(WhoKW)-MIN(ROW(WhoKW))+1))))),""))</f>
        <v/>
      </c>
      <c r="F301" s="17">
        <f>IF($W301="","",TRIM(IFERROR(INDEX(FormData,$W301,f_Org1)&amp;"","")&amp;" "&amp;IFERROR(INDEX(FormData,$W301,f_Org2)&amp;"","")))</f>
        <v/>
      </c>
      <c r="G301" s="16">
        <f>IF($W301="","",IFERROR(INDEX(FormData,$W301,f_Region)&amp;"",""))</f>
        <v/>
      </c>
      <c r="H301" s="16">
        <f>IF($W301="","",IFERROR(IF(SUMPRODUCT(MAX((SitKW&lt;&gt;"")*ISNUMBER(SEARCH(SitKW,INDEX(FormData,$W301,f_Sit)&amp;""))*(ROW(SitKW)-MIN(ROW(SitKW))+1)))=0,"",INDEX(SitVal,SUMPRODUCT(MAX((SitKW&lt;&gt;"")*ISNUMBER(SEARCH(SitKW,INDEX(FormData,$W301,f_Sit)&amp;""))*(ROW(SitKW)-MIN(ROW(SitKW))+1))))),""))</f>
        <v/>
      </c>
      <c r="I301" s="14">
        <f>IF($W301="","",IFERROR(INDEX(FormData,$W301,f_Appr)&amp;"",""))</f>
        <v/>
      </c>
      <c r="J301" s="16">
        <f>IF($W301="","",IFERROR(INDEX(FormData,$W301,f_Trade)&amp;"",""))</f>
        <v/>
      </c>
      <c r="K301" s="16" t="n"/>
      <c r="L301" s="17" t="n"/>
      <c r="M301" s="16" t="n"/>
      <c r="N301" s="17" t="n"/>
      <c r="O301" s="14" t="n"/>
      <c r="P301" s="14" t="n"/>
      <c r="Q301" s="18" t="n"/>
      <c r="R301" s="18" t="n"/>
      <c r="S301" s="13">
        <f>IF($P301&lt;&gt;"✓","",IF($R301&lt;&gt;"","Done",IF($Q301="","Open — no date",IF($Q301&lt;TODAY(),"Overdue",IF($Q301-TODAY()&lt;=DueSoon,"Due soon","Scheduled")))))</f>
        <v/>
      </c>
      <c r="T301" s="14">
        <f>IF($W301="","",IFERROR(IF(INDEX(FormData,$W301,f_Consent)&amp;""="","",IF(ISNUMBER(SEARCH("yes",INDEX(FormData,$W301,f_Consent))),"Yes","No")),""))</f>
        <v/>
      </c>
      <c r="U301" s="14" t="n"/>
      <c r="V301" s="13">
        <f>IF($U301="","",IF($W301="","not found","✓"))</f>
        <v/>
      </c>
      <c r="W301">
        <f>IF($U301="","",IFERROR(MATCH($U301,INDEX(FormData,0,f_Id),0),IFERROR(MATCH(--$U301,INDEX(FormData,0,f_Id),0),IFERROR(MATCH($U301&amp;"",INDEX(FormData,0,f_Id),0),""))))</f>
        <v/>
      </c>
      <c r="X301">
        <f>IF(AND($B301&lt;&gt;"",$B301='Event Report'!$C$3),ROW(),"")</f>
        <v/>
      </c>
      <c r="Y301">
        <f>IF(AND($P301="✓",$R301=""),IF($Q301="",90000,$Q301)+ROW()/100000,"")</f>
        <v/>
      </c>
      <c r="Z301">
        <f>IF(OR($U301&lt;&gt;"",$D301&lt;&gt;"",$E301&lt;&gt;"",$N301&lt;&gt;""),1,"")</f>
        <v/>
      </c>
    </row>
    <row r="302">
      <c r="A302" s="13" t="inlineStr">
        <is>
          <t>P-0298</t>
        </is>
      </c>
      <c r="B302" s="14">
        <f>IF(AND($U302="",$C302=""),"",IFERROR(INDEX(EvID,MATCH(INDEX(FormData,$W302,f_Event),EvID,0)),IFERROR(INDEX(EvID,MATCH(INDEX(FormData,$W302,f_Event),EvName,0)),IFERROR(INDEX(EvID,MATCH(INT($C302),EvDate,0)),""))))</f>
        <v/>
      </c>
      <c r="C302" s="15">
        <f>IF($W302="","",INDEX(FormData,$W302,f_Time))</f>
        <v/>
      </c>
      <c r="D302" s="14">
        <f>IF($W302="","",IFERROR(UPPER(LEFT(TRIM(INDEX(FormData,$W302,f_Name)),1)&amp;IFERROR(MID(TRIM(INDEX(FormData,$W302,f_Name)),FIND("^",SUBSTITUTE(TRIM(INDEX(FormData,$W302,f_Name))," ","^",LEN(TRIM(INDEX(FormData,$W302,f_Name)))-LEN(SUBSTITUTE(TRIM(INDEX(FormData,$W302,f_Name))," ",""))))+1,1),"")),""))</f>
        <v/>
      </c>
      <c r="E302" s="16">
        <f>IF($W302="","",IFERROR(IF(SUMPRODUCT(MAX((WhoKW&lt;&gt;"")*ISNUMBER(SEARCH(WhoKW,INDEX(FormData,$W302,f_Who)&amp;""))*(ROW(WhoKW)-MIN(ROW(WhoKW))+1)))=0,"",INDEX(WhoVal,SUMPRODUCT(MAX((WhoKW&lt;&gt;"")*ISNUMBER(SEARCH(WhoKW,INDEX(FormData,$W302,f_Who)&amp;""))*(ROW(WhoKW)-MIN(ROW(WhoKW))+1))))),""))</f>
        <v/>
      </c>
      <c r="F302" s="17">
        <f>IF($W302="","",TRIM(IFERROR(INDEX(FormData,$W302,f_Org1)&amp;"","")&amp;" "&amp;IFERROR(INDEX(FormData,$W302,f_Org2)&amp;"","")))</f>
        <v/>
      </c>
      <c r="G302" s="16">
        <f>IF($W302="","",IFERROR(INDEX(FormData,$W302,f_Region)&amp;"",""))</f>
        <v/>
      </c>
      <c r="H302" s="16">
        <f>IF($W302="","",IFERROR(IF(SUMPRODUCT(MAX((SitKW&lt;&gt;"")*ISNUMBER(SEARCH(SitKW,INDEX(FormData,$W302,f_Sit)&amp;""))*(ROW(SitKW)-MIN(ROW(SitKW))+1)))=0,"",INDEX(SitVal,SUMPRODUCT(MAX((SitKW&lt;&gt;"")*ISNUMBER(SEARCH(SitKW,INDEX(FormData,$W302,f_Sit)&amp;""))*(ROW(SitKW)-MIN(ROW(SitKW))+1))))),""))</f>
        <v/>
      </c>
      <c r="I302" s="14">
        <f>IF($W302="","",IFERROR(INDEX(FormData,$W302,f_Appr)&amp;"",""))</f>
        <v/>
      </c>
      <c r="J302" s="16">
        <f>IF($W302="","",IFERROR(INDEX(FormData,$W302,f_Trade)&amp;"",""))</f>
        <v/>
      </c>
      <c r="K302" s="16" t="n"/>
      <c r="L302" s="17" t="n"/>
      <c r="M302" s="16" t="n"/>
      <c r="N302" s="17" t="n"/>
      <c r="O302" s="14" t="n"/>
      <c r="P302" s="14" t="n"/>
      <c r="Q302" s="18" t="n"/>
      <c r="R302" s="18" t="n"/>
      <c r="S302" s="13">
        <f>IF($P302&lt;&gt;"✓","",IF($R302&lt;&gt;"","Done",IF($Q302="","Open — no date",IF($Q302&lt;TODAY(),"Overdue",IF($Q302-TODAY()&lt;=DueSoon,"Due soon","Scheduled")))))</f>
        <v/>
      </c>
      <c r="T302" s="14">
        <f>IF($W302="","",IFERROR(IF(INDEX(FormData,$W302,f_Consent)&amp;""="","",IF(ISNUMBER(SEARCH("yes",INDEX(FormData,$W302,f_Consent))),"Yes","No")),""))</f>
        <v/>
      </c>
      <c r="U302" s="14" t="n"/>
      <c r="V302" s="13">
        <f>IF($U302="","",IF($W302="","not found","✓"))</f>
        <v/>
      </c>
      <c r="W302">
        <f>IF($U302="","",IFERROR(MATCH($U302,INDEX(FormData,0,f_Id),0),IFERROR(MATCH(--$U302,INDEX(FormData,0,f_Id),0),IFERROR(MATCH($U302&amp;"",INDEX(FormData,0,f_Id),0),""))))</f>
        <v/>
      </c>
      <c r="X302">
        <f>IF(AND($B302&lt;&gt;"",$B302='Event Report'!$C$3),ROW(),"")</f>
        <v/>
      </c>
      <c r="Y302">
        <f>IF(AND($P302="✓",$R302=""),IF($Q302="",90000,$Q302)+ROW()/100000,"")</f>
        <v/>
      </c>
      <c r="Z302">
        <f>IF(OR($U302&lt;&gt;"",$D302&lt;&gt;"",$E302&lt;&gt;"",$N302&lt;&gt;""),1,"")</f>
        <v/>
      </c>
    </row>
    <row r="303">
      <c r="A303" s="13" t="inlineStr">
        <is>
          <t>P-0299</t>
        </is>
      </c>
      <c r="B303" s="14">
        <f>IF(AND($U303="",$C303=""),"",IFERROR(INDEX(EvID,MATCH(INDEX(FormData,$W303,f_Event),EvID,0)),IFERROR(INDEX(EvID,MATCH(INDEX(FormData,$W303,f_Event),EvName,0)),IFERROR(INDEX(EvID,MATCH(INT($C303),EvDate,0)),""))))</f>
        <v/>
      </c>
      <c r="C303" s="15">
        <f>IF($W303="","",INDEX(FormData,$W303,f_Time))</f>
        <v/>
      </c>
      <c r="D303" s="14">
        <f>IF($W303="","",IFERROR(UPPER(LEFT(TRIM(INDEX(FormData,$W303,f_Name)),1)&amp;IFERROR(MID(TRIM(INDEX(FormData,$W303,f_Name)),FIND("^",SUBSTITUTE(TRIM(INDEX(FormData,$W303,f_Name))," ","^",LEN(TRIM(INDEX(FormData,$W303,f_Name)))-LEN(SUBSTITUTE(TRIM(INDEX(FormData,$W303,f_Name))," ",""))))+1,1),"")),""))</f>
        <v/>
      </c>
      <c r="E303" s="16">
        <f>IF($W303="","",IFERROR(IF(SUMPRODUCT(MAX((WhoKW&lt;&gt;"")*ISNUMBER(SEARCH(WhoKW,INDEX(FormData,$W303,f_Who)&amp;""))*(ROW(WhoKW)-MIN(ROW(WhoKW))+1)))=0,"",INDEX(WhoVal,SUMPRODUCT(MAX((WhoKW&lt;&gt;"")*ISNUMBER(SEARCH(WhoKW,INDEX(FormData,$W303,f_Who)&amp;""))*(ROW(WhoKW)-MIN(ROW(WhoKW))+1))))),""))</f>
        <v/>
      </c>
      <c r="F303" s="17">
        <f>IF($W303="","",TRIM(IFERROR(INDEX(FormData,$W303,f_Org1)&amp;"","")&amp;" "&amp;IFERROR(INDEX(FormData,$W303,f_Org2)&amp;"","")))</f>
        <v/>
      </c>
      <c r="G303" s="16">
        <f>IF($W303="","",IFERROR(INDEX(FormData,$W303,f_Region)&amp;"",""))</f>
        <v/>
      </c>
      <c r="H303" s="16">
        <f>IF($W303="","",IFERROR(IF(SUMPRODUCT(MAX((SitKW&lt;&gt;"")*ISNUMBER(SEARCH(SitKW,INDEX(FormData,$W303,f_Sit)&amp;""))*(ROW(SitKW)-MIN(ROW(SitKW))+1)))=0,"",INDEX(SitVal,SUMPRODUCT(MAX((SitKW&lt;&gt;"")*ISNUMBER(SEARCH(SitKW,INDEX(FormData,$W303,f_Sit)&amp;""))*(ROW(SitKW)-MIN(ROW(SitKW))+1))))),""))</f>
        <v/>
      </c>
      <c r="I303" s="14">
        <f>IF($W303="","",IFERROR(INDEX(FormData,$W303,f_Appr)&amp;"",""))</f>
        <v/>
      </c>
      <c r="J303" s="16">
        <f>IF($W303="","",IFERROR(INDEX(FormData,$W303,f_Trade)&amp;"",""))</f>
        <v/>
      </c>
      <c r="K303" s="16" t="n"/>
      <c r="L303" s="17" t="n"/>
      <c r="M303" s="16" t="n"/>
      <c r="N303" s="17" t="n"/>
      <c r="O303" s="14" t="n"/>
      <c r="P303" s="14" t="n"/>
      <c r="Q303" s="18" t="n"/>
      <c r="R303" s="18" t="n"/>
      <c r="S303" s="13">
        <f>IF($P303&lt;&gt;"✓","",IF($R303&lt;&gt;"","Done",IF($Q303="","Open — no date",IF($Q303&lt;TODAY(),"Overdue",IF($Q303-TODAY()&lt;=DueSoon,"Due soon","Scheduled")))))</f>
        <v/>
      </c>
      <c r="T303" s="14">
        <f>IF($W303="","",IFERROR(IF(INDEX(FormData,$W303,f_Consent)&amp;""="","",IF(ISNUMBER(SEARCH("yes",INDEX(FormData,$W303,f_Consent))),"Yes","No")),""))</f>
        <v/>
      </c>
      <c r="U303" s="14" t="n"/>
      <c r="V303" s="13">
        <f>IF($U303="","",IF($W303="","not found","✓"))</f>
        <v/>
      </c>
      <c r="W303">
        <f>IF($U303="","",IFERROR(MATCH($U303,INDEX(FormData,0,f_Id),0),IFERROR(MATCH(--$U303,INDEX(FormData,0,f_Id),0),IFERROR(MATCH($U303&amp;"",INDEX(FormData,0,f_Id),0),""))))</f>
        <v/>
      </c>
      <c r="X303">
        <f>IF(AND($B303&lt;&gt;"",$B303='Event Report'!$C$3),ROW(),"")</f>
        <v/>
      </c>
      <c r="Y303">
        <f>IF(AND($P303="✓",$R303=""),IF($Q303="",90000,$Q303)+ROW()/100000,"")</f>
        <v/>
      </c>
      <c r="Z303">
        <f>IF(OR($U303&lt;&gt;"",$D303&lt;&gt;"",$E303&lt;&gt;"",$N303&lt;&gt;""),1,"")</f>
        <v/>
      </c>
    </row>
    <row r="304">
      <c r="A304" s="13" t="inlineStr">
        <is>
          <t>P-0300</t>
        </is>
      </c>
      <c r="B304" s="14">
        <f>IF(AND($U304="",$C304=""),"",IFERROR(INDEX(EvID,MATCH(INDEX(FormData,$W304,f_Event),EvID,0)),IFERROR(INDEX(EvID,MATCH(INDEX(FormData,$W304,f_Event),EvName,0)),IFERROR(INDEX(EvID,MATCH(INT($C304),EvDate,0)),""))))</f>
        <v/>
      </c>
      <c r="C304" s="15">
        <f>IF($W304="","",INDEX(FormData,$W304,f_Time))</f>
        <v/>
      </c>
      <c r="D304" s="14">
        <f>IF($W304="","",IFERROR(UPPER(LEFT(TRIM(INDEX(FormData,$W304,f_Name)),1)&amp;IFERROR(MID(TRIM(INDEX(FormData,$W304,f_Name)),FIND("^",SUBSTITUTE(TRIM(INDEX(FormData,$W304,f_Name))," ","^",LEN(TRIM(INDEX(FormData,$W304,f_Name)))-LEN(SUBSTITUTE(TRIM(INDEX(FormData,$W304,f_Name))," ",""))))+1,1),"")),""))</f>
        <v/>
      </c>
      <c r="E304" s="16">
        <f>IF($W304="","",IFERROR(IF(SUMPRODUCT(MAX((WhoKW&lt;&gt;"")*ISNUMBER(SEARCH(WhoKW,INDEX(FormData,$W304,f_Who)&amp;""))*(ROW(WhoKW)-MIN(ROW(WhoKW))+1)))=0,"",INDEX(WhoVal,SUMPRODUCT(MAX((WhoKW&lt;&gt;"")*ISNUMBER(SEARCH(WhoKW,INDEX(FormData,$W304,f_Who)&amp;""))*(ROW(WhoKW)-MIN(ROW(WhoKW))+1))))),""))</f>
        <v/>
      </c>
      <c r="F304" s="17">
        <f>IF($W304="","",TRIM(IFERROR(INDEX(FormData,$W304,f_Org1)&amp;"","")&amp;" "&amp;IFERROR(INDEX(FormData,$W304,f_Org2)&amp;"","")))</f>
        <v/>
      </c>
      <c r="G304" s="16">
        <f>IF($W304="","",IFERROR(INDEX(FormData,$W304,f_Region)&amp;"",""))</f>
        <v/>
      </c>
      <c r="H304" s="16">
        <f>IF($W304="","",IFERROR(IF(SUMPRODUCT(MAX((SitKW&lt;&gt;"")*ISNUMBER(SEARCH(SitKW,INDEX(FormData,$W304,f_Sit)&amp;""))*(ROW(SitKW)-MIN(ROW(SitKW))+1)))=0,"",INDEX(SitVal,SUMPRODUCT(MAX((SitKW&lt;&gt;"")*ISNUMBER(SEARCH(SitKW,INDEX(FormData,$W304,f_Sit)&amp;""))*(ROW(SitKW)-MIN(ROW(SitKW))+1))))),""))</f>
        <v/>
      </c>
      <c r="I304" s="14">
        <f>IF($W304="","",IFERROR(INDEX(FormData,$W304,f_Appr)&amp;"",""))</f>
        <v/>
      </c>
      <c r="J304" s="16">
        <f>IF($W304="","",IFERROR(INDEX(FormData,$W304,f_Trade)&amp;"",""))</f>
        <v/>
      </c>
      <c r="K304" s="16" t="n"/>
      <c r="L304" s="17" t="n"/>
      <c r="M304" s="16" t="n"/>
      <c r="N304" s="17" t="n"/>
      <c r="O304" s="14" t="n"/>
      <c r="P304" s="14" t="n"/>
      <c r="Q304" s="18" t="n"/>
      <c r="R304" s="18" t="n"/>
      <c r="S304" s="13">
        <f>IF($P304&lt;&gt;"✓","",IF($R304&lt;&gt;"","Done",IF($Q304="","Open — no date",IF($Q304&lt;TODAY(),"Overdue",IF($Q304-TODAY()&lt;=DueSoon,"Due soon","Scheduled")))))</f>
        <v/>
      </c>
      <c r="T304" s="14">
        <f>IF($W304="","",IFERROR(IF(INDEX(FormData,$W304,f_Consent)&amp;""="","",IF(ISNUMBER(SEARCH("yes",INDEX(FormData,$W304,f_Consent))),"Yes","No")),""))</f>
        <v/>
      </c>
      <c r="U304" s="14" t="n"/>
      <c r="V304" s="13">
        <f>IF($U304="","",IF($W304="","not found","✓"))</f>
        <v/>
      </c>
      <c r="W304">
        <f>IF($U304="","",IFERROR(MATCH($U304,INDEX(FormData,0,f_Id),0),IFERROR(MATCH(--$U304,INDEX(FormData,0,f_Id),0),IFERROR(MATCH($U304&amp;"",INDEX(FormData,0,f_Id),0),""))))</f>
        <v/>
      </c>
      <c r="X304">
        <f>IF(AND($B304&lt;&gt;"",$B304='Event Report'!$C$3),ROW(),"")</f>
        <v/>
      </c>
      <c r="Y304">
        <f>IF(AND($P304="✓",$R304=""),IF($Q304="",90000,$Q304)+ROW()/100000,"")</f>
        <v/>
      </c>
      <c r="Z304">
        <f>IF(OR($U304&lt;&gt;"",$D304&lt;&gt;"",$E304&lt;&gt;"",$N304&lt;&gt;""),1,"")</f>
        <v/>
      </c>
    </row>
    <row r="305">
      <c r="A305" s="13" t="inlineStr">
        <is>
          <t>P-0301</t>
        </is>
      </c>
      <c r="B305" s="14">
        <f>IF(AND($U305="",$C305=""),"",IFERROR(INDEX(EvID,MATCH(INDEX(FormData,$W305,f_Event),EvID,0)),IFERROR(INDEX(EvID,MATCH(INDEX(FormData,$W305,f_Event),EvName,0)),IFERROR(INDEX(EvID,MATCH(INT($C305),EvDate,0)),""))))</f>
        <v/>
      </c>
      <c r="C305" s="15">
        <f>IF($W305="","",INDEX(FormData,$W305,f_Time))</f>
        <v/>
      </c>
      <c r="D305" s="14">
        <f>IF($W305="","",IFERROR(UPPER(LEFT(TRIM(INDEX(FormData,$W305,f_Name)),1)&amp;IFERROR(MID(TRIM(INDEX(FormData,$W305,f_Name)),FIND("^",SUBSTITUTE(TRIM(INDEX(FormData,$W305,f_Name))," ","^",LEN(TRIM(INDEX(FormData,$W305,f_Name)))-LEN(SUBSTITUTE(TRIM(INDEX(FormData,$W305,f_Name))," ",""))))+1,1),"")),""))</f>
        <v/>
      </c>
      <c r="E305" s="16">
        <f>IF($W305="","",IFERROR(IF(SUMPRODUCT(MAX((WhoKW&lt;&gt;"")*ISNUMBER(SEARCH(WhoKW,INDEX(FormData,$W305,f_Who)&amp;""))*(ROW(WhoKW)-MIN(ROW(WhoKW))+1)))=0,"",INDEX(WhoVal,SUMPRODUCT(MAX((WhoKW&lt;&gt;"")*ISNUMBER(SEARCH(WhoKW,INDEX(FormData,$W305,f_Who)&amp;""))*(ROW(WhoKW)-MIN(ROW(WhoKW))+1))))),""))</f>
        <v/>
      </c>
      <c r="F305" s="17">
        <f>IF($W305="","",TRIM(IFERROR(INDEX(FormData,$W305,f_Org1)&amp;"","")&amp;" "&amp;IFERROR(INDEX(FormData,$W305,f_Org2)&amp;"","")))</f>
        <v/>
      </c>
      <c r="G305" s="16">
        <f>IF($W305="","",IFERROR(INDEX(FormData,$W305,f_Region)&amp;"",""))</f>
        <v/>
      </c>
      <c r="H305" s="16">
        <f>IF($W305="","",IFERROR(IF(SUMPRODUCT(MAX((SitKW&lt;&gt;"")*ISNUMBER(SEARCH(SitKW,INDEX(FormData,$W305,f_Sit)&amp;""))*(ROW(SitKW)-MIN(ROW(SitKW))+1)))=0,"",INDEX(SitVal,SUMPRODUCT(MAX((SitKW&lt;&gt;"")*ISNUMBER(SEARCH(SitKW,INDEX(FormData,$W305,f_Sit)&amp;""))*(ROW(SitKW)-MIN(ROW(SitKW))+1))))),""))</f>
        <v/>
      </c>
      <c r="I305" s="14">
        <f>IF($W305="","",IFERROR(INDEX(FormData,$W305,f_Appr)&amp;"",""))</f>
        <v/>
      </c>
      <c r="J305" s="16">
        <f>IF($W305="","",IFERROR(INDEX(FormData,$W305,f_Trade)&amp;"",""))</f>
        <v/>
      </c>
      <c r="K305" s="16" t="n"/>
      <c r="L305" s="17" t="n"/>
      <c r="M305" s="16" t="n"/>
      <c r="N305" s="17" t="n"/>
      <c r="O305" s="14" t="n"/>
      <c r="P305" s="14" t="n"/>
      <c r="Q305" s="18" t="n"/>
      <c r="R305" s="18" t="n"/>
      <c r="S305" s="13">
        <f>IF($P305&lt;&gt;"✓","",IF($R305&lt;&gt;"","Done",IF($Q305="","Open — no date",IF($Q305&lt;TODAY(),"Overdue",IF($Q305-TODAY()&lt;=DueSoon,"Due soon","Scheduled")))))</f>
        <v/>
      </c>
      <c r="T305" s="14">
        <f>IF($W305="","",IFERROR(IF(INDEX(FormData,$W305,f_Consent)&amp;""="","",IF(ISNUMBER(SEARCH("yes",INDEX(FormData,$W305,f_Consent))),"Yes","No")),""))</f>
        <v/>
      </c>
      <c r="U305" s="14" t="n"/>
      <c r="V305" s="13">
        <f>IF($U305="","",IF($W305="","not found","✓"))</f>
        <v/>
      </c>
      <c r="W305">
        <f>IF($U305="","",IFERROR(MATCH($U305,INDEX(FormData,0,f_Id),0),IFERROR(MATCH(--$U305,INDEX(FormData,0,f_Id),0),IFERROR(MATCH($U305&amp;"",INDEX(FormData,0,f_Id),0),""))))</f>
        <v/>
      </c>
      <c r="X305">
        <f>IF(AND($B305&lt;&gt;"",$B305='Event Report'!$C$3),ROW(),"")</f>
        <v/>
      </c>
      <c r="Y305">
        <f>IF(AND($P305="✓",$R305=""),IF($Q305="",90000,$Q305)+ROW()/100000,"")</f>
        <v/>
      </c>
      <c r="Z305">
        <f>IF(OR($U305&lt;&gt;"",$D305&lt;&gt;"",$E305&lt;&gt;"",$N305&lt;&gt;""),1,"")</f>
        <v/>
      </c>
    </row>
    <row r="306">
      <c r="A306" s="13" t="inlineStr">
        <is>
          <t>P-0302</t>
        </is>
      </c>
      <c r="B306" s="14">
        <f>IF(AND($U306="",$C306=""),"",IFERROR(INDEX(EvID,MATCH(INDEX(FormData,$W306,f_Event),EvID,0)),IFERROR(INDEX(EvID,MATCH(INDEX(FormData,$W306,f_Event),EvName,0)),IFERROR(INDEX(EvID,MATCH(INT($C306),EvDate,0)),""))))</f>
        <v/>
      </c>
      <c r="C306" s="15">
        <f>IF($W306="","",INDEX(FormData,$W306,f_Time))</f>
        <v/>
      </c>
      <c r="D306" s="14">
        <f>IF($W306="","",IFERROR(UPPER(LEFT(TRIM(INDEX(FormData,$W306,f_Name)),1)&amp;IFERROR(MID(TRIM(INDEX(FormData,$W306,f_Name)),FIND("^",SUBSTITUTE(TRIM(INDEX(FormData,$W306,f_Name))," ","^",LEN(TRIM(INDEX(FormData,$W306,f_Name)))-LEN(SUBSTITUTE(TRIM(INDEX(FormData,$W306,f_Name))," ",""))))+1,1),"")),""))</f>
        <v/>
      </c>
      <c r="E306" s="16">
        <f>IF($W306="","",IFERROR(IF(SUMPRODUCT(MAX((WhoKW&lt;&gt;"")*ISNUMBER(SEARCH(WhoKW,INDEX(FormData,$W306,f_Who)&amp;""))*(ROW(WhoKW)-MIN(ROW(WhoKW))+1)))=0,"",INDEX(WhoVal,SUMPRODUCT(MAX((WhoKW&lt;&gt;"")*ISNUMBER(SEARCH(WhoKW,INDEX(FormData,$W306,f_Who)&amp;""))*(ROW(WhoKW)-MIN(ROW(WhoKW))+1))))),""))</f>
        <v/>
      </c>
      <c r="F306" s="17">
        <f>IF($W306="","",TRIM(IFERROR(INDEX(FormData,$W306,f_Org1)&amp;"","")&amp;" "&amp;IFERROR(INDEX(FormData,$W306,f_Org2)&amp;"","")))</f>
        <v/>
      </c>
      <c r="G306" s="16">
        <f>IF($W306="","",IFERROR(INDEX(FormData,$W306,f_Region)&amp;"",""))</f>
        <v/>
      </c>
      <c r="H306" s="16">
        <f>IF($W306="","",IFERROR(IF(SUMPRODUCT(MAX((SitKW&lt;&gt;"")*ISNUMBER(SEARCH(SitKW,INDEX(FormData,$W306,f_Sit)&amp;""))*(ROW(SitKW)-MIN(ROW(SitKW))+1)))=0,"",INDEX(SitVal,SUMPRODUCT(MAX((SitKW&lt;&gt;"")*ISNUMBER(SEARCH(SitKW,INDEX(FormData,$W306,f_Sit)&amp;""))*(ROW(SitKW)-MIN(ROW(SitKW))+1))))),""))</f>
        <v/>
      </c>
      <c r="I306" s="14">
        <f>IF($W306="","",IFERROR(INDEX(FormData,$W306,f_Appr)&amp;"",""))</f>
        <v/>
      </c>
      <c r="J306" s="16">
        <f>IF($W306="","",IFERROR(INDEX(FormData,$W306,f_Trade)&amp;"",""))</f>
        <v/>
      </c>
      <c r="K306" s="16" t="n"/>
      <c r="L306" s="17" t="n"/>
      <c r="M306" s="16" t="n"/>
      <c r="N306" s="17" t="n"/>
      <c r="O306" s="14" t="n"/>
      <c r="P306" s="14" t="n"/>
      <c r="Q306" s="18" t="n"/>
      <c r="R306" s="18" t="n"/>
      <c r="S306" s="13">
        <f>IF($P306&lt;&gt;"✓","",IF($R306&lt;&gt;"","Done",IF($Q306="","Open — no date",IF($Q306&lt;TODAY(),"Overdue",IF($Q306-TODAY()&lt;=DueSoon,"Due soon","Scheduled")))))</f>
        <v/>
      </c>
      <c r="T306" s="14">
        <f>IF($W306="","",IFERROR(IF(INDEX(FormData,$W306,f_Consent)&amp;""="","",IF(ISNUMBER(SEARCH("yes",INDEX(FormData,$W306,f_Consent))),"Yes","No")),""))</f>
        <v/>
      </c>
      <c r="U306" s="14" t="n"/>
      <c r="V306" s="13">
        <f>IF($U306="","",IF($W306="","not found","✓"))</f>
        <v/>
      </c>
      <c r="W306">
        <f>IF($U306="","",IFERROR(MATCH($U306,INDEX(FormData,0,f_Id),0),IFERROR(MATCH(--$U306,INDEX(FormData,0,f_Id),0),IFERROR(MATCH($U306&amp;"",INDEX(FormData,0,f_Id),0),""))))</f>
        <v/>
      </c>
      <c r="X306">
        <f>IF(AND($B306&lt;&gt;"",$B306='Event Report'!$C$3),ROW(),"")</f>
        <v/>
      </c>
      <c r="Y306">
        <f>IF(AND($P306="✓",$R306=""),IF($Q306="",90000,$Q306)+ROW()/100000,"")</f>
        <v/>
      </c>
      <c r="Z306">
        <f>IF(OR($U306&lt;&gt;"",$D306&lt;&gt;"",$E306&lt;&gt;"",$N306&lt;&gt;""),1,"")</f>
        <v/>
      </c>
    </row>
    <row r="307">
      <c r="A307" s="13" t="inlineStr">
        <is>
          <t>P-0303</t>
        </is>
      </c>
      <c r="B307" s="14">
        <f>IF(AND($U307="",$C307=""),"",IFERROR(INDEX(EvID,MATCH(INDEX(FormData,$W307,f_Event),EvID,0)),IFERROR(INDEX(EvID,MATCH(INDEX(FormData,$W307,f_Event),EvName,0)),IFERROR(INDEX(EvID,MATCH(INT($C307),EvDate,0)),""))))</f>
        <v/>
      </c>
      <c r="C307" s="15">
        <f>IF($W307="","",INDEX(FormData,$W307,f_Time))</f>
        <v/>
      </c>
      <c r="D307" s="14">
        <f>IF($W307="","",IFERROR(UPPER(LEFT(TRIM(INDEX(FormData,$W307,f_Name)),1)&amp;IFERROR(MID(TRIM(INDEX(FormData,$W307,f_Name)),FIND("^",SUBSTITUTE(TRIM(INDEX(FormData,$W307,f_Name))," ","^",LEN(TRIM(INDEX(FormData,$W307,f_Name)))-LEN(SUBSTITUTE(TRIM(INDEX(FormData,$W307,f_Name))," ",""))))+1,1),"")),""))</f>
        <v/>
      </c>
      <c r="E307" s="16">
        <f>IF($W307="","",IFERROR(IF(SUMPRODUCT(MAX((WhoKW&lt;&gt;"")*ISNUMBER(SEARCH(WhoKW,INDEX(FormData,$W307,f_Who)&amp;""))*(ROW(WhoKW)-MIN(ROW(WhoKW))+1)))=0,"",INDEX(WhoVal,SUMPRODUCT(MAX((WhoKW&lt;&gt;"")*ISNUMBER(SEARCH(WhoKW,INDEX(FormData,$W307,f_Who)&amp;""))*(ROW(WhoKW)-MIN(ROW(WhoKW))+1))))),""))</f>
        <v/>
      </c>
      <c r="F307" s="17">
        <f>IF($W307="","",TRIM(IFERROR(INDEX(FormData,$W307,f_Org1)&amp;"","")&amp;" "&amp;IFERROR(INDEX(FormData,$W307,f_Org2)&amp;"","")))</f>
        <v/>
      </c>
      <c r="G307" s="16">
        <f>IF($W307="","",IFERROR(INDEX(FormData,$W307,f_Region)&amp;"",""))</f>
        <v/>
      </c>
      <c r="H307" s="16">
        <f>IF($W307="","",IFERROR(IF(SUMPRODUCT(MAX((SitKW&lt;&gt;"")*ISNUMBER(SEARCH(SitKW,INDEX(FormData,$W307,f_Sit)&amp;""))*(ROW(SitKW)-MIN(ROW(SitKW))+1)))=0,"",INDEX(SitVal,SUMPRODUCT(MAX((SitKW&lt;&gt;"")*ISNUMBER(SEARCH(SitKW,INDEX(FormData,$W307,f_Sit)&amp;""))*(ROW(SitKW)-MIN(ROW(SitKW))+1))))),""))</f>
        <v/>
      </c>
      <c r="I307" s="14">
        <f>IF($W307="","",IFERROR(INDEX(FormData,$W307,f_Appr)&amp;"",""))</f>
        <v/>
      </c>
      <c r="J307" s="16">
        <f>IF($W307="","",IFERROR(INDEX(FormData,$W307,f_Trade)&amp;"",""))</f>
        <v/>
      </c>
      <c r="K307" s="16" t="n"/>
      <c r="L307" s="17" t="n"/>
      <c r="M307" s="16" t="n"/>
      <c r="N307" s="17" t="n"/>
      <c r="O307" s="14" t="n"/>
      <c r="P307" s="14" t="n"/>
      <c r="Q307" s="18" t="n"/>
      <c r="R307" s="18" t="n"/>
      <c r="S307" s="13">
        <f>IF($P307&lt;&gt;"✓","",IF($R307&lt;&gt;"","Done",IF($Q307="","Open — no date",IF($Q307&lt;TODAY(),"Overdue",IF($Q307-TODAY()&lt;=DueSoon,"Due soon","Scheduled")))))</f>
        <v/>
      </c>
      <c r="T307" s="14">
        <f>IF($W307="","",IFERROR(IF(INDEX(FormData,$W307,f_Consent)&amp;""="","",IF(ISNUMBER(SEARCH("yes",INDEX(FormData,$W307,f_Consent))),"Yes","No")),""))</f>
        <v/>
      </c>
      <c r="U307" s="14" t="n"/>
      <c r="V307" s="13">
        <f>IF($U307="","",IF($W307="","not found","✓"))</f>
        <v/>
      </c>
      <c r="W307">
        <f>IF($U307="","",IFERROR(MATCH($U307,INDEX(FormData,0,f_Id),0),IFERROR(MATCH(--$U307,INDEX(FormData,0,f_Id),0),IFERROR(MATCH($U307&amp;"",INDEX(FormData,0,f_Id),0),""))))</f>
        <v/>
      </c>
      <c r="X307">
        <f>IF(AND($B307&lt;&gt;"",$B307='Event Report'!$C$3),ROW(),"")</f>
        <v/>
      </c>
      <c r="Y307">
        <f>IF(AND($P307="✓",$R307=""),IF($Q307="",90000,$Q307)+ROW()/100000,"")</f>
        <v/>
      </c>
      <c r="Z307">
        <f>IF(OR($U307&lt;&gt;"",$D307&lt;&gt;"",$E307&lt;&gt;"",$N307&lt;&gt;""),1,"")</f>
        <v/>
      </c>
    </row>
    <row r="308">
      <c r="A308" s="13" t="inlineStr">
        <is>
          <t>P-0304</t>
        </is>
      </c>
      <c r="B308" s="14">
        <f>IF(AND($U308="",$C308=""),"",IFERROR(INDEX(EvID,MATCH(INDEX(FormData,$W308,f_Event),EvID,0)),IFERROR(INDEX(EvID,MATCH(INDEX(FormData,$W308,f_Event),EvName,0)),IFERROR(INDEX(EvID,MATCH(INT($C308),EvDate,0)),""))))</f>
        <v/>
      </c>
      <c r="C308" s="15">
        <f>IF($W308="","",INDEX(FormData,$W308,f_Time))</f>
        <v/>
      </c>
      <c r="D308" s="14">
        <f>IF($W308="","",IFERROR(UPPER(LEFT(TRIM(INDEX(FormData,$W308,f_Name)),1)&amp;IFERROR(MID(TRIM(INDEX(FormData,$W308,f_Name)),FIND("^",SUBSTITUTE(TRIM(INDEX(FormData,$W308,f_Name))," ","^",LEN(TRIM(INDEX(FormData,$W308,f_Name)))-LEN(SUBSTITUTE(TRIM(INDEX(FormData,$W308,f_Name))," ",""))))+1,1),"")),""))</f>
        <v/>
      </c>
      <c r="E308" s="16">
        <f>IF($W308="","",IFERROR(IF(SUMPRODUCT(MAX((WhoKW&lt;&gt;"")*ISNUMBER(SEARCH(WhoKW,INDEX(FormData,$W308,f_Who)&amp;""))*(ROW(WhoKW)-MIN(ROW(WhoKW))+1)))=0,"",INDEX(WhoVal,SUMPRODUCT(MAX((WhoKW&lt;&gt;"")*ISNUMBER(SEARCH(WhoKW,INDEX(FormData,$W308,f_Who)&amp;""))*(ROW(WhoKW)-MIN(ROW(WhoKW))+1))))),""))</f>
        <v/>
      </c>
      <c r="F308" s="17">
        <f>IF($W308="","",TRIM(IFERROR(INDEX(FormData,$W308,f_Org1)&amp;"","")&amp;" "&amp;IFERROR(INDEX(FormData,$W308,f_Org2)&amp;"","")))</f>
        <v/>
      </c>
      <c r="G308" s="16">
        <f>IF($W308="","",IFERROR(INDEX(FormData,$W308,f_Region)&amp;"",""))</f>
        <v/>
      </c>
      <c r="H308" s="16">
        <f>IF($W308="","",IFERROR(IF(SUMPRODUCT(MAX((SitKW&lt;&gt;"")*ISNUMBER(SEARCH(SitKW,INDEX(FormData,$W308,f_Sit)&amp;""))*(ROW(SitKW)-MIN(ROW(SitKW))+1)))=0,"",INDEX(SitVal,SUMPRODUCT(MAX((SitKW&lt;&gt;"")*ISNUMBER(SEARCH(SitKW,INDEX(FormData,$W308,f_Sit)&amp;""))*(ROW(SitKW)-MIN(ROW(SitKW))+1))))),""))</f>
        <v/>
      </c>
      <c r="I308" s="14">
        <f>IF($W308="","",IFERROR(INDEX(FormData,$W308,f_Appr)&amp;"",""))</f>
        <v/>
      </c>
      <c r="J308" s="16">
        <f>IF($W308="","",IFERROR(INDEX(FormData,$W308,f_Trade)&amp;"",""))</f>
        <v/>
      </c>
      <c r="K308" s="16" t="n"/>
      <c r="L308" s="17" t="n"/>
      <c r="M308" s="16" t="n"/>
      <c r="N308" s="17" t="n"/>
      <c r="O308" s="14" t="n"/>
      <c r="P308" s="14" t="n"/>
      <c r="Q308" s="18" t="n"/>
      <c r="R308" s="18" t="n"/>
      <c r="S308" s="13">
        <f>IF($P308&lt;&gt;"✓","",IF($R308&lt;&gt;"","Done",IF($Q308="","Open — no date",IF($Q308&lt;TODAY(),"Overdue",IF($Q308-TODAY()&lt;=DueSoon,"Due soon","Scheduled")))))</f>
        <v/>
      </c>
      <c r="T308" s="14">
        <f>IF($W308="","",IFERROR(IF(INDEX(FormData,$W308,f_Consent)&amp;""="","",IF(ISNUMBER(SEARCH("yes",INDEX(FormData,$W308,f_Consent))),"Yes","No")),""))</f>
        <v/>
      </c>
      <c r="U308" s="14" t="n"/>
      <c r="V308" s="13">
        <f>IF($U308="","",IF($W308="","not found","✓"))</f>
        <v/>
      </c>
      <c r="W308">
        <f>IF($U308="","",IFERROR(MATCH($U308,INDEX(FormData,0,f_Id),0),IFERROR(MATCH(--$U308,INDEX(FormData,0,f_Id),0),IFERROR(MATCH($U308&amp;"",INDEX(FormData,0,f_Id),0),""))))</f>
        <v/>
      </c>
      <c r="X308">
        <f>IF(AND($B308&lt;&gt;"",$B308='Event Report'!$C$3),ROW(),"")</f>
        <v/>
      </c>
      <c r="Y308">
        <f>IF(AND($P308="✓",$R308=""),IF($Q308="",90000,$Q308)+ROW()/100000,"")</f>
        <v/>
      </c>
      <c r="Z308">
        <f>IF(OR($U308&lt;&gt;"",$D308&lt;&gt;"",$E308&lt;&gt;"",$N308&lt;&gt;""),1,"")</f>
        <v/>
      </c>
    </row>
    <row r="309">
      <c r="A309" s="13" t="inlineStr">
        <is>
          <t>P-0305</t>
        </is>
      </c>
      <c r="B309" s="14">
        <f>IF(AND($U309="",$C309=""),"",IFERROR(INDEX(EvID,MATCH(INDEX(FormData,$W309,f_Event),EvID,0)),IFERROR(INDEX(EvID,MATCH(INDEX(FormData,$W309,f_Event),EvName,0)),IFERROR(INDEX(EvID,MATCH(INT($C309),EvDate,0)),""))))</f>
        <v/>
      </c>
      <c r="C309" s="15">
        <f>IF($W309="","",INDEX(FormData,$W309,f_Time))</f>
        <v/>
      </c>
      <c r="D309" s="14">
        <f>IF($W309="","",IFERROR(UPPER(LEFT(TRIM(INDEX(FormData,$W309,f_Name)),1)&amp;IFERROR(MID(TRIM(INDEX(FormData,$W309,f_Name)),FIND("^",SUBSTITUTE(TRIM(INDEX(FormData,$W309,f_Name))," ","^",LEN(TRIM(INDEX(FormData,$W309,f_Name)))-LEN(SUBSTITUTE(TRIM(INDEX(FormData,$W309,f_Name))," ",""))))+1,1),"")),""))</f>
        <v/>
      </c>
      <c r="E309" s="16">
        <f>IF($W309="","",IFERROR(IF(SUMPRODUCT(MAX((WhoKW&lt;&gt;"")*ISNUMBER(SEARCH(WhoKW,INDEX(FormData,$W309,f_Who)&amp;""))*(ROW(WhoKW)-MIN(ROW(WhoKW))+1)))=0,"",INDEX(WhoVal,SUMPRODUCT(MAX((WhoKW&lt;&gt;"")*ISNUMBER(SEARCH(WhoKW,INDEX(FormData,$W309,f_Who)&amp;""))*(ROW(WhoKW)-MIN(ROW(WhoKW))+1))))),""))</f>
        <v/>
      </c>
      <c r="F309" s="17">
        <f>IF($W309="","",TRIM(IFERROR(INDEX(FormData,$W309,f_Org1)&amp;"","")&amp;" "&amp;IFERROR(INDEX(FormData,$W309,f_Org2)&amp;"","")))</f>
        <v/>
      </c>
      <c r="G309" s="16">
        <f>IF($W309="","",IFERROR(INDEX(FormData,$W309,f_Region)&amp;"",""))</f>
        <v/>
      </c>
      <c r="H309" s="16">
        <f>IF($W309="","",IFERROR(IF(SUMPRODUCT(MAX((SitKW&lt;&gt;"")*ISNUMBER(SEARCH(SitKW,INDEX(FormData,$W309,f_Sit)&amp;""))*(ROW(SitKW)-MIN(ROW(SitKW))+1)))=0,"",INDEX(SitVal,SUMPRODUCT(MAX((SitKW&lt;&gt;"")*ISNUMBER(SEARCH(SitKW,INDEX(FormData,$W309,f_Sit)&amp;""))*(ROW(SitKW)-MIN(ROW(SitKW))+1))))),""))</f>
        <v/>
      </c>
      <c r="I309" s="14">
        <f>IF($W309="","",IFERROR(INDEX(FormData,$W309,f_Appr)&amp;"",""))</f>
        <v/>
      </c>
      <c r="J309" s="16">
        <f>IF($W309="","",IFERROR(INDEX(FormData,$W309,f_Trade)&amp;"",""))</f>
        <v/>
      </c>
      <c r="K309" s="16" t="n"/>
      <c r="L309" s="17" t="n"/>
      <c r="M309" s="16" t="n"/>
      <c r="N309" s="17" t="n"/>
      <c r="O309" s="14" t="n"/>
      <c r="P309" s="14" t="n"/>
      <c r="Q309" s="18" t="n"/>
      <c r="R309" s="18" t="n"/>
      <c r="S309" s="13">
        <f>IF($P309&lt;&gt;"✓","",IF($R309&lt;&gt;"","Done",IF($Q309="","Open — no date",IF($Q309&lt;TODAY(),"Overdue",IF($Q309-TODAY()&lt;=DueSoon,"Due soon","Scheduled")))))</f>
        <v/>
      </c>
      <c r="T309" s="14">
        <f>IF($W309="","",IFERROR(IF(INDEX(FormData,$W309,f_Consent)&amp;""="","",IF(ISNUMBER(SEARCH("yes",INDEX(FormData,$W309,f_Consent))),"Yes","No")),""))</f>
        <v/>
      </c>
      <c r="U309" s="14" t="n"/>
      <c r="V309" s="13">
        <f>IF($U309="","",IF($W309="","not found","✓"))</f>
        <v/>
      </c>
      <c r="W309">
        <f>IF($U309="","",IFERROR(MATCH($U309,INDEX(FormData,0,f_Id),0),IFERROR(MATCH(--$U309,INDEX(FormData,0,f_Id),0),IFERROR(MATCH($U309&amp;"",INDEX(FormData,0,f_Id),0),""))))</f>
        <v/>
      </c>
      <c r="X309">
        <f>IF(AND($B309&lt;&gt;"",$B309='Event Report'!$C$3),ROW(),"")</f>
        <v/>
      </c>
      <c r="Y309">
        <f>IF(AND($P309="✓",$R309=""),IF($Q309="",90000,$Q309)+ROW()/100000,"")</f>
        <v/>
      </c>
      <c r="Z309">
        <f>IF(OR($U309&lt;&gt;"",$D309&lt;&gt;"",$E309&lt;&gt;"",$N309&lt;&gt;""),1,"")</f>
        <v/>
      </c>
    </row>
    <row r="310">
      <c r="A310" s="13" t="inlineStr">
        <is>
          <t>P-0306</t>
        </is>
      </c>
      <c r="B310" s="14">
        <f>IF(AND($U310="",$C310=""),"",IFERROR(INDEX(EvID,MATCH(INDEX(FormData,$W310,f_Event),EvID,0)),IFERROR(INDEX(EvID,MATCH(INDEX(FormData,$W310,f_Event),EvName,0)),IFERROR(INDEX(EvID,MATCH(INT($C310),EvDate,0)),""))))</f>
        <v/>
      </c>
      <c r="C310" s="15">
        <f>IF($W310="","",INDEX(FormData,$W310,f_Time))</f>
        <v/>
      </c>
      <c r="D310" s="14">
        <f>IF($W310="","",IFERROR(UPPER(LEFT(TRIM(INDEX(FormData,$W310,f_Name)),1)&amp;IFERROR(MID(TRIM(INDEX(FormData,$W310,f_Name)),FIND("^",SUBSTITUTE(TRIM(INDEX(FormData,$W310,f_Name))," ","^",LEN(TRIM(INDEX(FormData,$W310,f_Name)))-LEN(SUBSTITUTE(TRIM(INDEX(FormData,$W310,f_Name))," ",""))))+1,1),"")),""))</f>
        <v/>
      </c>
      <c r="E310" s="16">
        <f>IF($W310="","",IFERROR(IF(SUMPRODUCT(MAX((WhoKW&lt;&gt;"")*ISNUMBER(SEARCH(WhoKW,INDEX(FormData,$W310,f_Who)&amp;""))*(ROW(WhoKW)-MIN(ROW(WhoKW))+1)))=0,"",INDEX(WhoVal,SUMPRODUCT(MAX((WhoKW&lt;&gt;"")*ISNUMBER(SEARCH(WhoKW,INDEX(FormData,$W310,f_Who)&amp;""))*(ROW(WhoKW)-MIN(ROW(WhoKW))+1))))),""))</f>
        <v/>
      </c>
      <c r="F310" s="17">
        <f>IF($W310="","",TRIM(IFERROR(INDEX(FormData,$W310,f_Org1)&amp;"","")&amp;" "&amp;IFERROR(INDEX(FormData,$W310,f_Org2)&amp;"","")))</f>
        <v/>
      </c>
      <c r="G310" s="16">
        <f>IF($W310="","",IFERROR(INDEX(FormData,$W310,f_Region)&amp;"",""))</f>
        <v/>
      </c>
      <c r="H310" s="16">
        <f>IF($W310="","",IFERROR(IF(SUMPRODUCT(MAX((SitKW&lt;&gt;"")*ISNUMBER(SEARCH(SitKW,INDEX(FormData,$W310,f_Sit)&amp;""))*(ROW(SitKW)-MIN(ROW(SitKW))+1)))=0,"",INDEX(SitVal,SUMPRODUCT(MAX((SitKW&lt;&gt;"")*ISNUMBER(SEARCH(SitKW,INDEX(FormData,$W310,f_Sit)&amp;""))*(ROW(SitKW)-MIN(ROW(SitKW))+1))))),""))</f>
        <v/>
      </c>
      <c r="I310" s="14">
        <f>IF($W310="","",IFERROR(INDEX(FormData,$W310,f_Appr)&amp;"",""))</f>
        <v/>
      </c>
      <c r="J310" s="16">
        <f>IF($W310="","",IFERROR(INDEX(FormData,$W310,f_Trade)&amp;"",""))</f>
        <v/>
      </c>
      <c r="K310" s="16" t="n"/>
      <c r="L310" s="17" t="n"/>
      <c r="M310" s="16" t="n"/>
      <c r="N310" s="17" t="n"/>
      <c r="O310" s="14" t="n"/>
      <c r="P310" s="14" t="n"/>
      <c r="Q310" s="18" t="n"/>
      <c r="R310" s="18" t="n"/>
      <c r="S310" s="13">
        <f>IF($P310&lt;&gt;"✓","",IF($R310&lt;&gt;"","Done",IF($Q310="","Open — no date",IF($Q310&lt;TODAY(),"Overdue",IF($Q310-TODAY()&lt;=DueSoon,"Due soon","Scheduled")))))</f>
        <v/>
      </c>
      <c r="T310" s="14">
        <f>IF($W310="","",IFERROR(IF(INDEX(FormData,$W310,f_Consent)&amp;""="","",IF(ISNUMBER(SEARCH("yes",INDEX(FormData,$W310,f_Consent))),"Yes","No")),""))</f>
        <v/>
      </c>
      <c r="U310" s="14" t="n"/>
      <c r="V310" s="13">
        <f>IF($U310="","",IF($W310="","not found","✓"))</f>
        <v/>
      </c>
      <c r="W310">
        <f>IF($U310="","",IFERROR(MATCH($U310,INDEX(FormData,0,f_Id),0),IFERROR(MATCH(--$U310,INDEX(FormData,0,f_Id),0),IFERROR(MATCH($U310&amp;"",INDEX(FormData,0,f_Id),0),""))))</f>
        <v/>
      </c>
      <c r="X310">
        <f>IF(AND($B310&lt;&gt;"",$B310='Event Report'!$C$3),ROW(),"")</f>
        <v/>
      </c>
      <c r="Y310">
        <f>IF(AND($P310="✓",$R310=""),IF($Q310="",90000,$Q310)+ROW()/100000,"")</f>
        <v/>
      </c>
      <c r="Z310">
        <f>IF(OR($U310&lt;&gt;"",$D310&lt;&gt;"",$E310&lt;&gt;"",$N310&lt;&gt;""),1,"")</f>
        <v/>
      </c>
    </row>
    <row r="311">
      <c r="A311" s="13" t="inlineStr">
        <is>
          <t>P-0307</t>
        </is>
      </c>
      <c r="B311" s="14">
        <f>IF(AND($U311="",$C311=""),"",IFERROR(INDEX(EvID,MATCH(INDEX(FormData,$W311,f_Event),EvID,0)),IFERROR(INDEX(EvID,MATCH(INDEX(FormData,$W311,f_Event),EvName,0)),IFERROR(INDEX(EvID,MATCH(INT($C311),EvDate,0)),""))))</f>
        <v/>
      </c>
      <c r="C311" s="15">
        <f>IF($W311="","",INDEX(FormData,$W311,f_Time))</f>
        <v/>
      </c>
      <c r="D311" s="14">
        <f>IF($W311="","",IFERROR(UPPER(LEFT(TRIM(INDEX(FormData,$W311,f_Name)),1)&amp;IFERROR(MID(TRIM(INDEX(FormData,$W311,f_Name)),FIND("^",SUBSTITUTE(TRIM(INDEX(FormData,$W311,f_Name))," ","^",LEN(TRIM(INDEX(FormData,$W311,f_Name)))-LEN(SUBSTITUTE(TRIM(INDEX(FormData,$W311,f_Name))," ",""))))+1,1),"")),""))</f>
        <v/>
      </c>
      <c r="E311" s="16">
        <f>IF($W311="","",IFERROR(IF(SUMPRODUCT(MAX((WhoKW&lt;&gt;"")*ISNUMBER(SEARCH(WhoKW,INDEX(FormData,$W311,f_Who)&amp;""))*(ROW(WhoKW)-MIN(ROW(WhoKW))+1)))=0,"",INDEX(WhoVal,SUMPRODUCT(MAX((WhoKW&lt;&gt;"")*ISNUMBER(SEARCH(WhoKW,INDEX(FormData,$W311,f_Who)&amp;""))*(ROW(WhoKW)-MIN(ROW(WhoKW))+1))))),""))</f>
        <v/>
      </c>
      <c r="F311" s="17">
        <f>IF($W311="","",TRIM(IFERROR(INDEX(FormData,$W311,f_Org1)&amp;"","")&amp;" "&amp;IFERROR(INDEX(FormData,$W311,f_Org2)&amp;"","")))</f>
        <v/>
      </c>
      <c r="G311" s="16">
        <f>IF($W311="","",IFERROR(INDEX(FormData,$W311,f_Region)&amp;"",""))</f>
        <v/>
      </c>
      <c r="H311" s="16">
        <f>IF($W311="","",IFERROR(IF(SUMPRODUCT(MAX((SitKW&lt;&gt;"")*ISNUMBER(SEARCH(SitKW,INDEX(FormData,$W311,f_Sit)&amp;""))*(ROW(SitKW)-MIN(ROW(SitKW))+1)))=0,"",INDEX(SitVal,SUMPRODUCT(MAX((SitKW&lt;&gt;"")*ISNUMBER(SEARCH(SitKW,INDEX(FormData,$W311,f_Sit)&amp;""))*(ROW(SitKW)-MIN(ROW(SitKW))+1))))),""))</f>
        <v/>
      </c>
      <c r="I311" s="14">
        <f>IF($W311="","",IFERROR(INDEX(FormData,$W311,f_Appr)&amp;"",""))</f>
        <v/>
      </c>
      <c r="J311" s="16">
        <f>IF($W311="","",IFERROR(INDEX(FormData,$W311,f_Trade)&amp;"",""))</f>
        <v/>
      </c>
      <c r="K311" s="16" t="n"/>
      <c r="L311" s="17" t="n"/>
      <c r="M311" s="16" t="n"/>
      <c r="N311" s="17" t="n"/>
      <c r="O311" s="14" t="n"/>
      <c r="P311" s="14" t="n"/>
      <c r="Q311" s="18" t="n"/>
      <c r="R311" s="18" t="n"/>
      <c r="S311" s="13">
        <f>IF($P311&lt;&gt;"✓","",IF($R311&lt;&gt;"","Done",IF($Q311="","Open — no date",IF($Q311&lt;TODAY(),"Overdue",IF($Q311-TODAY()&lt;=DueSoon,"Due soon","Scheduled")))))</f>
        <v/>
      </c>
      <c r="T311" s="14">
        <f>IF($W311="","",IFERROR(IF(INDEX(FormData,$W311,f_Consent)&amp;""="","",IF(ISNUMBER(SEARCH("yes",INDEX(FormData,$W311,f_Consent))),"Yes","No")),""))</f>
        <v/>
      </c>
      <c r="U311" s="14" t="n"/>
      <c r="V311" s="13">
        <f>IF($U311="","",IF($W311="","not found","✓"))</f>
        <v/>
      </c>
      <c r="W311">
        <f>IF($U311="","",IFERROR(MATCH($U311,INDEX(FormData,0,f_Id),0),IFERROR(MATCH(--$U311,INDEX(FormData,0,f_Id),0),IFERROR(MATCH($U311&amp;"",INDEX(FormData,0,f_Id),0),""))))</f>
        <v/>
      </c>
      <c r="X311">
        <f>IF(AND($B311&lt;&gt;"",$B311='Event Report'!$C$3),ROW(),"")</f>
        <v/>
      </c>
      <c r="Y311">
        <f>IF(AND($P311="✓",$R311=""),IF($Q311="",90000,$Q311)+ROW()/100000,"")</f>
        <v/>
      </c>
      <c r="Z311">
        <f>IF(OR($U311&lt;&gt;"",$D311&lt;&gt;"",$E311&lt;&gt;"",$N311&lt;&gt;""),1,"")</f>
        <v/>
      </c>
    </row>
    <row r="312">
      <c r="A312" s="13" t="inlineStr">
        <is>
          <t>P-0308</t>
        </is>
      </c>
      <c r="B312" s="14">
        <f>IF(AND($U312="",$C312=""),"",IFERROR(INDEX(EvID,MATCH(INDEX(FormData,$W312,f_Event),EvID,0)),IFERROR(INDEX(EvID,MATCH(INDEX(FormData,$W312,f_Event),EvName,0)),IFERROR(INDEX(EvID,MATCH(INT($C312),EvDate,0)),""))))</f>
        <v/>
      </c>
      <c r="C312" s="15">
        <f>IF($W312="","",INDEX(FormData,$W312,f_Time))</f>
        <v/>
      </c>
      <c r="D312" s="14">
        <f>IF($W312="","",IFERROR(UPPER(LEFT(TRIM(INDEX(FormData,$W312,f_Name)),1)&amp;IFERROR(MID(TRIM(INDEX(FormData,$W312,f_Name)),FIND("^",SUBSTITUTE(TRIM(INDEX(FormData,$W312,f_Name))," ","^",LEN(TRIM(INDEX(FormData,$W312,f_Name)))-LEN(SUBSTITUTE(TRIM(INDEX(FormData,$W312,f_Name))," ",""))))+1,1),"")),""))</f>
        <v/>
      </c>
      <c r="E312" s="16">
        <f>IF($W312="","",IFERROR(IF(SUMPRODUCT(MAX((WhoKW&lt;&gt;"")*ISNUMBER(SEARCH(WhoKW,INDEX(FormData,$W312,f_Who)&amp;""))*(ROW(WhoKW)-MIN(ROW(WhoKW))+1)))=0,"",INDEX(WhoVal,SUMPRODUCT(MAX((WhoKW&lt;&gt;"")*ISNUMBER(SEARCH(WhoKW,INDEX(FormData,$W312,f_Who)&amp;""))*(ROW(WhoKW)-MIN(ROW(WhoKW))+1))))),""))</f>
        <v/>
      </c>
      <c r="F312" s="17">
        <f>IF($W312="","",TRIM(IFERROR(INDEX(FormData,$W312,f_Org1)&amp;"","")&amp;" "&amp;IFERROR(INDEX(FormData,$W312,f_Org2)&amp;"","")))</f>
        <v/>
      </c>
      <c r="G312" s="16">
        <f>IF($W312="","",IFERROR(INDEX(FormData,$W312,f_Region)&amp;"",""))</f>
        <v/>
      </c>
      <c r="H312" s="16">
        <f>IF($W312="","",IFERROR(IF(SUMPRODUCT(MAX((SitKW&lt;&gt;"")*ISNUMBER(SEARCH(SitKW,INDEX(FormData,$W312,f_Sit)&amp;""))*(ROW(SitKW)-MIN(ROW(SitKW))+1)))=0,"",INDEX(SitVal,SUMPRODUCT(MAX((SitKW&lt;&gt;"")*ISNUMBER(SEARCH(SitKW,INDEX(FormData,$W312,f_Sit)&amp;""))*(ROW(SitKW)-MIN(ROW(SitKW))+1))))),""))</f>
        <v/>
      </c>
      <c r="I312" s="14">
        <f>IF($W312="","",IFERROR(INDEX(FormData,$W312,f_Appr)&amp;"",""))</f>
        <v/>
      </c>
      <c r="J312" s="16">
        <f>IF($W312="","",IFERROR(INDEX(FormData,$W312,f_Trade)&amp;"",""))</f>
        <v/>
      </c>
      <c r="K312" s="16" t="n"/>
      <c r="L312" s="17" t="n"/>
      <c r="M312" s="16" t="n"/>
      <c r="N312" s="17" t="n"/>
      <c r="O312" s="14" t="n"/>
      <c r="P312" s="14" t="n"/>
      <c r="Q312" s="18" t="n"/>
      <c r="R312" s="18" t="n"/>
      <c r="S312" s="13">
        <f>IF($P312&lt;&gt;"✓","",IF($R312&lt;&gt;"","Done",IF($Q312="","Open — no date",IF($Q312&lt;TODAY(),"Overdue",IF($Q312-TODAY()&lt;=DueSoon,"Due soon","Scheduled")))))</f>
        <v/>
      </c>
      <c r="T312" s="14">
        <f>IF($W312="","",IFERROR(IF(INDEX(FormData,$W312,f_Consent)&amp;""="","",IF(ISNUMBER(SEARCH("yes",INDEX(FormData,$W312,f_Consent))),"Yes","No")),""))</f>
        <v/>
      </c>
      <c r="U312" s="14" t="n"/>
      <c r="V312" s="13">
        <f>IF($U312="","",IF($W312="","not found","✓"))</f>
        <v/>
      </c>
      <c r="W312">
        <f>IF($U312="","",IFERROR(MATCH($U312,INDEX(FormData,0,f_Id),0),IFERROR(MATCH(--$U312,INDEX(FormData,0,f_Id),0),IFERROR(MATCH($U312&amp;"",INDEX(FormData,0,f_Id),0),""))))</f>
        <v/>
      </c>
      <c r="X312">
        <f>IF(AND($B312&lt;&gt;"",$B312='Event Report'!$C$3),ROW(),"")</f>
        <v/>
      </c>
      <c r="Y312">
        <f>IF(AND($P312="✓",$R312=""),IF($Q312="",90000,$Q312)+ROW()/100000,"")</f>
        <v/>
      </c>
      <c r="Z312">
        <f>IF(OR($U312&lt;&gt;"",$D312&lt;&gt;"",$E312&lt;&gt;"",$N312&lt;&gt;""),1,"")</f>
        <v/>
      </c>
    </row>
    <row r="313">
      <c r="A313" s="13" t="inlineStr">
        <is>
          <t>P-0309</t>
        </is>
      </c>
      <c r="B313" s="14">
        <f>IF(AND($U313="",$C313=""),"",IFERROR(INDEX(EvID,MATCH(INDEX(FormData,$W313,f_Event),EvID,0)),IFERROR(INDEX(EvID,MATCH(INDEX(FormData,$W313,f_Event),EvName,0)),IFERROR(INDEX(EvID,MATCH(INT($C313),EvDate,0)),""))))</f>
        <v/>
      </c>
      <c r="C313" s="15">
        <f>IF($W313="","",INDEX(FormData,$W313,f_Time))</f>
        <v/>
      </c>
      <c r="D313" s="14">
        <f>IF($W313="","",IFERROR(UPPER(LEFT(TRIM(INDEX(FormData,$W313,f_Name)),1)&amp;IFERROR(MID(TRIM(INDEX(FormData,$W313,f_Name)),FIND("^",SUBSTITUTE(TRIM(INDEX(FormData,$W313,f_Name))," ","^",LEN(TRIM(INDEX(FormData,$W313,f_Name)))-LEN(SUBSTITUTE(TRIM(INDEX(FormData,$W313,f_Name))," ",""))))+1,1),"")),""))</f>
        <v/>
      </c>
      <c r="E313" s="16">
        <f>IF($W313="","",IFERROR(IF(SUMPRODUCT(MAX((WhoKW&lt;&gt;"")*ISNUMBER(SEARCH(WhoKW,INDEX(FormData,$W313,f_Who)&amp;""))*(ROW(WhoKW)-MIN(ROW(WhoKW))+1)))=0,"",INDEX(WhoVal,SUMPRODUCT(MAX((WhoKW&lt;&gt;"")*ISNUMBER(SEARCH(WhoKW,INDEX(FormData,$W313,f_Who)&amp;""))*(ROW(WhoKW)-MIN(ROW(WhoKW))+1))))),""))</f>
        <v/>
      </c>
      <c r="F313" s="17">
        <f>IF($W313="","",TRIM(IFERROR(INDEX(FormData,$W313,f_Org1)&amp;"","")&amp;" "&amp;IFERROR(INDEX(FormData,$W313,f_Org2)&amp;"","")))</f>
        <v/>
      </c>
      <c r="G313" s="16">
        <f>IF($W313="","",IFERROR(INDEX(FormData,$W313,f_Region)&amp;"",""))</f>
        <v/>
      </c>
      <c r="H313" s="16">
        <f>IF($W313="","",IFERROR(IF(SUMPRODUCT(MAX((SitKW&lt;&gt;"")*ISNUMBER(SEARCH(SitKW,INDEX(FormData,$W313,f_Sit)&amp;""))*(ROW(SitKW)-MIN(ROW(SitKW))+1)))=0,"",INDEX(SitVal,SUMPRODUCT(MAX((SitKW&lt;&gt;"")*ISNUMBER(SEARCH(SitKW,INDEX(FormData,$W313,f_Sit)&amp;""))*(ROW(SitKW)-MIN(ROW(SitKW))+1))))),""))</f>
        <v/>
      </c>
      <c r="I313" s="14">
        <f>IF($W313="","",IFERROR(INDEX(FormData,$W313,f_Appr)&amp;"",""))</f>
        <v/>
      </c>
      <c r="J313" s="16">
        <f>IF($W313="","",IFERROR(INDEX(FormData,$W313,f_Trade)&amp;"",""))</f>
        <v/>
      </c>
      <c r="K313" s="16" t="n"/>
      <c r="L313" s="17" t="n"/>
      <c r="M313" s="16" t="n"/>
      <c r="N313" s="17" t="n"/>
      <c r="O313" s="14" t="n"/>
      <c r="P313" s="14" t="n"/>
      <c r="Q313" s="18" t="n"/>
      <c r="R313" s="18" t="n"/>
      <c r="S313" s="13">
        <f>IF($P313&lt;&gt;"✓","",IF($R313&lt;&gt;"","Done",IF($Q313="","Open — no date",IF($Q313&lt;TODAY(),"Overdue",IF($Q313-TODAY()&lt;=DueSoon,"Due soon","Scheduled")))))</f>
        <v/>
      </c>
      <c r="T313" s="14">
        <f>IF($W313="","",IFERROR(IF(INDEX(FormData,$W313,f_Consent)&amp;""="","",IF(ISNUMBER(SEARCH("yes",INDEX(FormData,$W313,f_Consent))),"Yes","No")),""))</f>
        <v/>
      </c>
      <c r="U313" s="14" t="n"/>
      <c r="V313" s="13">
        <f>IF($U313="","",IF($W313="","not found","✓"))</f>
        <v/>
      </c>
      <c r="W313">
        <f>IF($U313="","",IFERROR(MATCH($U313,INDEX(FormData,0,f_Id),0),IFERROR(MATCH(--$U313,INDEX(FormData,0,f_Id),0),IFERROR(MATCH($U313&amp;"",INDEX(FormData,0,f_Id),0),""))))</f>
        <v/>
      </c>
      <c r="X313">
        <f>IF(AND($B313&lt;&gt;"",$B313='Event Report'!$C$3),ROW(),"")</f>
        <v/>
      </c>
      <c r="Y313">
        <f>IF(AND($P313="✓",$R313=""),IF($Q313="",90000,$Q313)+ROW()/100000,"")</f>
        <v/>
      </c>
      <c r="Z313">
        <f>IF(OR($U313&lt;&gt;"",$D313&lt;&gt;"",$E313&lt;&gt;"",$N313&lt;&gt;""),1,"")</f>
        <v/>
      </c>
    </row>
    <row r="314">
      <c r="A314" s="13" t="inlineStr">
        <is>
          <t>P-0310</t>
        </is>
      </c>
      <c r="B314" s="14">
        <f>IF(AND($U314="",$C314=""),"",IFERROR(INDEX(EvID,MATCH(INDEX(FormData,$W314,f_Event),EvID,0)),IFERROR(INDEX(EvID,MATCH(INDEX(FormData,$W314,f_Event),EvName,0)),IFERROR(INDEX(EvID,MATCH(INT($C314),EvDate,0)),""))))</f>
        <v/>
      </c>
      <c r="C314" s="15">
        <f>IF($W314="","",INDEX(FormData,$W314,f_Time))</f>
        <v/>
      </c>
      <c r="D314" s="14">
        <f>IF($W314="","",IFERROR(UPPER(LEFT(TRIM(INDEX(FormData,$W314,f_Name)),1)&amp;IFERROR(MID(TRIM(INDEX(FormData,$W314,f_Name)),FIND("^",SUBSTITUTE(TRIM(INDEX(FormData,$W314,f_Name))," ","^",LEN(TRIM(INDEX(FormData,$W314,f_Name)))-LEN(SUBSTITUTE(TRIM(INDEX(FormData,$W314,f_Name))," ",""))))+1,1),"")),""))</f>
        <v/>
      </c>
      <c r="E314" s="16">
        <f>IF($W314="","",IFERROR(IF(SUMPRODUCT(MAX((WhoKW&lt;&gt;"")*ISNUMBER(SEARCH(WhoKW,INDEX(FormData,$W314,f_Who)&amp;""))*(ROW(WhoKW)-MIN(ROW(WhoKW))+1)))=0,"",INDEX(WhoVal,SUMPRODUCT(MAX((WhoKW&lt;&gt;"")*ISNUMBER(SEARCH(WhoKW,INDEX(FormData,$W314,f_Who)&amp;""))*(ROW(WhoKW)-MIN(ROW(WhoKW))+1))))),""))</f>
        <v/>
      </c>
      <c r="F314" s="17">
        <f>IF($W314="","",TRIM(IFERROR(INDEX(FormData,$W314,f_Org1)&amp;"","")&amp;" "&amp;IFERROR(INDEX(FormData,$W314,f_Org2)&amp;"","")))</f>
        <v/>
      </c>
      <c r="G314" s="16">
        <f>IF($W314="","",IFERROR(INDEX(FormData,$W314,f_Region)&amp;"",""))</f>
        <v/>
      </c>
      <c r="H314" s="16">
        <f>IF($W314="","",IFERROR(IF(SUMPRODUCT(MAX((SitKW&lt;&gt;"")*ISNUMBER(SEARCH(SitKW,INDEX(FormData,$W314,f_Sit)&amp;""))*(ROW(SitKW)-MIN(ROW(SitKW))+1)))=0,"",INDEX(SitVal,SUMPRODUCT(MAX((SitKW&lt;&gt;"")*ISNUMBER(SEARCH(SitKW,INDEX(FormData,$W314,f_Sit)&amp;""))*(ROW(SitKW)-MIN(ROW(SitKW))+1))))),""))</f>
        <v/>
      </c>
      <c r="I314" s="14">
        <f>IF($W314="","",IFERROR(INDEX(FormData,$W314,f_Appr)&amp;"",""))</f>
        <v/>
      </c>
      <c r="J314" s="16">
        <f>IF($W314="","",IFERROR(INDEX(FormData,$W314,f_Trade)&amp;"",""))</f>
        <v/>
      </c>
      <c r="K314" s="16" t="n"/>
      <c r="L314" s="17" t="n"/>
      <c r="M314" s="16" t="n"/>
      <c r="N314" s="17" t="n"/>
      <c r="O314" s="14" t="n"/>
      <c r="P314" s="14" t="n"/>
      <c r="Q314" s="18" t="n"/>
      <c r="R314" s="18" t="n"/>
      <c r="S314" s="13">
        <f>IF($P314&lt;&gt;"✓","",IF($R314&lt;&gt;"","Done",IF($Q314="","Open — no date",IF($Q314&lt;TODAY(),"Overdue",IF($Q314-TODAY()&lt;=DueSoon,"Due soon","Scheduled")))))</f>
        <v/>
      </c>
      <c r="T314" s="14">
        <f>IF($W314="","",IFERROR(IF(INDEX(FormData,$W314,f_Consent)&amp;""="","",IF(ISNUMBER(SEARCH("yes",INDEX(FormData,$W314,f_Consent))),"Yes","No")),""))</f>
        <v/>
      </c>
      <c r="U314" s="14" t="n"/>
      <c r="V314" s="13">
        <f>IF($U314="","",IF($W314="","not found","✓"))</f>
        <v/>
      </c>
      <c r="W314">
        <f>IF($U314="","",IFERROR(MATCH($U314,INDEX(FormData,0,f_Id),0),IFERROR(MATCH(--$U314,INDEX(FormData,0,f_Id),0),IFERROR(MATCH($U314&amp;"",INDEX(FormData,0,f_Id),0),""))))</f>
        <v/>
      </c>
      <c r="X314">
        <f>IF(AND($B314&lt;&gt;"",$B314='Event Report'!$C$3),ROW(),"")</f>
        <v/>
      </c>
      <c r="Y314">
        <f>IF(AND($P314="✓",$R314=""),IF($Q314="",90000,$Q314)+ROW()/100000,"")</f>
        <v/>
      </c>
      <c r="Z314">
        <f>IF(OR($U314&lt;&gt;"",$D314&lt;&gt;"",$E314&lt;&gt;"",$N314&lt;&gt;""),1,"")</f>
        <v/>
      </c>
    </row>
    <row r="315">
      <c r="A315" s="13" t="inlineStr">
        <is>
          <t>P-0311</t>
        </is>
      </c>
      <c r="B315" s="14">
        <f>IF(AND($U315="",$C315=""),"",IFERROR(INDEX(EvID,MATCH(INDEX(FormData,$W315,f_Event),EvID,0)),IFERROR(INDEX(EvID,MATCH(INDEX(FormData,$W315,f_Event),EvName,0)),IFERROR(INDEX(EvID,MATCH(INT($C315),EvDate,0)),""))))</f>
        <v/>
      </c>
      <c r="C315" s="15">
        <f>IF($W315="","",INDEX(FormData,$W315,f_Time))</f>
        <v/>
      </c>
      <c r="D315" s="14">
        <f>IF($W315="","",IFERROR(UPPER(LEFT(TRIM(INDEX(FormData,$W315,f_Name)),1)&amp;IFERROR(MID(TRIM(INDEX(FormData,$W315,f_Name)),FIND("^",SUBSTITUTE(TRIM(INDEX(FormData,$W315,f_Name))," ","^",LEN(TRIM(INDEX(FormData,$W315,f_Name)))-LEN(SUBSTITUTE(TRIM(INDEX(FormData,$W315,f_Name))," ",""))))+1,1),"")),""))</f>
        <v/>
      </c>
      <c r="E315" s="16">
        <f>IF($W315="","",IFERROR(IF(SUMPRODUCT(MAX((WhoKW&lt;&gt;"")*ISNUMBER(SEARCH(WhoKW,INDEX(FormData,$W315,f_Who)&amp;""))*(ROW(WhoKW)-MIN(ROW(WhoKW))+1)))=0,"",INDEX(WhoVal,SUMPRODUCT(MAX((WhoKW&lt;&gt;"")*ISNUMBER(SEARCH(WhoKW,INDEX(FormData,$W315,f_Who)&amp;""))*(ROW(WhoKW)-MIN(ROW(WhoKW))+1))))),""))</f>
        <v/>
      </c>
      <c r="F315" s="17">
        <f>IF($W315="","",TRIM(IFERROR(INDEX(FormData,$W315,f_Org1)&amp;"","")&amp;" "&amp;IFERROR(INDEX(FormData,$W315,f_Org2)&amp;"","")))</f>
        <v/>
      </c>
      <c r="G315" s="16">
        <f>IF($W315="","",IFERROR(INDEX(FormData,$W315,f_Region)&amp;"",""))</f>
        <v/>
      </c>
      <c r="H315" s="16">
        <f>IF($W315="","",IFERROR(IF(SUMPRODUCT(MAX((SitKW&lt;&gt;"")*ISNUMBER(SEARCH(SitKW,INDEX(FormData,$W315,f_Sit)&amp;""))*(ROW(SitKW)-MIN(ROW(SitKW))+1)))=0,"",INDEX(SitVal,SUMPRODUCT(MAX((SitKW&lt;&gt;"")*ISNUMBER(SEARCH(SitKW,INDEX(FormData,$W315,f_Sit)&amp;""))*(ROW(SitKW)-MIN(ROW(SitKW))+1))))),""))</f>
        <v/>
      </c>
      <c r="I315" s="14">
        <f>IF($W315="","",IFERROR(INDEX(FormData,$W315,f_Appr)&amp;"",""))</f>
        <v/>
      </c>
      <c r="J315" s="16">
        <f>IF($W315="","",IFERROR(INDEX(FormData,$W315,f_Trade)&amp;"",""))</f>
        <v/>
      </c>
      <c r="K315" s="16" t="n"/>
      <c r="L315" s="17" t="n"/>
      <c r="M315" s="16" t="n"/>
      <c r="N315" s="17" t="n"/>
      <c r="O315" s="14" t="n"/>
      <c r="P315" s="14" t="n"/>
      <c r="Q315" s="18" t="n"/>
      <c r="R315" s="18" t="n"/>
      <c r="S315" s="13">
        <f>IF($P315&lt;&gt;"✓","",IF($R315&lt;&gt;"","Done",IF($Q315="","Open — no date",IF($Q315&lt;TODAY(),"Overdue",IF($Q315-TODAY()&lt;=DueSoon,"Due soon","Scheduled")))))</f>
        <v/>
      </c>
      <c r="T315" s="14">
        <f>IF($W315="","",IFERROR(IF(INDEX(FormData,$W315,f_Consent)&amp;""="","",IF(ISNUMBER(SEARCH("yes",INDEX(FormData,$W315,f_Consent))),"Yes","No")),""))</f>
        <v/>
      </c>
      <c r="U315" s="14" t="n"/>
      <c r="V315" s="13">
        <f>IF($U315="","",IF($W315="","not found","✓"))</f>
        <v/>
      </c>
      <c r="W315">
        <f>IF($U315="","",IFERROR(MATCH($U315,INDEX(FormData,0,f_Id),0),IFERROR(MATCH(--$U315,INDEX(FormData,0,f_Id),0),IFERROR(MATCH($U315&amp;"",INDEX(FormData,0,f_Id),0),""))))</f>
        <v/>
      </c>
      <c r="X315">
        <f>IF(AND($B315&lt;&gt;"",$B315='Event Report'!$C$3),ROW(),"")</f>
        <v/>
      </c>
      <c r="Y315">
        <f>IF(AND($P315="✓",$R315=""),IF($Q315="",90000,$Q315)+ROW()/100000,"")</f>
        <v/>
      </c>
      <c r="Z315">
        <f>IF(OR($U315&lt;&gt;"",$D315&lt;&gt;"",$E315&lt;&gt;"",$N315&lt;&gt;""),1,"")</f>
        <v/>
      </c>
    </row>
    <row r="316">
      <c r="A316" s="13" t="inlineStr">
        <is>
          <t>P-0312</t>
        </is>
      </c>
      <c r="B316" s="14">
        <f>IF(AND($U316="",$C316=""),"",IFERROR(INDEX(EvID,MATCH(INDEX(FormData,$W316,f_Event),EvID,0)),IFERROR(INDEX(EvID,MATCH(INDEX(FormData,$W316,f_Event),EvName,0)),IFERROR(INDEX(EvID,MATCH(INT($C316),EvDate,0)),""))))</f>
        <v/>
      </c>
      <c r="C316" s="15">
        <f>IF($W316="","",INDEX(FormData,$W316,f_Time))</f>
        <v/>
      </c>
      <c r="D316" s="14">
        <f>IF($W316="","",IFERROR(UPPER(LEFT(TRIM(INDEX(FormData,$W316,f_Name)),1)&amp;IFERROR(MID(TRIM(INDEX(FormData,$W316,f_Name)),FIND("^",SUBSTITUTE(TRIM(INDEX(FormData,$W316,f_Name))," ","^",LEN(TRIM(INDEX(FormData,$W316,f_Name)))-LEN(SUBSTITUTE(TRIM(INDEX(FormData,$W316,f_Name))," ",""))))+1,1),"")),""))</f>
        <v/>
      </c>
      <c r="E316" s="16">
        <f>IF($W316="","",IFERROR(IF(SUMPRODUCT(MAX((WhoKW&lt;&gt;"")*ISNUMBER(SEARCH(WhoKW,INDEX(FormData,$W316,f_Who)&amp;""))*(ROW(WhoKW)-MIN(ROW(WhoKW))+1)))=0,"",INDEX(WhoVal,SUMPRODUCT(MAX((WhoKW&lt;&gt;"")*ISNUMBER(SEARCH(WhoKW,INDEX(FormData,$W316,f_Who)&amp;""))*(ROW(WhoKW)-MIN(ROW(WhoKW))+1))))),""))</f>
        <v/>
      </c>
      <c r="F316" s="17">
        <f>IF($W316="","",TRIM(IFERROR(INDEX(FormData,$W316,f_Org1)&amp;"","")&amp;" "&amp;IFERROR(INDEX(FormData,$W316,f_Org2)&amp;"","")))</f>
        <v/>
      </c>
      <c r="G316" s="16">
        <f>IF($W316="","",IFERROR(INDEX(FormData,$W316,f_Region)&amp;"",""))</f>
        <v/>
      </c>
      <c r="H316" s="16">
        <f>IF($W316="","",IFERROR(IF(SUMPRODUCT(MAX((SitKW&lt;&gt;"")*ISNUMBER(SEARCH(SitKW,INDEX(FormData,$W316,f_Sit)&amp;""))*(ROW(SitKW)-MIN(ROW(SitKW))+1)))=0,"",INDEX(SitVal,SUMPRODUCT(MAX((SitKW&lt;&gt;"")*ISNUMBER(SEARCH(SitKW,INDEX(FormData,$W316,f_Sit)&amp;""))*(ROW(SitKW)-MIN(ROW(SitKW))+1))))),""))</f>
        <v/>
      </c>
      <c r="I316" s="14">
        <f>IF($W316="","",IFERROR(INDEX(FormData,$W316,f_Appr)&amp;"",""))</f>
        <v/>
      </c>
      <c r="J316" s="16">
        <f>IF($W316="","",IFERROR(INDEX(FormData,$W316,f_Trade)&amp;"",""))</f>
        <v/>
      </c>
      <c r="K316" s="16" t="n"/>
      <c r="L316" s="17" t="n"/>
      <c r="M316" s="16" t="n"/>
      <c r="N316" s="17" t="n"/>
      <c r="O316" s="14" t="n"/>
      <c r="P316" s="14" t="n"/>
      <c r="Q316" s="18" t="n"/>
      <c r="R316" s="18" t="n"/>
      <c r="S316" s="13">
        <f>IF($P316&lt;&gt;"✓","",IF($R316&lt;&gt;"","Done",IF($Q316="","Open — no date",IF($Q316&lt;TODAY(),"Overdue",IF($Q316-TODAY()&lt;=DueSoon,"Due soon","Scheduled")))))</f>
        <v/>
      </c>
      <c r="T316" s="14">
        <f>IF($W316="","",IFERROR(IF(INDEX(FormData,$W316,f_Consent)&amp;""="","",IF(ISNUMBER(SEARCH("yes",INDEX(FormData,$W316,f_Consent))),"Yes","No")),""))</f>
        <v/>
      </c>
      <c r="U316" s="14" t="n"/>
      <c r="V316" s="13">
        <f>IF($U316="","",IF($W316="","not found","✓"))</f>
        <v/>
      </c>
      <c r="W316">
        <f>IF($U316="","",IFERROR(MATCH($U316,INDEX(FormData,0,f_Id),0),IFERROR(MATCH(--$U316,INDEX(FormData,0,f_Id),0),IFERROR(MATCH($U316&amp;"",INDEX(FormData,0,f_Id),0),""))))</f>
        <v/>
      </c>
      <c r="X316">
        <f>IF(AND($B316&lt;&gt;"",$B316='Event Report'!$C$3),ROW(),"")</f>
        <v/>
      </c>
      <c r="Y316">
        <f>IF(AND($P316="✓",$R316=""),IF($Q316="",90000,$Q316)+ROW()/100000,"")</f>
        <v/>
      </c>
      <c r="Z316">
        <f>IF(OR($U316&lt;&gt;"",$D316&lt;&gt;"",$E316&lt;&gt;"",$N316&lt;&gt;""),1,"")</f>
        <v/>
      </c>
    </row>
    <row r="317">
      <c r="A317" s="13" t="inlineStr">
        <is>
          <t>P-0313</t>
        </is>
      </c>
      <c r="B317" s="14">
        <f>IF(AND($U317="",$C317=""),"",IFERROR(INDEX(EvID,MATCH(INDEX(FormData,$W317,f_Event),EvID,0)),IFERROR(INDEX(EvID,MATCH(INDEX(FormData,$W317,f_Event),EvName,0)),IFERROR(INDEX(EvID,MATCH(INT($C317),EvDate,0)),""))))</f>
        <v/>
      </c>
      <c r="C317" s="15">
        <f>IF($W317="","",INDEX(FormData,$W317,f_Time))</f>
        <v/>
      </c>
      <c r="D317" s="14">
        <f>IF($W317="","",IFERROR(UPPER(LEFT(TRIM(INDEX(FormData,$W317,f_Name)),1)&amp;IFERROR(MID(TRIM(INDEX(FormData,$W317,f_Name)),FIND("^",SUBSTITUTE(TRIM(INDEX(FormData,$W317,f_Name))," ","^",LEN(TRIM(INDEX(FormData,$W317,f_Name)))-LEN(SUBSTITUTE(TRIM(INDEX(FormData,$W317,f_Name))," ",""))))+1,1),"")),""))</f>
        <v/>
      </c>
      <c r="E317" s="16">
        <f>IF($W317="","",IFERROR(IF(SUMPRODUCT(MAX((WhoKW&lt;&gt;"")*ISNUMBER(SEARCH(WhoKW,INDEX(FormData,$W317,f_Who)&amp;""))*(ROW(WhoKW)-MIN(ROW(WhoKW))+1)))=0,"",INDEX(WhoVal,SUMPRODUCT(MAX((WhoKW&lt;&gt;"")*ISNUMBER(SEARCH(WhoKW,INDEX(FormData,$W317,f_Who)&amp;""))*(ROW(WhoKW)-MIN(ROW(WhoKW))+1))))),""))</f>
        <v/>
      </c>
      <c r="F317" s="17">
        <f>IF($W317="","",TRIM(IFERROR(INDEX(FormData,$W317,f_Org1)&amp;"","")&amp;" "&amp;IFERROR(INDEX(FormData,$W317,f_Org2)&amp;"","")))</f>
        <v/>
      </c>
      <c r="G317" s="16">
        <f>IF($W317="","",IFERROR(INDEX(FormData,$W317,f_Region)&amp;"",""))</f>
        <v/>
      </c>
      <c r="H317" s="16">
        <f>IF($W317="","",IFERROR(IF(SUMPRODUCT(MAX((SitKW&lt;&gt;"")*ISNUMBER(SEARCH(SitKW,INDEX(FormData,$W317,f_Sit)&amp;""))*(ROW(SitKW)-MIN(ROW(SitKW))+1)))=0,"",INDEX(SitVal,SUMPRODUCT(MAX((SitKW&lt;&gt;"")*ISNUMBER(SEARCH(SitKW,INDEX(FormData,$W317,f_Sit)&amp;""))*(ROW(SitKW)-MIN(ROW(SitKW))+1))))),""))</f>
        <v/>
      </c>
      <c r="I317" s="14">
        <f>IF($W317="","",IFERROR(INDEX(FormData,$W317,f_Appr)&amp;"",""))</f>
        <v/>
      </c>
      <c r="J317" s="16">
        <f>IF($W317="","",IFERROR(INDEX(FormData,$W317,f_Trade)&amp;"",""))</f>
        <v/>
      </c>
      <c r="K317" s="16" t="n"/>
      <c r="L317" s="17" t="n"/>
      <c r="M317" s="16" t="n"/>
      <c r="N317" s="17" t="n"/>
      <c r="O317" s="14" t="n"/>
      <c r="P317" s="14" t="n"/>
      <c r="Q317" s="18" t="n"/>
      <c r="R317" s="18" t="n"/>
      <c r="S317" s="13">
        <f>IF($P317&lt;&gt;"✓","",IF($R317&lt;&gt;"","Done",IF($Q317="","Open — no date",IF($Q317&lt;TODAY(),"Overdue",IF($Q317-TODAY()&lt;=DueSoon,"Due soon","Scheduled")))))</f>
        <v/>
      </c>
      <c r="T317" s="14">
        <f>IF($W317="","",IFERROR(IF(INDEX(FormData,$W317,f_Consent)&amp;""="","",IF(ISNUMBER(SEARCH("yes",INDEX(FormData,$W317,f_Consent))),"Yes","No")),""))</f>
        <v/>
      </c>
      <c r="U317" s="14" t="n"/>
      <c r="V317" s="13">
        <f>IF($U317="","",IF($W317="","not found","✓"))</f>
        <v/>
      </c>
      <c r="W317">
        <f>IF($U317="","",IFERROR(MATCH($U317,INDEX(FormData,0,f_Id),0),IFERROR(MATCH(--$U317,INDEX(FormData,0,f_Id),0),IFERROR(MATCH($U317&amp;"",INDEX(FormData,0,f_Id),0),""))))</f>
        <v/>
      </c>
      <c r="X317">
        <f>IF(AND($B317&lt;&gt;"",$B317='Event Report'!$C$3),ROW(),"")</f>
        <v/>
      </c>
      <c r="Y317">
        <f>IF(AND($P317="✓",$R317=""),IF($Q317="",90000,$Q317)+ROW()/100000,"")</f>
        <v/>
      </c>
      <c r="Z317">
        <f>IF(OR($U317&lt;&gt;"",$D317&lt;&gt;"",$E317&lt;&gt;"",$N317&lt;&gt;""),1,"")</f>
        <v/>
      </c>
    </row>
    <row r="318">
      <c r="A318" s="13" t="inlineStr">
        <is>
          <t>P-0314</t>
        </is>
      </c>
      <c r="B318" s="14">
        <f>IF(AND($U318="",$C318=""),"",IFERROR(INDEX(EvID,MATCH(INDEX(FormData,$W318,f_Event),EvID,0)),IFERROR(INDEX(EvID,MATCH(INDEX(FormData,$W318,f_Event),EvName,0)),IFERROR(INDEX(EvID,MATCH(INT($C318),EvDate,0)),""))))</f>
        <v/>
      </c>
      <c r="C318" s="15">
        <f>IF($W318="","",INDEX(FormData,$W318,f_Time))</f>
        <v/>
      </c>
      <c r="D318" s="14">
        <f>IF($W318="","",IFERROR(UPPER(LEFT(TRIM(INDEX(FormData,$W318,f_Name)),1)&amp;IFERROR(MID(TRIM(INDEX(FormData,$W318,f_Name)),FIND("^",SUBSTITUTE(TRIM(INDEX(FormData,$W318,f_Name))," ","^",LEN(TRIM(INDEX(FormData,$W318,f_Name)))-LEN(SUBSTITUTE(TRIM(INDEX(FormData,$W318,f_Name))," ",""))))+1,1),"")),""))</f>
        <v/>
      </c>
      <c r="E318" s="16">
        <f>IF($W318="","",IFERROR(IF(SUMPRODUCT(MAX((WhoKW&lt;&gt;"")*ISNUMBER(SEARCH(WhoKW,INDEX(FormData,$W318,f_Who)&amp;""))*(ROW(WhoKW)-MIN(ROW(WhoKW))+1)))=0,"",INDEX(WhoVal,SUMPRODUCT(MAX((WhoKW&lt;&gt;"")*ISNUMBER(SEARCH(WhoKW,INDEX(FormData,$W318,f_Who)&amp;""))*(ROW(WhoKW)-MIN(ROW(WhoKW))+1))))),""))</f>
        <v/>
      </c>
      <c r="F318" s="17">
        <f>IF($W318="","",TRIM(IFERROR(INDEX(FormData,$W318,f_Org1)&amp;"","")&amp;" "&amp;IFERROR(INDEX(FormData,$W318,f_Org2)&amp;"","")))</f>
        <v/>
      </c>
      <c r="G318" s="16">
        <f>IF($W318="","",IFERROR(INDEX(FormData,$W318,f_Region)&amp;"",""))</f>
        <v/>
      </c>
      <c r="H318" s="16">
        <f>IF($W318="","",IFERROR(IF(SUMPRODUCT(MAX((SitKW&lt;&gt;"")*ISNUMBER(SEARCH(SitKW,INDEX(FormData,$W318,f_Sit)&amp;""))*(ROW(SitKW)-MIN(ROW(SitKW))+1)))=0,"",INDEX(SitVal,SUMPRODUCT(MAX((SitKW&lt;&gt;"")*ISNUMBER(SEARCH(SitKW,INDEX(FormData,$W318,f_Sit)&amp;""))*(ROW(SitKW)-MIN(ROW(SitKW))+1))))),""))</f>
        <v/>
      </c>
      <c r="I318" s="14">
        <f>IF($W318="","",IFERROR(INDEX(FormData,$W318,f_Appr)&amp;"",""))</f>
        <v/>
      </c>
      <c r="J318" s="16">
        <f>IF($W318="","",IFERROR(INDEX(FormData,$W318,f_Trade)&amp;"",""))</f>
        <v/>
      </c>
      <c r="K318" s="16" t="n"/>
      <c r="L318" s="17" t="n"/>
      <c r="M318" s="16" t="n"/>
      <c r="N318" s="17" t="n"/>
      <c r="O318" s="14" t="n"/>
      <c r="P318" s="14" t="n"/>
      <c r="Q318" s="18" t="n"/>
      <c r="R318" s="18" t="n"/>
      <c r="S318" s="13">
        <f>IF($P318&lt;&gt;"✓","",IF($R318&lt;&gt;"","Done",IF($Q318="","Open — no date",IF($Q318&lt;TODAY(),"Overdue",IF($Q318-TODAY()&lt;=DueSoon,"Due soon","Scheduled")))))</f>
        <v/>
      </c>
      <c r="T318" s="14">
        <f>IF($W318="","",IFERROR(IF(INDEX(FormData,$W318,f_Consent)&amp;""="","",IF(ISNUMBER(SEARCH("yes",INDEX(FormData,$W318,f_Consent))),"Yes","No")),""))</f>
        <v/>
      </c>
      <c r="U318" s="14" t="n"/>
      <c r="V318" s="13">
        <f>IF($U318="","",IF($W318="","not found","✓"))</f>
        <v/>
      </c>
      <c r="W318">
        <f>IF($U318="","",IFERROR(MATCH($U318,INDEX(FormData,0,f_Id),0),IFERROR(MATCH(--$U318,INDEX(FormData,0,f_Id),0),IFERROR(MATCH($U318&amp;"",INDEX(FormData,0,f_Id),0),""))))</f>
        <v/>
      </c>
      <c r="X318">
        <f>IF(AND($B318&lt;&gt;"",$B318='Event Report'!$C$3),ROW(),"")</f>
        <v/>
      </c>
      <c r="Y318">
        <f>IF(AND($P318="✓",$R318=""),IF($Q318="",90000,$Q318)+ROW()/100000,"")</f>
        <v/>
      </c>
      <c r="Z318">
        <f>IF(OR($U318&lt;&gt;"",$D318&lt;&gt;"",$E318&lt;&gt;"",$N318&lt;&gt;""),1,"")</f>
        <v/>
      </c>
    </row>
    <row r="319">
      <c r="A319" s="13" t="inlineStr">
        <is>
          <t>P-0315</t>
        </is>
      </c>
      <c r="B319" s="14">
        <f>IF(AND($U319="",$C319=""),"",IFERROR(INDEX(EvID,MATCH(INDEX(FormData,$W319,f_Event),EvID,0)),IFERROR(INDEX(EvID,MATCH(INDEX(FormData,$W319,f_Event),EvName,0)),IFERROR(INDEX(EvID,MATCH(INT($C319),EvDate,0)),""))))</f>
        <v/>
      </c>
      <c r="C319" s="15">
        <f>IF($W319="","",INDEX(FormData,$W319,f_Time))</f>
        <v/>
      </c>
      <c r="D319" s="14">
        <f>IF($W319="","",IFERROR(UPPER(LEFT(TRIM(INDEX(FormData,$W319,f_Name)),1)&amp;IFERROR(MID(TRIM(INDEX(FormData,$W319,f_Name)),FIND("^",SUBSTITUTE(TRIM(INDEX(FormData,$W319,f_Name))," ","^",LEN(TRIM(INDEX(FormData,$W319,f_Name)))-LEN(SUBSTITUTE(TRIM(INDEX(FormData,$W319,f_Name))," ",""))))+1,1),"")),""))</f>
        <v/>
      </c>
      <c r="E319" s="16">
        <f>IF($W319="","",IFERROR(IF(SUMPRODUCT(MAX((WhoKW&lt;&gt;"")*ISNUMBER(SEARCH(WhoKW,INDEX(FormData,$W319,f_Who)&amp;""))*(ROW(WhoKW)-MIN(ROW(WhoKW))+1)))=0,"",INDEX(WhoVal,SUMPRODUCT(MAX((WhoKW&lt;&gt;"")*ISNUMBER(SEARCH(WhoKW,INDEX(FormData,$W319,f_Who)&amp;""))*(ROW(WhoKW)-MIN(ROW(WhoKW))+1))))),""))</f>
        <v/>
      </c>
      <c r="F319" s="17">
        <f>IF($W319="","",TRIM(IFERROR(INDEX(FormData,$W319,f_Org1)&amp;"","")&amp;" "&amp;IFERROR(INDEX(FormData,$W319,f_Org2)&amp;"","")))</f>
        <v/>
      </c>
      <c r="G319" s="16">
        <f>IF($W319="","",IFERROR(INDEX(FormData,$W319,f_Region)&amp;"",""))</f>
        <v/>
      </c>
      <c r="H319" s="16">
        <f>IF($W319="","",IFERROR(IF(SUMPRODUCT(MAX((SitKW&lt;&gt;"")*ISNUMBER(SEARCH(SitKW,INDEX(FormData,$W319,f_Sit)&amp;""))*(ROW(SitKW)-MIN(ROW(SitKW))+1)))=0,"",INDEX(SitVal,SUMPRODUCT(MAX((SitKW&lt;&gt;"")*ISNUMBER(SEARCH(SitKW,INDEX(FormData,$W319,f_Sit)&amp;""))*(ROW(SitKW)-MIN(ROW(SitKW))+1))))),""))</f>
        <v/>
      </c>
      <c r="I319" s="14">
        <f>IF($W319="","",IFERROR(INDEX(FormData,$W319,f_Appr)&amp;"",""))</f>
        <v/>
      </c>
      <c r="J319" s="16">
        <f>IF($W319="","",IFERROR(INDEX(FormData,$W319,f_Trade)&amp;"",""))</f>
        <v/>
      </c>
      <c r="K319" s="16" t="n"/>
      <c r="L319" s="17" t="n"/>
      <c r="M319" s="16" t="n"/>
      <c r="N319" s="17" t="n"/>
      <c r="O319" s="14" t="n"/>
      <c r="P319" s="14" t="n"/>
      <c r="Q319" s="18" t="n"/>
      <c r="R319" s="18" t="n"/>
      <c r="S319" s="13">
        <f>IF($P319&lt;&gt;"✓","",IF($R319&lt;&gt;"","Done",IF($Q319="","Open — no date",IF($Q319&lt;TODAY(),"Overdue",IF($Q319-TODAY()&lt;=DueSoon,"Due soon","Scheduled")))))</f>
        <v/>
      </c>
      <c r="T319" s="14">
        <f>IF($W319="","",IFERROR(IF(INDEX(FormData,$W319,f_Consent)&amp;""="","",IF(ISNUMBER(SEARCH("yes",INDEX(FormData,$W319,f_Consent))),"Yes","No")),""))</f>
        <v/>
      </c>
      <c r="U319" s="14" t="n"/>
      <c r="V319" s="13">
        <f>IF($U319="","",IF($W319="","not found","✓"))</f>
        <v/>
      </c>
      <c r="W319">
        <f>IF($U319="","",IFERROR(MATCH($U319,INDEX(FormData,0,f_Id),0),IFERROR(MATCH(--$U319,INDEX(FormData,0,f_Id),0),IFERROR(MATCH($U319&amp;"",INDEX(FormData,0,f_Id),0),""))))</f>
        <v/>
      </c>
      <c r="X319">
        <f>IF(AND($B319&lt;&gt;"",$B319='Event Report'!$C$3),ROW(),"")</f>
        <v/>
      </c>
      <c r="Y319">
        <f>IF(AND($P319="✓",$R319=""),IF($Q319="",90000,$Q319)+ROW()/100000,"")</f>
        <v/>
      </c>
      <c r="Z319">
        <f>IF(OR($U319&lt;&gt;"",$D319&lt;&gt;"",$E319&lt;&gt;"",$N319&lt;&gt;""),1,"")</f>
        <v/>
      </c>
    </row>
    <row r="320">
      <c r="A320" s="13" t="inlineStr">
        <is>
          <t>P-0316</t>
        </is>
      </c>
      <c r="B320" s="14">
        <f>IF(AND($U320="",$C320=""),"",IFERROR(INDEX(EvID,MATCH(INDEX(FormData,$W320,f_Event),EvID,0)),IFERROR(INDEX(EvID,MATCH(INDEX(FormData,$W320,f_Event),EvName,0)),IFERROR(INDEX(EvID,MATCH(INT($C320),EvDate,0)),""))))</f>
        <v/>
      </c>
      <c r="C320" s="15">
        <f>IF($W320="","",INDEX(FormData,$W320,f_Time))</f>
        <v/>
      </c>
      <c r="D320" s="14">
        <f>IF($W320="","",IFERROR(UPPER(LEFT(TRIM(INDEX(FormData,$W320,f_Name)),1)&amp;IFERROR(MID(TRIM(INDEX(FormData,$W320,f_Name)),FIND("^",SUBSTITUTE(TRIM(INDEX(FormData,$W320,f_Name))," ","^",LEN(TRIM(INDEX(FormData,$W320,f_Name)))-LEN(SUBSTITUTE(TRIM(INDEX(FormData,$W320,f_Name))," ",""))))+1,1),"")),""))</f>
        <v/>
      </c>
      <c r="E320" s="16">
        <f>IF($W320="","",IFERROR(IF(SUMPRODUCT(MAX((WhoKW&lt;&gt;"")*ISNUMBER(SEARCH(WhoKW,INDEX(FormData,$W320,f_Who)&amp;""))*(ROW(WhoKW)-MIN(ROW(WhoKW))+1)))=0,"",INDEX(WhoVal,SUMPRODUCT(MAX((WhoKW&lt;&gt;"")*ISNUMBER(SEARCH(WhoKW,INDEX(FormData,$W320,f_Who)&amp;""))*(ROW(WhoKW)-MIN(ROW(WhoKW))+1))))),""))</f>
        <v/>
      </c>
      <c r="F320" s="17">
        <f>IF($W320="","",TRIM(IFERROR(INDEX(FormData,$W320,f_Org1)&amp;"","")&amp;" "&amp;IFERROR(INDEX(FormData,$W320,f_Org2)&amp;"","")))</f>
        <v/>
      </c>
      <c r="G320" s="16">
        <f>IF($W320="","",IFERROR(INDEX(FormData,$W320,f_Region)&amp;"",""))</f>
        <v/>
      </c>
      <c r="H320" s="16">
        <f>IF($W320="","",IFERROR(IF(SUMPRODUCT(MAX((SitKW&lt;&gt;"")*ISNUMBER(SEARCH(SitKW,INDEX(FormData,$W320,f_Sit)&amp;""))*(ROW(SitKW)-MIN(ROW(SitKW))+1)))=0,"",INDEX(SitVal,SUMPRODUCT(MAX((SitKW&lt;&gt;"")*ISNUMBER(SEARCH(SitKW,INDEX(FormData,$W320,f_Sit)&amp;""))*(ROW(SitKW)-MIN(ROW(SitKW))+1))))),""))</f>
        <v/>
      </c>
      <c r="I320" s="14">
        <f>IF($W320="","",IFERROR(INDEX(FormData,$W320,f_Appr)&amp;"",""))</f>
        <v/>
      </c>
      <c r="J320" s="16">
        <f>IF($W320="","",IFERROR(INDEX(FormData,$W320,f_Trade)&amp;"",""))</f>
        <v/>
      </c>
      <c r="K320" s="16" t="n"/>
      <c r="L320" s="17" t="n"/>
      <c r="M320" s="16" t="n"/>
      <c r="N320" s="17" t="n"/>
      <c r="O320" s="14" t="n"/>
      <c r="P320" s="14" t="n"/>
      <c r="Q320" s="18" t="n"/>
      <c r="R320" s="18" t="n"/>
      <c r="S320" s="13">
        <f>IF($P320&lt;&gt;"✓","",IF($R320&lt;&gt;"","Done",IF($Q320="","Open — no date",IF($Q320&lt;TODAY(),"Overdue",IF($Q320-TODAY()&lt;=DueSoon,"Due soon","Scheduled")))))</f>
        <v/>
      </c>
      <c r="T320" s="14">
        <f>IF($W320="","",IFERROR(IF(INDEX(FormData,$W320,f_Consent)&amp;""="","",IF(ISNUMBER(SEARCH("yes",INDEX(FormData,$W320,f_Consent))),"Yes","No")),""))</f>
        <v/>
      </c>
      <c r="U320" s="14" t="n"/>
      <c r="V320" s="13">
        <f>IF($U320="","",IF($W320="","not found","✓"))</f>
        <v/>
      </c>
      <c r="W320">
        <f>IF($U320="","",IFERROR(MATCH($U320,INDEX(FormData,0,f_Id),0),IFERROR(MATCH(--$U320,INDEX(FormData,0,f_Id),0),IFERROR(MATCH($U320&amp;"",INDEX(FormData,0,f_Id),0),""))))</f>
        <v/>
      </c>
      <c r="X320">
        <f>IF(AND($B320&lt;&gt;"",$B320='Event Report'!$C$3),ROW(),"")</f>
        <v/>
      </c>
      <c r="Y320">
        <f>IF(AND($P320="✓",$R320=""),IF($Q320="",90000,$Q320)+ROW()/100000,"")</f>
        <v/>
      </c>
      <c r="Z320">
        <f>IF(OR($U320&lt;&gt;"",$D320&lt;&gt;"",$E320&lt;&gt;"",$N320&lt;&gt;""),1,"")</f>
        <v/>
      </c>
    </row>
    <row r="321">
      <c r="A321" s="13" t="inlineStr">
        <is>
          <t>P-0317</t>
        </is>
      </c>
      <c r="B321" s="14">
        <f>IF(AND($U321="",$C321=""),"",IFERROR(INDEX(EvID,MATCH(INDEX(FormData,$W321,f_Event),EvID,0)),IFERROR(INDEX(EvID,MATCH(INDEX(FormData,$W321,f_Event),EvName,0)),IFERROR(INDEX(EvID,MATCH(INT($C321),EvDate,0)),""))))</f>
        <v/>
      </c>
      <c r="C321" s="15">
        <f>IF($W321="","",INDEX(FormData,$W321,f_Time))</f>
        <v/>
      </c>
      <c r="D321" s="14">
        <f>IF($W321="","",IFERROR(UPPER(LEFT(TRIM(INDEX(FormData,$W321,f_Name)),1)&amp;IFERROR(MID(TRIM(INDEX(FormData,$W321,f_Name)),FIND("^",SUBSTITUTE(TRIM(INDEX(FormData,$W321,f_Name))," ","^",LEN(TRIM(INDEX(FormData,$W321,f_Name)))-LEN(SUBSTITUTE(TRIM(INDEX(FormData,$W321,f_Name))," ",""))))+1,1),"")),""))</f>
        <v/>
      </c>
      <c r="E321" s="16">
        <f>IF($W321="","",IFERROR(IF(SUMPRODUCT(MAX((WhoKW&lt;&gt;"")*ISNUMBER(SEARCH(WhoKW,INDEX(FormData,$W321,f_Who)&amp;""))*(ROW(WhoKW)-MIN(ROW(WhoKW))+1)))=0,"",INDEX(WhoVal,SUMPRODUCT(MAX((WhoKW&lt;&gt;"")*ISNUMBER(SEARCH(WhoKW,INDEX(FormData,$W321,f_Who)&amp;""))*(ROW(WhoKW)-MIN(ROW(WhoKW))+1))))),""))</f>
        <v/>
      </c>
      <c r="F321" s="17">
        <f>IF($W321="","",TRIM(IFERROR(INDEX(FormData,$W321,f_Org1)&amp;"","")&amp;" "&amp;IFERROR(INDEX(FormData,$W321,f_Org2)&amp;"","")))</f>
        <v/>
      </c>
      <c r="G321" s="16">
        <f>IF($W321="","",IFERROR(INDEX(FormData,$W321,f_Region)&amp;"",""))</f>
        <v/>
      </c>
      <c r="H321" s="16">
        <f>IF($W321="","",IFERROR(IF(SUMPRODUCT(MAX((SitKW&lt;&gt;"")*ISNUMBER(SEARCH(SitKW,INDEX(FormData,$W321,f_Sit)&amp;""))*(ROW(SitKW)-MIN(ROW(SitKW))+1)))=0,"",INDEX(SitVal,SUMPRODUCT(MAX((SitKW&lt;&gt;"")*ISNUMBER(SEARCH(SitKW,INDEX(FormData,$W321,f_Sit)&amp;""))*(ROW(SitKW)-MIN(ROW(SitKW))+1))))),""))</f>
        <v/>
      </c>
      <c r="I321" s="14">
        <f>IF($W321="","",IFERROR(INDEX(FormData,$W321,f_Appr)&amp;"",""))</f>
        <v/>
      </c>
      <c r="J321" s="16">
        <f>IF($W321="","",IFERROR(INDEX(FormData,$W321,f_Trade)&amp;"",""))</f>
        <v/>
      </c>
      <c r="K321" s="16" t="n"/>
      <c r="L321" s="17" t="n"/>
      <c r="M321" s="16" t="n"/>
      <c r="N321" s="17" t="n"/>
      <c r="O321" s="14" t="n"/>
      <c r="P321" s="14" t="n"/>
      <c r="Q321" s="18" t="n"/>
      <c r="R321" s="18" t="n"/>
      <c r="S321" s="13">
        <f>IF($P321&lt;&gt;"✓","",IF($R321&lt;&gt;"","Done",IF($Q321="","Open — no date",IF($Q321&lt;TODAY(),"Overdue",IF($Q321-TODAY()&lt;=DueSoon,"Due soon","Scheduled")))))</f>
        <v/>
      </c>
      <c r="T321" s="14">
        <f>IF($W321="","",IFERROR(IF(INDEX(FormData,$W321,f_Consent)&amp;""="","",IF(ISNUMBER(SEARCH("yes",INDEX(FormData,$W321,f_Consent))),"Yes","No")),""))</f>
        <v/>
      </c>
      <c r="U321" s="14" t="n"/>
      <c r="V321" s="13">
        <f>IF($U321="","",IF($W321="","not found","✓"))</f>
        <v/>
      </c>
      <c r="W321">
        <f>IF($U321="","",IFERROR(MATCH($U321,INDEX(FormData,0,f_Id),0),IFERROR(MATCH(--$U321,INDEX(FormData,0,f_Id),0),IFERROR(MATCH($U321&amp;"",INDEX(FormData,0,f_Id),0),""))))</f>
        <v/>
      </c>
      <c r="X321">
        <f>IF(AND($B321&lt;&gt;"",$B321='Event Report'!$C$3),ROW(),"")</f>
        <v/>
      </c>
      <c r="Y321">
        <f>IF(AND($P321="✓",$R321=""),IF($Q321="",90000,$Q321)+ROW()/100000,"")</f>
        <v/>
      </c>
      <c r="Z321">
        <f>IF(OR($U321&lt;&gt;"",$D321&lt;&gt;"",$E321&lt;&gt;"",$N321&lt;&gt;""),1,"")</f>
        <v/>
      </c>
    </row>
    <row r="322">
      <c r="A322" s="13" t="inlineStr">
        <is>
          <t>P-0318</t>
        </is>
      </c>
      <c r="B322" s="14">
        <f>IF(AND($U322="",$C322=""),"",IFERROR(INDEX(EvID,MATCH(INDEX(FormData,$W322,f_Event),EvID,0)),IFERROR(INDEX(EvID,MATCH(INDEX(FormData,$W322,f_Event),EvName,0)),IFERROR(INDEX(EvID,MATCH(INT($C322),EvDate,0)),""))))</f>
        <v/>
      </c>
      <c r="C322" s="15">
        <f>IF($W322="","",INDEX(FormData,$W322,f_Time))</f>
        <v/>
      </c>
      <c r="D322" s="14">
        <f>IF($W322="","",IFERROR(UPPER(LEFT(TRIM(INDEX(FormData,$W322,f_Name)),1)&amp;IFERROR(MID(TRIM(INDEX(FormData,$W322,f_Name)),FIND("^",SUBSTITUTE(TRIM(INDEX(FormData,$W322,f_Name))," ","^",LEN(TRIM(INDEX(FormData,$W322,f_Name)))-LEN(SUBSTITUTE(TRIM(INDEX(FormData,$W322,f_Name))," ",""))))+1,1),"")),""))</f>
        <v/>
      </c>
      <c r="E322" s="16">
        <f>IF($W322="","",IFERROR(IF(SUMPRODUCT(MAX((WhoKW&lt;&gt;"")*ISNUMBER(SEARCH(WhoKW,INDEX(FormData,$W322,f_Who)&amp;""))*(ROW(WhoKW)-MIN(ROW(WhoKW))+1)))=0,"",INDEX(WhoVal,SUMPRODUCT(MAX((WhoKW&lt;&gt;"")*ISNUMBER(SEARCH(WhoKW,INDEX(FormData,$W322,f_Who)&amp;""))*(ROW(WhoKW)-MIN(ROW(WhoKW))+1))))),""))</f>
        <v/>
      </c>
      <c r="F322" s="17">
        <f>IF($W322="","",TRIM(IFERROR(INDEX(FormData,$W322,f_Org1)&amp;"","")&amp;" "&amp;IFERROR(INDEX(FormData,$W322,f_Org2)&amp;"","")))</f>
        <v/>
      </c>
      <c r="G322" s="16">
        <f>IF($W322="","",IFERROR(INDEX(FormData,$W322,f_Region)&amp;"",""))</f>
        <v/>
      </c>
      <c r="H322" s="16">
        <f>IF($W322="","",IFERROR(IF(SUMPRODUCT(MAX((SitKW&lt;&gt;"")*ISNUMBER(SEARCH(SitKW,INDEX(FormData,$W322,f_Sit)&amp;""))*(ROW(SitKW)-MIN(ROW(SitKW))+1)))=0,"",INDEX(SitVal,SUMPRODUCT(MAX((SitKW&lt;&gt;"")*ISNUMBER(SEARCH(SitKW,INDEX(FormData,$W322,f_Sit)&amp;""))*(ROW(SitKW)-MIN(ROW(SitKW))+1))))),""))</f>
        <v/>
      </c>
      <c r="I322" s="14">
        <f>IF($W322="","",IFERROR(INDEX(FormData,$W322,f_Appr)&amp;"",""))</f>
        <v/>
      </c>
      <c r="J322" s="16">
        <f>IF($W322="","",IFERROR(INDEX(FormData,$W322,f_Trade)&amp;"",""))</f>
        <v/>
      </c>
      <c r="K322" s="16" t="n"/>
      <c r="L322" s="17" t="n"/>
      <c r="M322" s="16" t="n"/>
      <c r="N322" s="17" t="n"/>
      <c r="O322" s="14" t="n"/>
      <c r="P322" s="14" t="n"/>
      <c r="Q322" s="18" t="n"/>
      <c r="R322" s="18" t="n"/>
      <c r="S322" s="13">
        <f>IF($P322&lt;&gt;"✓","",IF($R322&lt;&gt;"","Done",IF($Q322="","Open — no date",IF($Q322&lt;TODAY(),"Overdue",IF($Q322-TODAY()&lt;=DueSoon,"Due soon","Scheduled")))))</f>
        <v/>
      </c>
      <c r="T322" s="14">
        <f>IF($W322="","",IFERROR(IF(INDEX(FormData,$W322,f_Consent)&amp;""="","",IF(ISNUMBER(SEARCH("yes",INDEX(FormData,$W322,f_Consent))),"Yes","No")),""))</f>
        <v/>
      </c>
      <c r="U322" s="14" t="n"/>
      <c r="V322" s="13">
        <f>IF($U322="","",IF($W322="","not found","✓"))</f>
        <v/>
      </c>
      <c r="W322">
        <f>IF($U322="","",IFERROR(MATCH($U322,INDEX(FormData,0,f_Id),0),IFERROR(MATCH(--$U322,INDEX(FormData,0,f_Id),0),IFERROR(MATCH($U322&amp;"",INDEX(FormData,0,f_Id),0),""))))</f>
        <v/>
      </c>
      <c r="X322">
        <f>IF(AND($B322&lt;&gt;"",$B322='Event Report'!$C$3),ROW(),"")</f>
        <v/>
      </c>
      <c r="Y322">
        <f>IF(AND($P322="✓",$R322=""),IF($Q322="",90000,$Q322)+ROW()/100000,"")</f>
        <v/>
      </c>
      <c r="Z322">
        <f>IF(OR($U322&lt;&gt;"",$D322&lt;&gt;"",$E322&lt;&gt;"",$N322&lt;&gt;""),1,"")</f>
        <v/>
      </c>
    </row>
    <row r="323">
      <c r="A323" s="13" t="inlineStr">
        <is>
          <t>P-0319</t>
        </is>
      </c>
      <c r="B323" s="14">
        <f>IF(AND($U323="",$C323=""),"",IFERROR(INDEX(EvID,MATCH(INDEX(FormData,$W323,f_Event),EvID,0)),IFERROR(INDEX(EvID,MATCH(INDEX(FormData,$W323,f_Event),EvName,0)),IFERROR(INDEX(EvID,MATCH(INT($C323),EvDate,0)),""))))</f>
        <v/>
      </c>
      <c r="C323" s="15">
        <f>IF($W323="","",INDEX(FormData,$W323,f_Time))</f>
        <v/>
      </c>
      <c r="D323" s="14">
        <f>IF($W323="","",IFERROR(UPPER(LEFT(TRIM(INDEX(FormData,$W323,f_Name)),1)&amp;IFERROR(MID(TRIM(INDEX(FormData,$W323,f_Name)),FIND("^",SUBSTITUTE(TRIM(INDEX(FormData,$W323,f_Name))," ","^",LEN(TRIM(INDEX(FormData,$W323,f_Name)))-LEN(SUBSTITUTE(TRIM(INDEX(FormData,$W323,f_Name))," ",""))))+1,1),"")),""))</f>
        <v/>
      </c>
      <c r="E323" s="16">
        <f>IF($W323="","",IFERROR(IF(SUMPRODUCT(MAX((WhoKW&lt;&gt;"")*ISNUMBER(SEARCH(WhoKW,INDEX(FormData,$W323,f_Who)&amp;""))*(ROW(WhoKW)-MIN(ROW(WhoKW))+1)))=0,"",INDEX(WhoVal,SUMPRODUCT(MAX((WhoKW&lt;&gt;"")*ISNUMBER(SEARCH(WhoKW,INDEX(FormData,$W323,f_Who)&amp;""))*(ROW(WhoKW)-MIN(ROW(WhoKW))+1))))),""))</f>
        <v/>
      </c>
      <c r="F323" s="17">
        <f>IF($W323="","",TRIM(IFERROR(INDEX(FormData,$W323,f_Org1)&amp;"","")&amp;" "&amp;IFERROR(INDEX(FormData,$W323,f_Org2)&amp;"","")))</f>
        <v/>
      </c>
      <c r="G323" s="16">
        <f>IF($W323="","",IFERROR(INDEX(FormData,$W323,f_Region)&amp;"",""))</f>
        <v/>
      </c>
      <c r="H323" s="16">
        <f>IF($W323="","",IFERROR(IF(SUMPRODUCT(MAX((SitKW&lt;&gt;"")*ISNUMBER(SEARCH(SitKW,INDEX(FormData,$W323,f_Sit)&amp;""))*(ROW(SitKW)-MIN(ROW(SitKW))+1)))=0,"",INDEX(SitVal,SUMPRODUCT(MAX((SitKW&lt;&gt;"")*ISNUMBER(SEARCH(SitKW,INDEX(FormData,$W323,f_Sit)&amp;""))*(ROW(SitKW)-MIN(ROW(SitKW))+1))))),""))</f>
        <v/>
      </c>
      <c r="I323" s="14">
        <f>IF($W323="","",IFERROR(INDEX(FormData,$W323,f_Appr)&amp;"",""))</f>
        <v/>
      </c>
      <c r="J323" s="16">
        <f>IF($W323="","",IFERROR(INDEX(FormData,$W323,f_Trade)&amp;"",""))</f>
        <v/>
      </c>
      <c r="K323" s="16" t="n"/>
      <c r="L323" s="17" t="n"/>
      <c r="M323" s="16" t="n"/>
      <c r="N323" s="17" t="n"/>
      <c r="O323" s="14" t="n"/>
      <c r="P323" s="14" t="n"/>
      <c r="Q323" s="18" t="n"/>
      <c r="R323" s="18" t="n"/>
      <c r="S323" s="13">
        <f>IF($P323&lt;&gt;"✓","",IF($R323&lt;&gt;"","Done",IF($Q323="","Open — no date",IF($Q323&lt;TODAY(),"Overdue",IF($Q323-TODAY()&lt;=DueSoon,"Due soon","Scheduled")))))</f>
        <v/>
      </c>
      <c r="T323" s="14">
        <f>IF($W323="","",IFERROR(IF(INDEX(FormData,$W323,f_Consent)&amp;""="","",IF(ISNUMBER(SEARCH("yes",INDEX(FormData,$W323,f_Consent))),"Yes","No")),""))</f>
        <v/>
      </c>
      <c r="U323" s="14" t="n"/>
      <c r="V323" s="13">
        <f>IF($U323="","",IF($W323="","not found","✓"))</f>
        <v/>
      </c>
      <c r="W323">
        <f>IF($U323="","",IFERROR(MATCH($U323,INDEX(FormData,0,f_Id),0),IFERROR(MATCH(--$U323,INDEX(FormData,0,f_Id),0),IFERROR(MATCH($U323&amp;"",INDEX(FormData,0,f_Id),0),""))))</f>
        <v/>
      </c>
      <c r="X323">
        <f>IF(AND($B323&lt;&gt;"",$B323='Event Report'!$C$3),ROW(),"")</f>
        <v/>
      </c>
      <c r="Y323">
        <f>IF(AND($P323="✓",$R323=""),IF($Q323="",90000,$Q323)+ROW()/100000,"")</f>
        <v/>
      </c>
      <c r="Z323">
        <f>IF(OR($U323&lt;&gt;"",$D323&lt;&gt;"",$E323&lt;&gt;"",$N323&lt;&gt;""),1,"")</f>
        <v/>
      </c>
    </row>
    <row r="324">
      <c r="A324" s="13" t="inlineStr">
        <is>
          <t>P-0320</t>
        </is>
      </c>
      <c r="B324" s="14">
        <f>IF(AND($U324="",$C324=""),"",IFERROR(INDEX(EvID,MATCH(INDEX(FormData,$W324,f_Event),EvID,0)),IFERROR(INDEX(EvID,MATCH(INDEX(FormData,$W324,f_Event),EvName,0)),IFERROR(INDEX(EvID,MATCH(INT($C324),EvDate,0)),""))))</f>
        <v/>
      </c>
      <c r="C324" s="15">
        <f>IF($W324="","",INDEX(FormData,$W324,f_Time))</f>
        <v/>
      </c>
      <c r="D324" s="14">
        <f>IF($W324="","",IFERROR(UPPER(LEFT(TRIM(INDEX(FormData,$W324,f_Name)),1)&amp;IFERROR(MID(TRIM(INDEX(FormData,$W324,f_Name)),FIND("^",SUBSTITUTE(TRIM(INDEX(FormData,$W324,f_Name))," ","^",LEN(TRIM(INDEX(FormData,$W324,f_Name)))-LEN(SUBSTITUTE(TRIM(INDEX(FormData,$W324,f_Name))," ",""))))+1,1),"")),""))</f>
        <v/>
      </c>
      <c r="E324" s="16">
        <f>IF($W324="","",IFERROR(IF(SUMPRODUCT(MAX((WhoKW&lt;&gt;"")*ISNUMBER(SEARCH(WhoKW,INDEX(FormData,$W324,f_Who)&amp;""))*(ROW(WhoKW)-MIN(ROW(WhoKW))+1)))=0,"",INDEX(WhoVal,SUMPRODUCT(MAX((WhoKW&lt;&gt;"")*ISNUMBER(SEARCH(WhoKW,INDEX(FormData,$W324,f_Who)&amp;""))*(ROW(WhoKW)-MIN(ROW(WhoKW))+1))))),""))</f>
        <v/>
      </c>
      <c r="F324" s="17">
        <f>IF($W324="","",TRIM(IFERROR(INDEX(FormData,$W324,f_Org1)&amp;"","")&amp;" "&amp;IFERROR(INDEX(FormData,$W324,f_Org2)&amp;"","")))</f>
        <v/>
      </c>
      <c r="G324" s="16">
        <f>IF($W324="","",IFERROR(INDEX(FormData,$W324,f_Region)&amp;"",""))</f>
        <v/>
      </c>
      <c r="H324" s="16">
        <f>IF($W324="","",IFERROR(IF(SUMPRODUCT(MAX((SitKW&lt;&gt;"")*ISNUMBER(SEARCH(SitKW,INDEX(FormData,$W324,f_Sit)&amp;""))*(ROW(SitKW)-MIN(ROW(SitKW))+1)))=0,"",INDEX(SitVal,SUMPRODUCT(MAX((SitKW&lt;&gt;"")*ISNUMBER(SEARCH(SitKW,INDEX(FormData,$W324,f_Sit)&amp;""))*(ROW(SitKW)-MIN(ROW(SitKW))+1))))),""))</f>
        <v/>
      </c>
      <c r="I324" s="14">
        <f>IF($W324="","",IFERROR(INDEX(FormData,$W324,f_Appr)&amp;"",""))</f>
        <v/>
      </c>
      <c r="J324" s="16">
        <f>IF($W324="","",IFERROR(INDEX(FormData,$W324,f_Trade)&amp;"",""))</f>
        <v/>
      </c>
      <c r="K324" s="16" t="n"/>
      <c r="L324" s="17" t="n"/>
      <c r="M324" s="16" t="n"/>
      <c r="N324" s="17" t="n"/>
      <c r="O324" s="14" t="n"/>
      <c r="P324" s="14" t="n"/>
      <c r="Q324" s="18" t="n"/>
      <c r="R324" s="18" t="n"/>
      <c r="S324" s="13">
        <f>IF($P324&lt;&gt;"✓","",IF($R324&lt;&gt;"","Done",IF($Q324="","Open — no date",IF($Q324&lt;TODAY(),"Overdue",IF($Q324-TODAY()&lt;=DueSoon,"Due soon","Scheduled")))))</f>
        <v/>
      </c>
      <c r="T324" s="14">
        <f>IF($W324="","",IFERROR(IF(INDEX(FormData,$W324,f_Consent)&amp;""="","",IF(ISNUMBER(SEARCH("yes",INDEX(FormData,$W324,f_Consent))),"Yes","No")),""))</f>
        <v/>
      </c>
      <c r="U324" s="14" t="n"/>
      <c r="V324" s="13">
        <f>IF($U324="","",IF($W324="","not found","✓"))</f>
        <v/>
      </c>
      <c r="W324">
        <f>IF($U324="","",IFERROR(MATCH($U324,INDEX(FormData,0,f_Id),0),IFERROR(MATCH(--$U324,INDEX(FormData,0,f_Id),0),IFERROR(MATCH($U324&amp;"",INDEX(FormData,0,f_Id),0),""))))</f>
        <v/>
      </c>
      <c r="X324">
        <f>IF(AND($B324&lt;&gt;"",$B324='Event Report'!$C$3),ROW(),"")</f>
        <v/>
      </c>
      <c r="Y324">
        <f>IF(AND($P324="✓",$R324=""),IF($Q324="",90000,$Q324)+ROW()/100000,"")</f>
        <v/>
      </c>
      <c r="Z324">
        <f>IF(OR($U324&lt;&gt;"",$D324&lt;&gt;"",$E324&lt;&gt;"",$N324&lt;&gt;""),1,"")</f>
        <v/>
      </c>
    </row>
    <row r="325">
      <c r="A325" s="13" t="inlineStr">
        <is>
          <t>P-0321</t>
        </is>
      </c>
      <c r="B325" s="14">
        <f>IF(AND($U325="",$C325=""),"",IFERROR(INDEX(EvID,MATCH(INDEX(FormData,$W325,f_Event),EvID,0)),IFERROR(INDEX(EvID,MATCH(INDEX(FormData,$W325,f_Event),EvName,0)),IFERROR(INDEX(EvID,MATCH(INT($C325),EvDate,0)),""))))</f>
        <v/>
      </c>
      <c r="C325" s="15">
        <f>IF($W325="","",INDEX(FormData,$W325,f_Time))</f>
        <v/>
      </c>
      <c r="D325" s="14">
        <f>IF($W325="","",IFERROR(UPPER(LEFT(TRIM(INDEX(FormData,$W325,f_Name)),1)&amp;IFERROR(MID(TRIM(INDEX(FormData,$W325,f_Name)),FIND("^",SUBSTITUTE(TRIM(INDEX(FormData,$W325,f_Name))," ","^",LEN(TRIM(INDEX(FormData,$W325,f_Name)))-LEN(SUBSTITUTE(TRIM(INDEX(FormData,$W325,f_Name))," ",""))))+1,1),"")),""))</f>
        <v/>
      </c>
      <c r="E325" s="16">
        <f>IF($W325="","",IFERROR(IF(SUMPRODUCT(MAX((WhoKW&lt;&gt;"")*ISNUMBER(SEARCH(WhoKW,INDEX(FormData,$W325,f_Who)&amp;""))*(ROW(WhoKW)-MIN(ROW(WhoKW))+1)))=0,"",INDEX(WhoVal,SUMPRODUCT(MAX((WhoKW&lt;&gt;"")*ISNUMBER(SEARCH(WhoKW,INDEX(FormData,$W325,f_Who)&amp;""))*(ROW(WhoKW)-MIN(ROW(WhoKW))+1))))),""))</f>
        <v/>
      </c>
      <c r="F325" s="17">
        <f>IF($W325="","",TRIM(IFERROR(INDEX(FormData,$W325,f_Org1)&amp;"","")&amp;" "&amp;IFERROR(INDEX(FormData,$W325,f_Org2)&amp;"","")))</f>
        <v/>
      </c>
      <c r="G325" s="16">
        <f>IF($W325="","",IFERROR(INDEX(FormData,$W325,f_Region)&amp;"",""))</f>
        <v/>
      </c>
      <c r="H325" s="16">
        <f>IF($W325="","",IFERROR(IF(SUMPRODUCT(MAX((SitKW&lt;&gt;"")*ISNUMBER(SEARCH(SitKW,INDEX(FormData,$W325,f_Sit)&amp;""))*(ROW(SitKW)-MIN(ROW(SitKW))+1)))=0,"",INDEX(SitVal,SUMPRODUCT(MAX((SitKW&lt;&gt;"")*ISNUMBER(SEARCH(SitKW,INDEX(FormData,$W325,f_Sit)&amp;""))*(ROW(SitKW)-MIN(ROW(SitKW))+1))))),""))</f>
        <v/>
      </c>
      <c r="I325" s="14">
        <f>IF($W325="","",IFERROR(INDEX(FormData,$W325,f_Appr)&amp;"",""))</f>
        <v/>
      </c>
      <c r="J325" s="16">
        <f>IF($W325="","",IFERROR(INDEX(FormData,$W325,f_Trade)&amp;"",""))</f>
        <v/>
      </c>
      <c r="K325" s="16" t="n"/>
      <c r="L325" s="17" t="n"/>
      <c r="M325" s="16" t="n"/>
      <c r="N325" s="17" t="n"/>
      <c r="O325" s="14" t="n"/>
      <c r="P325" s="14" t="n"/>
      <c r="Q325" s="18" t="n"/>
      <c r="R325" s="18" t="n"/>
      <c r="S325" s="13">
        <f>IF($P325&lt;&gt;"✓","",IF($R325&lt;&gt;"","Done",IF($Q325="","Open — no date",IF($Q325&lt;TODAY(),"Overdue",IF($Q325-TODAY()&lt;=DueSoon,"Due soon","Scheduled")))))</f>
        <v/>
      </c>
      <c r="T325" s="14">
        <f>IF($W325="","",IFERROR(IF(INDEX(FormData,$W325,f_Consent)&amp;""="","",IF(ISNUMBER(SEARCH("yes",INDEX(FormData,$W325,f_Consent))),"Yes","No")),""))</f>
        <v/>
      </c>
      <c r="U325" s="14" t="n"/>
      <c r="V325" s="13">
        <f>IF($U325="","",IF($W325="","not found","✓"))</f>
        <v/>
      </c>
      <c r="W325">
        <f>IF($U325="","",IFERROR(MATCH($U325,INDEX(FormData,0,f_Id),0),IFERROR(MATCH(--$U325,INDEX(FormData,0,f_Id),0),IFERROR(MATCH($U325&amp;"",INDEX(FormData,0,f_Id),0),""))))</f>
        <v/>
      </c>
      <c r="X325">
        <f>IF(AND($B325&lt;&gt;"",$B325='Event Report'!$C$3),ROW(),"")</f>
        <v/>
      </c>
      <c r="Y325">
        <f>IF(AND($P325="✓",$R325=""),IF($Q325="",90000,$Q325)+ROW()/100000,"")</f>
        <v/>
      </c>
      <c r="Z325">
        <f>IF(OR($U325&lt;&gt;"",$D325&lt;&gt;"",$E325&lt;&gt;"",$N325&lt;&gt;""),1,"")</f>
        <v/>
      </c>
    </row>
    <row r="326">
      <c r="A326" s="13" t="inlineStr">
        <is>
          <t>P-0322</t>
        </is>
      </c>
      <c r="B326" s="14">
        <f>IF(AND($U326="",$C326=""),"",IFERROR(INDEX(EvID,MATCH(INDEX(FormData,$W326,f_Event),EvID,0)),IFERROR(INDEX(EvID,MATCH(INDEX(FormData,$W326,f_Event),EvName,0)),IFERROR(INDEX(EvID,MATCH(INT($C326),EvDate,0)),""))))</f>
        <v/>
      </c>
      <c r="C326" s="15">
        <f>IF($W326="","",INDEX(FormData,$W326,f_Time))</f>
        <v/>
      </c>
      <c r="D326" s="14">
        <f>IF($W326="","",IFERROR(UPPER(LEFT(TRIM(INDEX(FormData,$W326,f_Name)),1)&amp;IFERROR(MID(TRIM(INDEX(FormData,$W326,f_Name)),FIND("^",SUBSTITUTE(TRIM(INDEX(FormData,$W326,f_Name))," ","^",LEN(TRIM(INDEX(FormData,$W326,f_Name)))-LEN(SUBSTITUTE(TRIM(INDEX(FormData,$W326,f_Name))," ",""))))+1,1),"")),""))</f>
        <v/>
      </c>
      <c r="E326" s="16">
        <f>IF($W326="","",IFERROR(IF(SUMPRODUCT(MAX((WhoKW&lt;&gt;"")*ISNUMBER(SEARCH(WhoKW,INDEX(FormData,$W326,f_Who)&amp;""))*(ROW(WhoKW)-MIN(ROW(WhoKW))+1)))=0,"",INDEX(WhoVal,SUMPRODUCT(MAX((WhoKW&lt;&gt;"")*ISNUMBER(SEARCH(WhoKW,INDEX(FormData,$W326,f_Who)&amp;""))*(ROW(WhoKW)-MIN(ROW(WhoKW))+1))))),""))</f>
        <v/>
      </c>
      <c r="F326" s="17">
        <f>IF($W326="","",TRIM(IFERROR(INDEX(FormData,$W326,f_Org1)&amp;"","")&amp;" "&amp;IFERROR(INDEX(FormData,$W326,f_Org2)&amp;"","")))</f>
        <v/>
      </c>
      <c r="G326" s="16">
        <f>IF($W326="","",IFERROR(INDEX(FormData,$W326,f_Region)&amp;"",""))</f>
        <v/>
      </c>
      <c r="H326" s="16">
        <f>IF($W326="","",IFERROR(IF(SUMPRODUCT(MAX((SitKW&lt;&gt;"")*ISNUMBER(SEARCH(SitKW,INDEX(FormData,$W326,f_Sit)&amp;""))*(ROW(SitKW)-MIN(ROW(SitKW))+1)))=0,"",INDEX(SitVal,SUMPRODUCT(MAX((SitKW&lt;&gt;"")*ISNUMBER(SEARCH(SitKW,INDEX(FormData,$W326,f_Sit)&amp;""))*(ROW(SitKW)-MIN(ROW(SitKW))+1))))),""))</f>
        <v/>
      </c>
      <c r="I326" s="14">
        <f>IF($W326="","",IFERROR(INDEX(FormData,$W326,f_Appr)&amp;"",""))</f>
        <v/>
      </c>
      <c r="J326" s="16">
        <f>IF($W326="","",IFERROR(INDEX(FormData,$W326,f_Trade)&amp;"",""))</f>
        <v/>
      </c>
      <c r="K326" s="16" t="n"/>
      <c r="L326" s="17" t="n"/>
      <c r="M326" s="16" t="n"/>
      <c r="N326" s="17" t="n"/>
      <c r="O326" s="14" t="n"/>
      <c r="P326" s="14" t="n"/>
      <c r="Q326" s="18" t="n"/>
      <c r="R326" s="18" t="n"/>
      <c r="S326" s="13">
        <f>IF($P326&lt;&gt;"✓","",IF($R326&lt;&gt;"","Done",IF($Q326="","Open — no date",IF($Q326&lt;TODAY(),"Overdue",IF($Q326-TODAY()&lt;=DueSoon,"Due soon","Scheduled")))))</f>
        <v/>
      </c>
      <c r="T326" s="14">
        <f>IF($W326="","",IFERROR(IF(INDEX(FormData,$W326,f_Consent)&amp;""="","",IF(ISNUMBER(SEARCH("yes",INDEX(FormData,$W326,f_Consent))),"Yes","No")),""))</f>
        <v/>
      </c>
      <c r="U326" s="14" t="n"/>
      <c r="V326" s="13">
        <f>IF($U326="","",IF($W326="","not found","✓"))</f>
        <v/>
      </c>
      <c r="W326">
        <f>IF($U326="","",IFERROR(MATCH($U326,INDEX(FormData,0,f_Id),0),IFERROR(MATCH(--$U326,INDEX(FormData,0,f_Id),0),IFERROR(MATCH($U326&amp;"",INDEX(FormData,0,f_Id),0),""))))</f>
        <v/>
      </c>
      <c r="X326">
        <f>IF(AND($B326&lt;&gt;"",$B326='Event Report'!$C$3),ROW(),"")</f>
        <v/>
      </c>
      <c r="Y326">
        <f>IF(AND($P326="✓",$R326=""),IF($Q326="",90000,$Q326)+ROW()/100000,"")</f>
        <v/>
      </c>
      <c r="Z326">
        <f>IF(OR($U326&lt;&gt;"",$D326&lt;&gt;"",$E326&lt;&gt;"",$N326&lt;&gt;""),1,"")</f>
        <v/>
      </c>
    </row>
    <row r="327">
      <c r="A327" s="13" t="inlineStr">
        <is>
          <t>P-0323</t>
        </is>
      </c>
      <c r="B327" s="14">
        <f>IF(AND($U327="",$C327=""),"",IFERROR(INDEX(EvID,MATCH(INDEX(FormData,$W327,f_Event),EvID,0)),IFERROR(INDEX(EvID,MATCH(INDEX(FormData,$W327,f_Event),EvName,0)),IFERROR(INDEX(EvID,MATCH(INT($C327),EvDate,0)),""))))</f>
        <v/>
      </c>
      <c r="C327" s="15">
        <f>IF($W327="","",INDEX(FormData,$W327,f_Time))</f>
        <v/>
      </c>
      <c r="D327" s="14">
        <f>IF($W327="","",IFERROR(UPPER(LEFT(TRIM(INDEX(FormData,$W327,f_Name)),1)&amp;IFERROR(MID(TRIM(INDEX(FormData,$W327,f_Name)),FIND("^",SUBSTITUTE(TRIM(INDEX(FormData,$W327,f_Name))," ","^",LEN(TRIM(INDEX(FormData,$W327,f_Name)))-LEN(SUBSTITUTE(TRIM(INDEX(FormData,$W327,f_Name))," ",""))))+1,1),"")),""))</f>
        <v/>
      </c>
      <c r="E327" s="16">
        <f>IF($W327="","",IFERROR(IF(SUMPRODUCT(MAX((WhoKW&lt;&gt;"")*ISNUMBER(SEARCH(WhoKW,INDEX(FormData,$W327,f_Who)&amp;""))*(ROW(WhoKW)-MIN(ROW(WhoKW))+1)))=0,"",INDEX(WhoVal,SUMPRODUCT(MAX((WhoKW&lt;&gt;"")*ISNUMBER(SEARCH(WhoKW,INDEX(FormData,$W327,f_Who)&amp;""))*(ROW(WhoKW)-MIN(ROW(WhoKW))+1))))),""))</f>
        <v/>
      </c>
      <c r="F327" s="17">
        <f>IF($W327="","",TRIM(IFERROR(INDEX(FormData,$W327,f_Org1)&amp;"","")&amp;" "&amp;IFERROR(INDEX(FormData,$W327,f_Org2)&amp;"","")))</f>
        <v/>
      </c>
      <c r="G327" s="16">
        <f>IF($W327="","",IFERROR(INDEX(FormData,$W327,f_Region)&amp;"",""))</f>
        <v/>
      </c>
      <c r="H327" s="16">
        <f>IF($W327="","",IFERROR(IF(SUMPRODUCT(MAX((SitKW&lt;&gt;"")*ISNUMBER(SEARCH(SitKW,INDEX(FormData,$W327,f_Sit)&amp;""))*(ROW(SitKW)-MIN(ROW(SitKW))+1)))=0,"",INDEX(SitVal,SUMPRODUCT(MAX((SitKW&lt;&gt;"")*ISNUMBER(SEARCH(SitKW,INDEX(FormData,$W327,f_Sit)&amp;""))*(ROW(SitKW)-MIN(ROW(SitKW))+1))))),""))</f>
        <v/>
      </c>
      <c r="I327" s="14">
        <f>IF($W327="","",IFERROR(INDEX(FormData,$W327,f_Appr)&amp;"",""))</f>
        <v/>
      </c>
      <c r="J327" s="16">
        <f>IF($W327="","",IFERROR(INDEX(FormData,$W327,f_Trade)&amp;"",""))</f>
        <v/>
      </c>
      <c r="K327" s="16" t="n"/>
      <c r="L327" s="17" t="n"/>
      <c r="M327" s="16" t="n"/>
      <c r="N327" s="17" t="n"/>
      <c r="O327" s="14" t="n"/>
      <c r="P327" s="14" t="n"/>
      <c r="Q327" s="18" t="n"/>
      <c r="R327" s="18" t="n"/>
      <c r="S327" s="13">
        <f>IF($P327&lt;&gt;"✓","",IF($R327&lt;&gt;"","Done",IF($Q327="","Open — no date",IF($Q327&lt;TODAY(),"Overdue",IF($Q327-TODAY()&lt;=DueSoon,"Due soon","Scheduled")))))</f>
        <v/>
      </c>
      <c r="T327" s="14">
        <f>IF($W327="","",IFERROR(IF(INDEX(FormData,$W327,f_Consent)&amp;""="","",IF(ISNUMBER(SEARCH("yes",INDEX(FormData,$W327,f_Consent))),"Yes","No")),""))</f>
        <v/>
      </c>
      <c r="U327" s="14" t="n"/>
      <c r="V327" s="13">
        <f>IF($U327="","",IF($W327="","not found","✓"))</f>
        <v/>
      </c>
      <c r="W327">
        <f>IF($U327="","",IFERROR(MATCH($U327,INDEX(FormData,0,f_Id),0),IFERROR(MATCH(--$U327,INDEX(FormData,0,f_Id),0),IFERROR(MATCH($U327&amp;"",INDEX(FormData,0,f_Id),0),""))))</f>
        <v/>
      </c>
      <c r="X327">
        <f>IF(AND($B327&lt;&gt;"",$B327='Event Report'!$C$3),ROW(),"")</f>
        <v/>
      </c>
      <c r="Y327">
        <f>IF(AND($P327="✓",$R327=""),IF($Q327="",90000,$Q327)+ROW()/100000,"")</f>
        <v/>
      </c>
      <c r="Z327">
        <f>IF(OR($U327&lt;&gt;"",$D327&lt;&gt;"",$E327&lt;&gt;"",$N327&lt;&gt;""),1,"")</f>
        <v/>
      </c>
    </row>
    <row r="328">
      <c r="A328" s="13" t="inlineStr">
        <is>
          <t>P-0324</t>
        </is>
      </c>
      <c r="B328" s="14">
        <f>IF(AND($U328="",$C328=""),"",IFERROR(INDEX(EvID,MATCH(INDEX(FormData,$W328,f_Event),EvID,0)),IFERROR(INDEX(EvID,MATCH(INDEX(FormData,$W328,f_Event),EvName,0)),IFERROR(INDEX(EvID,MATCH(INT($C328),EvDate,0)),""))))</f>
        <v/>
      </c>
      <c r="C328" s="15">
        <f>IF($W328="","",INDEX(FormData,$W328,f_Time))</f>
        <v/>
      </c>
      <c r="D328" s="14">
        <f>IF($W328="","",IFERROR(UPPER(LEFT(TRIM(INDEX(FormData,$W328,f_Name)),1)&amp;IFERROR(MID(TRIM(INDEX(FormData,$W328,f_Name)),FIND("^",SUBSTITUTE(TRIM(INDEX(FormData,$W328,f_Name))," ","^",LEN(TRIM(INDEX(FormData,$W328,f_Name)))-LEN(SUBSTITUTE(TRIM(INDEX(FormData,$W328,f_Name))," ",""))))+1,1),"")),""))</f>
        <v/>
      </c>
      <c r="E328" s="16">
        <f>IF($W328="","",IFERROR(IF(SUMPRODUCT(MAX((WhoKW&lt;&gt;"")*ISNUMBER(SEARCH(WhoKW,INDEX(FormData,$W328,f_Who)&amp;""))*(ROW(WhoKW)-MIN(ROW(WhoKW))+1)))=0,"",INDEX(WhoVal,SUMPRODUCT(MAX((WhoKW&lt;&gt;"")*ISNUMBER(SEARCH(WhoKW,INDEX(FormData,$W328,f_Who)&amp;""))*(ROW(WhoKW)-MIN(ROW(WhoKW))+1))))),""))</f>
        <v/>
      </c>
      <c r="F328" s="17">
        <f>IF($W328="","",TRIM(IFERROR(INDEX(FormData,$W328,f_Org1)&amp;"","")&amp;" "&amp;IFERROR(INDEX(FormData,$W328,f_Org2)&amp;"","")))</f>
        <v/>
      </c>
      <c r="G328" s="16">
        <f>IF($W328="","",IFERROR(INDEX(FormData,$W328,f_Region)&amp;"",""))</f>
        <v/>
      </c>
      <c r="H328" s="16">
        <f>IF($W328="","",IFERROR(IF(SUMPRODUCT(MAX((SitKW&lt;&gt;"")*ISNUMBER(SEARCH(SitKW,INDEX(FormData,$W328,f_Sit)&amp;""))*(ROW(SitKW)-MIN(ROW(SitKW))+1)))=0,"",INDEX(SitVal,SUMPRODUCT(MAX((SitKW&lt;&gt;"")*ISNUMBER(SEARCH(SitKW,INDEX(FormData,$W328,f_Sit)&amp;""))*(ROW(SitKW)-MIN(ROW(SitKW))+1))))),""))</f>
        <v/>
      </c>
      <c r="I328" s="14">
        <f>IF($W328="","",IFERROR(INDEX(FormData,$W328,f_Appr)&amp;"",""))</f>
        <v/>
      </c>
      <c r="J328" s="16">
        <f>IF($W328="","",IFERROR(INDEX(FormData,$W328,f_Trade)&amp;"",""))</f>
        <v/>
      </c>
      <c r="K328" s="16" t="n"/>
      <c r="L328" s="17" t="n"/>
      <c r="M328" s="16" t="n"/>
      <c r="N328" s="17" t="n"/>
      <c r="O328" s="14" t="n"/>
      <c r="P328" s="14" t="n"/>
      <c r="Q328" s="18" t="n"/>
      <c r="R328" s="18" t="n"/>
      <c r="S328" s="13">
        <f>IF($P328&lt;&gt;"✓","",IF($R328&lt;&gt;"","Done",IF($Q328="","Open — no date",IF($Q328&lt;TODAY(),"Overdue",IF($Q328-TODAY()&lt;=DueSoon,"Due soon","Scheduled")))))</f>
        <v/>
      </c>
      <c r="T328" s="14">
        <f>IF($W328="","",IFERROR(IF(INDEX(FormData,$W328,f_Consent)&amp;""="","",IF(ISNUMBER(SEARCH("yes",INDEX(FormData,$W328,f_Consent))),"Yes","No")),""))</f>
        <v/>
      </c>
      <c r="U328" s="14" t="n"/>
      <c r="V328" s="13">
        <f>IF($U328="","",IF($W328="","not found","✓"))</f>
        <v/>
      </c>
      <c r="W328">
        <f>IF($U328="","",IFERROR(MATCH($U328,INDEX(FormData,0,f_Id),0),IFERROR(MATCH(--$U328,INDEX(FormData,0,f_Id),0),IFERROR(MATCH($U328&amp;"",INDEX(FormData,0,f_Id),0),""))))</f>
        <v/>
      </c>
      <c r="X328">
        <f>IF(AND($B328&lt;&gt;"",$B328='Event Report'!$C$3),ROW(),"")</f>
        <v/>
      </c>
      <c r="Y328">
        <f>IF(AND($P328="✓",$R328=""),IF($Q328="",90000,$Q328)+ROW()/100000,"")</f>
        <v/>
      </c>
      <c r="Z328">
        <f>IF(OR($U328&lt;&gt;"",$D328&lt;&gt;"",$E328&lt;&gt;"",$N328&lt;&gt;""),1,"")</f>
        <v/>
      </c>
    </row>
    <row r="329">
      <c r="A329" s="13" t="inlineStr">
        <is>
          <t>P-0325</t>
        </is>
      </c>
      <c r="B329" s="14">
        <f>IF(AND($U329="",$C329=""),"",IFERROR(INDEX(EvID,MATCH(INDEX(FormData,$W329,f_Event),EvID,0)),IFERROR(INDEX(EvID,MATCH(INDEX(FormData,$W329,f_Event),EvName,0)),IFERROR(INDEX(EvID,MATCH(INT($C329),EvDate,0)),""))))</f>
        <v/>
      </c>
      <c r="C329" s="15">
        <f>IF($W329="","",INDEX(FormData,$W329,f_Time))</f>
        <v/>
      </c>
      <c r="D329" s="14">
        <f>IF($W329="","",IFERROR(UPPER(LEFT(TRIM(INDEX(FormData,$W329,f_Name)),1)&amp;IFERROR(MID(TRIM(INDEX(FormData,$W329,f_Name)),FIND("^",SUBSTITUTE(TRIM(INDEX(FormData,$W329,f_Name))," ","^",LEN(TRIM(INDEX(FormData,$W329,f_Name)))-LEN(SUBSTITUTE(TRIM(INDEX(FormData,$W329,f_Name))," ",""))))+1,1),"")),""))</f>
        <v/>
      </c>
      <c r="E329" s="16">
        <f>IF($W329="","",IFERROR(IF(SUMPRODUCT(MAX((WhoKW&lt;&gt;"")*ISNUMBER(SEARCH(WhoKW,INDEX(FormData,$W329,f_Who)&amp;""))*(ROW(WhoKW)-MIN(ROW(WhoKW))+1)))=0,"",INDEX(WhoVal,SUMPRODUCT(MAX((WhoKW&lt;&gt;"")*ISNUMBER(SEARCH(WhoKW,INDEX(FormData,$W329,f_Who)&amp;""))*(ROW(WhoKW)-MIN(ROW(WhoKW))+1))))),""))</f>
        <v/>
      </c>
      <c r="F329" s="17">
        <f>IF($W329="","",TRIM(IFERROR(INDEX(FormData,$W329,f_Org1)&amp;"","")&amp;" "&amp;IFERROR(INDEX(FormData,$W329,f_Org2)&amp;"","")))</f>
        <v/>
      </c>
      <c r="G329" s="16">
        <f>IF($W329="","",IFERROR(INDEX(FormData,$W329,f_Region)&amp;"",""))</f>
        <v/>
      </c>
      <c r="H329" s="16">
        <f>IF($W329="","",IFERROR(IF(SUMPRODUCT(MAX((SitKW&lt;&gt;"")*ISNUMBER(SEARCH(SitKW,INDEX(FormData,$W329,f_Sit)&amp;""))*(ROW(SitKW)-MIN(ROW(SitKW))+1)))=0,"",INDEX(SitVal,SUMPRODUCT(MAX((SitKW&lt;&gt;"")*ISNUMBER(SEARCH(SitKW,INDEX(FormData,$W329,f_Sit)&amp;""))*(ROW(SitKW)-MIN(ROW(SitKW))+1))))),""))</f>
        <v/>
      </c>
      <c r="I329" s="14">
        <f>IF($W329="","",IFERROR(INDEX(FormData,$W329,f_Appr)&amp;"",""))</f>
        <v/>
      </c>
      <c r="J329" s="16">
        <f>IF($W329="","",IFERROR(INDEX(FormData,$W329,f_Trade)&amp;"",""))</f>
        <v/>
      </c>
      <c r="K329" s="16" t="n"/>
      <c r="L329" s="17" t="n"/>
      <c r="M329" s="16" t="n"/>
      <c r="N329" s="17" t="n"/>
      <c r="O329" s="14" t="n"/>
      <c r="P329" s="14" t="n"/>
      <c r="Q329" s="18" t="n"/>
      <c r="R329" s="18" t="n"/>
      <c r="S329" s="13">
        <f>IF($P329&lt;&gt;"✓","",IF($R329&lt;&gt;"","Done",IF($Q329="","Open — no date",IF($Q329&lt;TODAY(),"Overdue",IF($Q329-TODAY()&lt;=DueSoon,"Due soon","Scheduled")))))</f>
        <v/>
      </c>
      <c r="T329" s="14">
        <f>IF($W329="","",IFERROR(IF(INDEX(FormData,$W329,f_Consent)&amp;""="","",IF(ISNUMBER(SEARCH("yes",INDEX(FormData,$W329,f_Consent))),"Yes","No")),""))</f>
        <v/>
      </c>
      <c r="U329" s="14" t="n"/>
      <c r="V329" s="13">
        <f>IF($U329="","",IF($W329="","not found","✓"))</f>
        <v/>
      </c>
      <c r="W329">
        <f>IF($U329="","",IFERROR(MATCH($U329,INDEX(FormData,0,f_Id),0),IFERROR(MATCH(--$U329,INDEX(FormData,0,f_Id),0),IFERROR(MATCH($U329&amp;"",INDEX(FormData,0,f_Id),0),""))))</f>
        <v/>
      </c>
      <c r="X329">
        <f>IF(AND($B329&lt;&gt;"",$B329='Event Report'!$C$3),ROW(),"")</f>
        <v/>
      </c>
      <c r="Y329">
        <f>IF(AND($P329="✓",$R329=""),IF($Q329="",90000,$Q329)+ROW()/100000,"")</f>
        <v/>
      </c>
      <c r="Z329">
        <f>IF(OR($U329&lt;&gt;"",$D329&lt;&gt;"",$E329&lt;&gt;"",$N329&lt;&gt;""),1,"")</f>
        <v/>
      </c>
    </row>
    <row r="330">
      <c r="A330" s="13" t="inlineStr">
        <is>
          <t>P-0326</t>
        </is>
      </c>
      <c r="B330" s="14">
        <f>IF(AND($U330="",$C330=""),"",IFERROR(INDEX(EvID,MATCH(INDEX(FormData,$W330,f_Event),EvID,0)),IFERROR(INDEX(EvID,MATCH(INDEX(FormData,$W330,f_Event),EvName,0)),IFERROR(INDEX(EvID,MATCH(INT($C330),EvDate,0)),""))))</f>
        <v/>
      </c>
      <c r="C330" s="15">
        <f>IF($W330="","",INDEX(FormData,$W330,f_Time))</f>
        <v/>
      </c>
      <c r="D330" s="14">
        <f>IF($W330="","",IFERROR(UPPER(LEFT(TRIM(INDEX(FormData,$W330,f_Name)),1)&amp;IFERROR(MID(TRIM(INDEX(FormData,$W330,f_Name)),FIND("^",SUBSTITUTE(TRIM(INDEX(FormData,$W330,f_Name))," ","^",LEN(TRIM(INDEX(FormData,$W330,f_Name)))-LEN(SUBSTITUTE(TRIM(INDEX(FormData,$W330,f_Name))," ",""))))+1,1),"")),""))</f>
        <v/>
      </c>
      <c r="E330" s="16">
        <f>IF($W330="","",IFERROR(IF(SUMPRODUCT(MAX((WhoKW&lt;&gt;"")*ISNUMBER(SEARCH(WhoKW,INDEX(FormData,$W330,f_Who)&amp;""))*(ROW(WhoKW)-MIN(ROW(WhoKW))+1)))=0,"",INDEX(WhoVal,SUMPRODUCT(MAX((WhoKW&lt;&gt;"")*ISNUMBER(SEARCH(WhoKW,INDEX(FormData,$W330,f_Who)&amp;""))*(ROW(WhoKW)-MIN(ROW(WhoKW))+1))))),""))</f>
        <v/>
      </c>
      <c r="F330" s="17">
        <f>IF($W330="","",TRIM(IFERROR(INDEX(FormData,$W330,f_Org1)&amp;"","")&amp;" "&amp;IFERROR(INDEX(FormData,$W330,f_Org2)&amp;"","")))</f>
        <v/>
      </c>
      <c r="G330" s="16">
        <f>IF($W330="","",IFERROR(INDEX(FormData,$W330,f_Region)&amp;"",""))</f>
        <v/>
      </c>
      <c r="H330" s="16">
        <f>IF($W330="","",IFERROR(IF(SUMPRODUCT(MAX((SitKW&lt;&gt;"")*ISNUMBER(SEARCH(SitKW,INDEX(FormData,$W330,f_Sit)&amp;""))*(ROW(SitKW)-MIN(ROW(SitKW))+1)))=0,"",INDEX(SitVal,SUMPRODUCT(MAX((SitKW&lt;&gt;"")*ISNUMBER(SEARCH(SitKW,INDEX(FormData,$W330,f_Sit)&amp;""))*(ROW(SitKW)-MIN(ROW(SitKW))+1))))),""))</f>
        <v/>
      </c>
      <c r="I330" s="14">
        <f>IF($W330="","",IFERROR(INDEX(FormData,$W330,f_Appr)&amp;"",""))</f>
        <v/>
      </c>
      <c r="J330" s="16">
        <f>IF($W330="","",IFERROR(INDEX(FormData,$W330,f_Trade)&amp;"",""))</f>
        <v/>
      </c>
      <c r="K330" s="16" t="n"/>
      <c r="L330" s="17" t="n"/>
      <c r="M330" s="16" t="n"/>
      <c r="N330" s="17" t="n"/>
      <c r="O330" s="14" t="n"/>
      <c r="P330" s="14" t="n"/>
      <c r="Q330" s="18" t="n"/>
      <c r="R330" s="18" t="n"/>
      <c r="S330" s="13">
        <f>IF($P330&lt;&gt;"✓","",IF($R330&lt;&gt;"","Done",IF($Q330="","Open — no date",IF($Q330&lt;TODAY(),"Overdue",IF($Q330-TODAY()&lt;=DueSoon,"Due soon","Scheduled")))))</f>
        <v/>
      </c>
      <c r="T330" s="14">
        <f>IF($W330="","",IFERROR(IF(INDEX(FormData,$W330,f_Consent)&amp;""="","",IF(ISNUMBER(SEARCH("yes",INDEX(FormData,$W330,f_Consent))),"Yes","No")),""))</f>
        <v/>
      </c>
      <c r="U330" s="14" t="n"/>
      <c r="V330" s="13">
        <f>IF($U330="","",IF($W330="","not found","✓"))</f>
        <v/>
      </c>
      <c r="W330">
        <f>IF($U330="","",IFERROR(MATCH($U330,INDEX(FormData,0,f_Id),0),IFERROR(MATCH(--$U330,INDEX(FormData,0,f_Id),0),IFERROR(MATCH($U330&amp;"",INDEX(FormData,0,f_Id),0),""))))</f>
        <v/>
      </c>
      <c r="X330">
        <f>IF(AND($B330&lt;&gt;"",$B330='Event Report'!$C$3),ROW(),"")</f>
        <v/>
      </c>
      <c r="Y330">
        <f>IF(AND($P330="✓",$R330=""),IF($Q330="",90000,$Q330)+ROW()/100000,"")</f>
        <v/>
      </c>
      <c r="Z330">
        <f>IF(OR($U330&lt;&gt;"",$D330&lt;&gt;"",$E330&lt;&gt;"",$N330&lt;&gt;""),1,"")</f>
        <v/>
      </c>
    </row>
    <row r="331">
      <c r="A331" s="13" t="inlineStr">
        <is>
          <t>P-0327</t>
        </is>
      </c>
      <c r="B331" s="14">
        <f>IF(AND($U331="",$C331=""),"",IFERROR(INDEX(EvID,MATCH(INDEX(FormData,$W331,f_Event),EvID,0)),IFERROR(INDEX(EvID,MATCH(INDEX(FormData,$W331,f_Event),EvName,0)),IFERROR(INDEX(EvID,MATCH(INT($C331),EvDate,0)),""))))</f>
        <v/>
      </c>
      <c r="C331" s="15">
        <f>IF($W331="","",INDEX(FormData,$W331,f_Time))</f>
        <v/>
      </c>
      <c r="D331" s="14">
        <f>IF($W331="","",IFERROR(UPPER(LEFT(TRIM(INDEX(FormData,$W331,f_Name)),1)&amp;IFERROR(MID(TRIM(INDEX(FormData,$W331,f_Name)),FIND("^",SUBSTITUTE(TRIM(INDEX(FormData,$W331,f_Name))," ","^",LEN(TRIM(INDEX(FormData,$W331,f_Name)))-LEN(SUBSTITUTE(TRIM(INDEX(FormData,$W331,f_Name))," ",""))))+1,1),"")),""))</f>
        <v/>
      </c>
      <c r="E331" s="16">
        <f>IF($W331="","",IFERROR(IF(SUMPRODUCT(MAX((WhoKW&lt;&gt;"")*ISNUMBER(SEARCH(WhoKW,INDEX(FormData,$W331,f_Who)&amp;""))*(ROW(WhoKW)-MIN(ROW(WhoKW))+1)))=0,"",INDEX(WhoVal,SUMPRODUCT(MAX((WhoKW&lt;&gt;"")*ISNUMBER(SEARCH(WhoKW,INDEX(FormData,$W331,f_Who)&amp;""))*(ROW(WhoKW)-MIN(ROW(WhoKW))+1))))),""))</f>
        <v/>
      </c>
      <c r="F331" s="17">
        <f>IF($W331="","",TRIM(IFERROR(INDEX(FormData,$W331,f_Org1)&amp;"","")&amp;" "&amp;IFERROR(INDEX(FormData,$W331,f_Org2)&amp;"","")))</f>
        <v/>
      </c>
      <c r="G331" s="16">
        <f>IF($W331="","",IFERROR(INDEX(FormData,$W331,f_Region)&amp;"",""))</f>
        <v/>
      </c>
      <c r="H331" s="16">
        <f>IF($W331="","",IFERROR(IF(SUMPRODUCT(MAX((SitKW&lt;&gt;"")*ISNUMBER(SEARCH(SitKW,INDEX(FormData,$W331,f_Sit)&amp;""))*(ROW(SitKW)-MIN(ROW(SitKW))+1)))=0,"",INDEX(SitVal,SUMPRODUCT(MAX((SitKW&lt;&gt;"")*ISNUMBER(SEARCH(SitKW,INDEX(FormData,$W331,f_Sit)&amp;""))*(ROW(SitKW)-MIN(ROW(SitKW))+1))))),""))</f>
        <v/>
      </c>
      <c r="I331" s="14">
        <f>IF($W331="","",IFERROR(INDEX(FormData,$W331,f_Appr)&amp;"",""))</f>
        <v/>
      </c>
      <c r="J331" s="16">
        <f>IF($W331="","",IFERROR(INDEX(FormData,$W331,f_Trade)&amp;"",""))</f>
        <v/>
      </c>
      <c r="K331" s="16" t="n"/>
      <c r="L331" s="17" t="n"/>
      <c r="M331" s="16" t="n"/>
      <c r="N331" s="17" t="n"/>
      <c r="O331" s="14" t="n"/>
      <c r="P331" s="14" t="n"/>
      <c r="Q331" s="18" t="n"/>
      <c r="R331" s="18" t="n"/>
      <c r="S331" s="13">
        <f>IF($P331&lt;&gt;"✓","",IF($R331&lt;&gt;"","Done",IF($Q331="","Open — no date",IF($Q331&lt;TODAY(),"Overdue",IF($Q331-TODAY()&lt;=DueSoon,"Due soon","Scheduled")))))</f>
        <v/>
      </c>
      <c r="T331" s="14">
        <f>IF($W331="","",IFERROR(IF(INDEX(FormData,$W331,f_Consent)&amp;""="","",IF(ISNUMBER(SEARCH("yes",INDEX(FormData,$W331,f_Consent))),"Yes","No")),""))</f>
        <v/>
      </c>
      <c r="U331" s="14" t="n"/>
      <c r="V331" s="13">
        <f>IF($U331="","",IF($W331="","not found","✓"))</f>
        <v/>
      </c>
      <c r="W331">
        <f>IF($U331="","",IFERROR(MATCH($U331,INDEX(FormData,0,f_Id),0),IFERROR(MATCH(--$U331,INDEX(FormData,0,f_Id),0),IFERROR(MATCH($U331&amp;"",INDEX(FormData,0,f_Id),0),""))))</f>
        <v/>
      </c>
      <c r="X331">
        <f>IF(AND($B331&lt;&gt;"",$B331='Event Report'!$C$3),ROW(),"")</f>
        <v/>
      </c>
      <c r="Y331">
        <f>IF(AND($P331="✓",$R331=""),IF($Q331="",90000,$Q331)+ROW()/100000,"")</f>
        <v/>
      </c>
      <c r="Z331">
        <f>IF(OR($U331&lt;&gt;"",$D331&lt;&gt;"",$E331&lt;&gt;"",$N331&lt;&gt;""),1,"")</f>
        <v/>
      </c>
    </row>
    <row r="332">
      <c r="A332" s="13" t="inlineStr">
        <is>
          <t>P-0328</t>
        </is>
      </c>
      <c r="B332" s="14">
        <f>IF(AND($U332="",$C332=""),"",IFERROR(INDEX(EvID,MATCH(INDEX(FormData,$W332,f_Event),EvID,0)),IFERROR(INDEX(EvID,MATCH(INDEX(FormData,$W332,f_Event),EvName,0)),IFERROR(INDEX(EvID,MATCH(INT($C332),EvDate,0)),""))))</f>
        <v/>
      </c>
      <c r="C332" s="15">
        <f>IF($W332="","",INDEX(FormData,$W332,f_Time))</f>
        <v/>
      </c>
      <c r="D332" s="14">
        <f>IF($W332="","",IFERROR(UPPER(LEFT(TRIM(INDEX(FormData,$W332,f_Name)),1)&amp;IFERROR(MID(TRIM(INDEX(FormData,$W332,f_Name)),FIND("^",SUBSTITUTE(TRIM(INDEX(FormData,$W332,f_Name))," ","^",LEN(TRIM(INDEX(FormData,$W332,f_Name)))-LEN(SUBSTITUTE(TRIM(INDEX(FormData,$W332,f_Name))," ",""))))+1,1),"")),""))</f>
        <v/>
      </c>
      <c r="E332" s="16">
        <f>IF($W332="","",IFERROR(IF(SUMPRODUCT(MAX((WhoKW&lt;&gt;"")*ISNUMBER(SEARCH(WhoKW,INDEX(FormData,$W332,f_Who)&amp;""))*(ROW(WhoKW)-MIN(ROW(WhoKW))+1)))=0,"",INDEX(WhoVal,SUMPRODUCT(MAX((WhoKW&lt;&gt;"")*ISNUMBER(SEARCH(WhoKW,INDEX(FormData,$W332,f_Who)&amp;""))*(ROW(WhoKW)-MIN(ROW(WhoKW))+1))))),""))</f>
        <v/>
      </c>
      <c r="F332" s="17">
        <f>IF($W332="","",TRIM(IFERROR(INDEX(FormData,$W332,f_Org1)&amp;"","")&amp;" "&amp;IFERROR(INDEX(FormData,$W332,f_Org2)&amp;"","")))</f>
        <v/>
      </c>
      <c r="G332" s="16">
        <f>IF($W332="","",IFERROR(INDEX(FormData,$W332,f_Region)&amp;"",""))</f>
        <v/>
      </c>
      <c r="H332" s="16">
        <f>IF($W332="","",IFERROR(IF(SUMPRODUCT(MAX((SitKW&lt;&gt;"")*ISNUMBER(SEARCH(SitKW,INDEX(FormData,$W332,f_Sit)&amp;""))*(ROW(SitKW)-MIN(ROW(SitKW))+1)))=0,"",INDEX(SitVal,SUMPRODUCT(MAX((SitKW&lt;&gt;"")*ISNUMBER(SEARCH(SitKW,INDEX(FormData,$W332,f_Sit)&amp;""))*(ROW(SitKW)-MIN(ROW(SitKW))+1))))),""))</f>
        <v/>
      </c>
      <c r="I332" s="14">
        <f>IF($W332="","",IFERROR(INDEX(FormData,$W332,f_Appr)&amp;"",""))</f>
        <v/>
      </c>
      <c r="J332" s="16">
        <f>IF($W332="","",IFERROR(INDEX(FormData,$W332,f_Trade)&amp;"",""))</f>
        <v/>
      </c>
      <c r="K332" s="16" t="n"/>
      <c r="L332" s="17" t="n"/>
      <c r="M332" s="16" t="n"/>
      <c r="N332" s="17" t="n"/>
      <c r="O332" s="14" t="n"/>
      <c r="P332" s="14" t="n"/>
      <c r="Q332" s="18" t="n"/>
      <c r="R332" s="18" t="n"/>
      <c r="S332" s="13">
        <f>IF($P332&lt;&gt;"✓","",IF($R332&lt;&gt;"","Done",IF($Q332="","Open — no date",IF($Q332&lt;TODAY(),"Overdue",IF($Q332-TODAY()&lt;=DueSoon,"Due soon","Scheduled")))))</f>
        <v/>
      </c>
      <c r="T332" s="14">
        <f>IF($W332="","",IFERROR(IF(INDEX(FormData,$W332,f_Consent)&amp;""="","",IF(ISNUMBER(SEARCH("yes",INDEX(FormData,$W332,f_Consent))),"Yes","No")),""))</f>
        <v/>
      </c>
      <c r="U332" s="14" t="n"/>
      <c r="V332" s="13">
        <f>IF($U332="","",IF($W332="","not found","✓"))</f>
        <v/>
      </c>
      <c r="W332">
        <f>IF($U332="","",IFERROR(MATCH($U332,INDEX(FormData,0,f_Id),0),IFERROR(MATCH(--$U332,INDEX(FormData,0,f_Id),0),IFERROR(MATCH($U332&amp;"",INDEX(FormData,0,f_Id),0),""))))</f>
        <v/>
      </c>
      <c r="X332">
        <f>IF(AND($B332&lt;&gt;"",$B332='Event Report'!$C$3),ROW(),"")</f>
        <v/>
      </c>
      <c r="Y332">
        <f>IF(AND($P332="✓",$R332=""),IF($Q332="",90000,$Q332)+ROW()/100000,"")</f>
        <v/>
      </c>
      <c r="Z332">
        <f>IF(OR($U332&lt;&gt;"",$D332&lt;&gt;"",$E332&lt;&gt;"",$N332&lt;&gt;""),1,"")</f>
        <v/>
      </c>
    </row>
    <row r="333">
      <c r="A333" s="13" t="inlineStr">
        <is>
          <t>P-0329</t>
        </is>
      </c>
      <c r="B333" s="14">
        <f>IF(AND($U333="",$C333=""),"",IFERROR(INDEX(EvID,MATCH(INDEX(FormData,$W333,f_Event),EvID,0)),IFERROR(INDEX(EvID,MATCH(INDEX(FormData,$W333,f_Event),EvName,0)),IFERROR(INDEX(EvID,MATCH(INT($C333),EvDate,0)),""))))</f>
        <v/>
      </c>
      <c r="C333" s="15">
        <f>IF($W333="","",INDEX(FormData,$W333,f_Time))</f>
        <v/>
      </c>
      <c r="D333" s="14">
        <f>IF($W333="","",IFERROR(UPPER(LEFT(TRIM(INDEX(FormData,$W333,f_Name)),1)&amp;IFERROR(MID(TRIM(INDEX(FormData,$W333,f_Name)),FIND("^",SUBSTITUTE(TRIM(INDEX(FormData,$W333,f_Name))," ","^",LEN(TRIM(INDEX(FormData,$W333,f_Name)))-LEN(SUBSTITUTE(TRIM(INDEX(FormData,$W333,f_Name))," ",""))))+1,1),"")),""))</f>
        <v/>
      </c>
      <c r="E333" s="16">
        <f>IF($W333="","",IFERROR(IF(SUMPRODUCT(MAX((WhoKW&lt;&gt;"")*ISNUMBER(SEARCH(WhoKW,INDEX(FormData,$W333,f_Who)&amp;""))*(ROW(WhoKW)-MIN(ROW(WhoKW))+1)))=0,"",INDEX(WhoVal,SUMPRODUCT(MAX((WhoKW&lt;&gt;"")*ISNUMBER(SEARCH(WhoKW,INDEX(FormData,$W333,f_Who)&amp;""))*(ROW(WhoKW)-MIN(ROW(WhoKW))+1))))),""))</f>
        <v/>
      </c>
      <c r="F333" s="17">
        <f>IF($W333="","",TRIM(IFERROR(INDEX(FormData,$W333,f_Org1)&amp;"","")&amp;" "&amp;IFERROR(INDEX(FormData,$W333,f_Org2)&amp;"","")))</f>
        <v/>
      </c>
      <c r="G333" s="16">
        <f>IF($W333="","",IFERROR(INDEX(FormData,$W333,f_Region)&amp;"",""))</f>
        <v/>
      </c>
      <c r="H333" s="16">
        <f>IF($W333="","",IFERROR(IF(SUMPRODUCT(MAX((SitKW&lt;&gt;"")*ISNUMBER(SEARCH(SitKW,INDEX(FormData,$W333,f_Sit)&amp;""))*(ROW(SitKW)-MIN(ROW(SitKW))+1)))=0,"",INDEX(SitVal,SUMPRODUCT(MAX((SitKW&lt;&gt;"")*ISNUMBER(SEARCH(SitKW,INDEX(FormData,$W333,f_Sit)&amp;""))*(ROW(SitKW)-MIN(ROW(SitKW))+1))))),""))</f>
        <v/>
      </c>
      <c r="I333" s="14">
        <f>IF($W333="","",IFERROR(INDEX(FormData,$W333,f_Appr)&amp;"",""))</f>
        <v/>
      </c>
      <c r="J333" s="16">
        <f>IF($W333="","",IFERROR(INDEX(FormData,$W333,f_Trade)&amp;"",""))</f>
        <v/>
      </c>
      <c r="K333" s="16" t="n"/>
      <c r="L333" s="17" t="n"/>
      <c r="M333" s="16" t="n"/>
      <c r="N333" s="17" t="n"/>
      <c r="O333" s="14" t="n"/>
      <c r="P333" s="14" t="n"/>
      <c r="Q333" s="18" t="n"/>
      <c r="R333" s="18" t="n"/>
      <c r="S333" s="13">
        <f>IF($P333&lt;&gt;"✓","",IF($R333&lt;&gt;"","Done",IF($Q333="","Open — no date",IF($Q333&lt;TODAY(),"Overdue",IF($Q333-TODAY()&lt;=DueSoon,"Due soon","Scheduled")))))</f>
        <v/>
      </c>
      <c r="T333" s="14">
        <f>IF($W333="","",IFERROR(IF(INDEX(FormData,$W333,f_Consent)&amp;""="","",IF(ISNUMBER(SEARCH("yes",INDEX(FormData,$W333,f_Consent))),"Yes","No")),""))</f>
        <v/>
      </c>
      <c r="U333" s="14" t="n"/>
      <c r="V333" s="13">
        <f>IF($U333="","",IF($W333="","not found","✓"))</f>
        <v/>
      </c>
      <c r="W333">
        <f>IF($U333="","",IFERROR(MATCH($U333,INDEX(FormData,0,f_Id),0),IFERROR(MATCH(--$U333,INDEX(FormData,0,f_Id),0),IFERROR(MATCH($U333&amp;"",INDEX(FormData,0,f_Id),0),""))))</f>
        <v/>
      </c>
      <c r="X333">
        <f>IF(AND($B333&lt;&gt;"",$B333='Event Report'!$C$3),ROW(),"")</f>
        <v/>
      </c>
      <c r="Y333">
        <f>IF(AND($P333="✓",$R333=""),IF($Q333="",90000,$Q333)+ROW()/100000,"")</f>
        <v/>
      </c>
      <c r="Z333">
        <f>IF(OR($U333&lt;&gt;"",$D333&lt;&gt;"",$E333&lt;&gt;"",$N333&lt;&gt;""),1,"")</f>
        <v/>
      </c>
    </row>
    <row r="334">
      <c r="A334" s="13" t="inlineStr">
        <is>
          <t>P-0330</t>
        </is>
      </c>
      <c r="B334" s="14">
        <f>IF(AND($U334="",$C334=""),"",IFERROR(INDEX(EvID,MATCH(INDEX(FormData,$W334,f_Event),EvID,0)),IFERROR(INDEX(EvID,MATCH(INDEX(FormData,$W334,f_Event),EvName,0)),IFERROR(INDEX(EvID,MATCH(INT($C334),EvDate,0)),""))))</f>
        <v/>
      </c>
      <c r="C334" s="15">
        <f>IF($W334="","",INDEX(FormData,$W334,f_Time))</f>
        <v/>
      </c>
      <c r="D334" s="14">
        <f>IF($W334="","",IFERROR(UPPER(LEFT(TRIM(INDEX(FormData,$W334,f_Name)),1)&amp;IFERROR(MID(TRIM(INDEX(FormData,$W334,f_Name)),FIND("^",SUBSTITUTE(TRIM(INDEX(FormData,$W334,f_Name))," ","^",LEN(TRIM(INDEX(FormData,$W334,f_Name)))-LEN(SUBSTITUTE(TRIM(INDEX(FormData,$W334,f_Name))," ",""))))+1,1),"")),""))</f>
        <v/>
      </c>
      <c r="E334" s="16">
        <f>IF($W334="","",IFERROR(IF(SUMPRODUCT(MAX((WhoKW&lt;&gt;"")*ISNUMBER(SEARCH(WhoKW,INDEX(FormData,$W334,f_Who)&amp;""))*(ROW(WhoKW)-MIN(ROW(WhoKW))+1)))=0,"",INDEX(WhoVal,SUMPRODUCT(MAX((WhoKW&lt;&gt;"")*ISNUMBER(SEARCH(WhoKW,INDEX(FormData,$W334,f_Who)&amp;""))*(ROW(WhoKW)-MIN(ROW(WhoKW))+1))))),""))</f>
        <v/>
      </c>
      <c r="F334" s="17">
        <f>IF($W334="","",TRIM(IFERROR(INDEX(FormData,$W334,f_Org1)&amp;"","")&amp;" "&amp;IFERROR(INDEX(FormData,$W334,f_Org2)&amp;"","")))</f>
        <v/>
      </c>
      <c r="G334" s="16">
        <f>IF($W334="","",IFERROR(INDEX(FormData,$W334,f_Region)&amp;"",""))</f>
        <v/>
      </c>
      <c r="H334" s="16">
        <f>IF($W334="","",IFERROR(IF(SUMPRODUCT(MAX((SitKW&lt;&gt;"")*ISNUMBER(SEARCH(SitKW,INDEX(FormData,$W334,f_Sit)&amp;""))*(ROW(SitKW)-MIN(ROW(SitKW))+1)))=0,"",INDEX(SitVal,SUMPRODUCT(MAX((SitKW&lt;&gt;"")*ISNUMBER(SEARCH(SitKW,INDEX(FormData,$W334,f_Sit)&amp;""))*(ROW(SitKW)-MIN(ROW(SitKW))+1))))),""))</f>
        <v/>
      </c>
      <c r="I334" s="14">
        <f>IF($W334="","",IFERROR(INDEX(FormData,$W334,f_Appr)&amp;"",""))</f>
        <v/>
      </c>
      <c r="J334" s="16">
        <f>IF($W334="","",IFERROR(INDEX(FormData,$W334,f_Trade)&amp;"",""))</f>
        <v/>
      </c>
      <c r="K334" s="16" t="n"/>
      <c r="L334" s="17" t="n"/>
      <c r="M334" s="16" t="n"/>
      <c r="N334" s="17" t="n"/>
      <c r="O334" s="14" t="n"/>
      <c r="P334" s="14" t="n"/>
      <c r="Q334" s="18" t="n"/>
      <c r="R334" s="18" t="n"/>
      <c r="S334" s="13">
        <f>IF($P334&lt;&gt;"✓","",IF($R334&lt;&gt;"","Done",IF($Q334="","Open — no date",IF($Q334&lt;TODAY(),"Overdue",IF($Q334-TODAY()&lt;=DueSoon,"Due soon","Scheduled")))))</f>
        <v/>
      </c>
      <c r="T334" s="14">
        <f>IF($W334="","",IFERROR(IF(INDEX(FormData,$W334,f_Consent)&amp;""="","",IF(ISNUMBER(SEARCH("yes",INDEX(FormData,$W334,f_Consent))),"Yes","No")),""))</f>
        <v/>
      </c>
      <c r="U334" s="14" t="n"/>
      <c r="V334" s="13">
        <f>IF($U334="","",IF($W334="","not found","✓"))</f>
        <v/>
      </c>
      <c r="W334">
        <f>IF($U334="","",IFERROR(MATCH($U334,INDEX(FormData,0,f_Id),0),IFERROR(MATCH(--$U334,INDEX(FormData,0,f_Id),0),IFERROR(MATCH($U334&amp;"",INDEX(FormData,0,f_Id),0),""))))</f>
        <v/>
      </c>
      <c r="X334">
        <f>IF(AND($B334&lt;&gt;"",$B334='Event Report'!$C$3),ROW(),"")</f>
        <v/>
      </c>
      <c r="Y334">
        <f>IF(AND($P334="✓",$R334=""),IF($Q334="",90000,$Q334)+ROW()/100000,"")</f>
        <v/>
      </c>
      <c r="Z334">
        <f>IF(OR($U334&lt;&gt;"",$D334&lt;&gt;"",$E334&lt;&gt;"",$N334&lt;&gt;""),1,"")</f>
        <v/>
      </c>
    </row>
    <row r="335">
      <c r="A335" s="13" t="inlineStr">
        <is>
          <t>P-0331</t>
        </is>
      </c>
      <c r="B335" s="14">
        <f>IF(AND($U335="",$C335=""),"",IFERROR(INDEX(EvID,MATCH(INDEX(FormData,$W335,f_Event),EvID,0)),IFERROR(INDEX(EvID,MATCH(INDEX(FormData,$W335,f_Event),EvName,0)),IFERROR(INDEX(EvID,MATCH(INT($C335),EvDate,0)),""))))</f>
        <v/>
      </c>
      <c r="C335" s="15">
        <f>IF($W335="","",INDEX(FormData,$W335,f_Time))</f>
        <v/>
      </c>
      <c r="D335" s="14">
        <f>IF($W335="","",IFERROR(UPPER(LEFT(TRIM(INDEX(FormData,$W335,f_Name)),1)&amp;IFERROR(MID(TRIM(INDEX(FormData,$W335,f_Name)),FIND("^",SUBSTITUTE(TRIM(INDEX(FormData,$W335,f_Name))," ","^",LEN(TRIM(INDEX(FormData,$W335,f_Name)))-LEN(SUBSTITUTE(TRIM(INDEX(FormData,$W335,f_Name))," ",""))))+1,1),"")),""))</f>
        <v/>
      </c>
      <c r="E335" s="16">
        <f>IF($W335="","",IFERROR(IF(SUMPRODUCT(MAX((WhoKW&lt;&gt;"")*ISNUMBER(SEARCH(WhoKW,INDEX(FormData,$W335,f_Who)&amp;""))*(ROW(WhoKW)-MIN(ROW(WhoKW))+1)))=0,"",INDEX(WhoVal,SUMPRODUCT(MAX((WhoKW&lt;&gt;"")*ISNUMBER(SEARCH(WhoKW,INDEX(FormData,$W335,f_Who)&amp;""))*(ROW(WhoKW)-MIN(ROW(WhoKW))+1))))),""))</f>
        <v/>
      </c>
      <c r="F335" s="17">
        <f>IF($W335="","",TRIM(IFERROR(INDEX(FormData,$W335,f_Org1)&amp;"","")&amp;" "&amp;IFERROR(INDEX(FormData,$W335,f_Org2)&amp;"","")))</f>
        <v/>
      </c>
      <c r="G335" s="16">
        <f>IF($W335="","",IFERROR(INDEX(FormData,$W335,f_Region)&amp;"",""))</f>
        <v/>
      </c>
      <c r="H335" s="16">
        <f>IF($W335="","",IFERROR(IF(SUMPRODUCT(MAX((SitKW&lt;&gt;"")*ISNUMBER(SEARCH(SitKW,INDEX(FormData,$W335,f_Sit)&amp;""))*(ROW(SitKW)-MIN(ROW(SitKW))+1)))=0,"",INDEX(SitVal,SUMPRODUCT(MAX((SitKW&lt;&gt;"")*ISNUMBER(SEARCH(SitKW,INDEX(FormData,$W335,f_Sit)&amp;""))*(ROW(SitKW)-MIN(ROW(SitKW))+1))))),""))</f>
        <v/>
      </c>
      <c r="I335" s="14">
        <f>IF($W335="","",IFERROR(INDEX(FormData,$W335,f_Appr)&amp;"",""))</f>
        <v/>
      </c>
      <c r="J335" s="16">
        <f>IF($W335="","",IFERROR(INDEX(FormData,$W335,f_Trade)&amp;"",""))</f>
        <v/>
      </c>
      <c r="K335" s="16" t="n"/>
      <c r="L335" s="17" t="n"/>
      <c r="M335" s="16" t="n"/>
      <c r="N335" s="17" t="n"/>
      <c r="O335" s="14" t="n"/>
      <c r="P335" s="14" t="n"/>
      <c r="Q335" s="18" t="n"/>
      <c r="R335" s="18" t="n"/>
      <c r="S335" s="13">
        <f>IF($P335&lt;&gt;"✓","",IF($R335&lt;&gt;"","Done",IF($Q335="","Open — no date",IF($Q335&lt;TODAY(),"Overdue",IF($Q335-TODAY()&lt;=DueSoon,"Due soon","Scheduled")))))</f>
        <v/>
      </c>
      <c r="T335" s="14">
        <f>IF($W335="","",IFERROR(IF(INDEX(FormData,$W335,f_Consent)&amp;""="","",IF(ISNUMBER(SEARCH("yes",INDEX(FormData,$W335,f_Consent))),"Yes","No")),""))</f>
        <v/>
      </c>
      <c r="U335" s="14" t="n"/>
      <c r="V335" s="13">
        <f>IF($U335="","",IF($W335="","not found","✓"))</f>
        <v/>
      </c>
      <c r="W335">
        <f>IF($U335="","",IFERROR(MATCH($U335,INDEX(FormData,0,f_Id),0),IFERROR(MATCH(--$U335,INDEX(FormData,0,f_Id),0),IFERROR(MATCH($U335&amp;"",INDEX(FormData,0,f_Id),0),""))))</f>
        <v/>
      </c>
      <c r="X335">
        <f>IF(AND($B335&lt;&gt;"",$B335='Event Report'!$C$3),ROW(),"")</f>
        <v/>
      </c>
      <c r="Y335">
        <f>IF(AND($P335="✓",$R335=""),IF($Q335="",90000,$Q335)+ROW()/100000,"")</f>
        <v/>
      </c>
      <c r="Z335">
        <f>IF(OR($U335&lt;&gt;"",$D335&lt;&gt;"",$E335&lt;&gt;"",$N335&lt;&gt;""),1,"")</f>
        <v/>
      </c>
    </row>
    <row r="336">
      <c r="A336" s="13" t="inlineStr">
        <is>
          <t>P-0332</t>
        </is>
      </c>
      <c r="B336" s="14">
        <f>IF(AND($U336="",$C336=""),"",IFERROR(INDEX(EvID,MATCH(INDEX(FormData,$W336,f_Event),EvID,0)),IFERROR(INDEX(EvID,MATCH(INDEX(FormData,$W336,f_Event),EvName,0)),IFERROR(INDEX(EvID,MATCH(INT($C336),EvDate,0)),""))))</f>
        <v/>
      </c>
      <c r="C336" s="15">
        <f>IF($W336="","",INDEX(FormData,$W336,f_Time))</f>
        <v/>
      </c>
      <c r="D336" s="14">
        <f>IF($W336="","",IFERROR(UPPER(LEFT(TRIM(INDEX(FormData,$W336,f_Name)),1)&amp;IFERROR(MID(TRIM(INDEX(FormData,$W336,f_Name)),FIND("^",SUBSTITUTE(TRIM(INDEX(FormData,$W336,f_Name))," ","^",LEN(TRIM(INDEX(FormData,$W336,f_Name)))-LEN(SUBSTITUTE(TRIM(INDEX(FormData,$W336,f_Name))," ",""))))+1,1),"")),""))</f>
        <v/>
      </c>
      <c r="E336" s="16">
        <f>IF($W336="","",IFERROR(IF(SUMPRODUCT(MAX((WhoKW&lt;&gt;"")*ISNUMBER(SEARCH(WhoKW,INDEX(FormData,$W336,f_Who)&amp;""))*(ROW(WhoKW)-MIN(ROW(WhoKW))+1)))=0,"",INDEX(WhoVal,SUMPRODUCT(MAX((WhoKW&lt;&gt;"")*ISNUMBER(SEARCH(WhoKW,INDEX(FormData,$W336,f_Who)&amp;""))*(ROW(WhoKW)-MIN(ROW(WhoKW))+1))))),""))</f>
        <v/>
      </c>
      <c r="F336" s="17">
        <f>IF($W336="","",TRIM(IFERROR(INDEX(FormData,$W336,f_Org1)&amp;"","")&amp;" "&amp;IFERROR(INDEX(FormData,$W336,f_Org2)&amp;"","")))</f>
        <v/>
      </c>
      <c r="G336" s="16">
        <f>IF($W336="","",IFERROR(INDEX(FormData,$W336,f_Region)&amp;"",""))</f>
        <v/>
      </c>
      <c r="H336" s="16">
        <f>IF($W336="","",IFERROR(IF(SUMPRODUCT(MAX((SitKW&lt;&gt;"")*ISNUMBER(SEARCH(SitKW,INDEX(FormData,$W336,f_Sit)&amp;""))*(ROW(SitKW)-MIN(ROW(SitKW))+1)))=0,"",INDEX(SitVal,SUMPRODUCT(MAX((SitKW&lt;&gt;"")*ISNUMBER(SEARCH(SitKW,INDEX(FormData,$W336,f_Sit)&amp;""))*(ROW(SitKW)-MIN(ROW(SitKW))+1))))),""))</f>
        <v/>
      </c>
      <c r="I336" s="14">
        <f>IF($W336="","",IFERROR(INDEX(FormData,$W336,f_Appr)&amp;"",""))</f>
        <v/>
      </c>
      <c r="J336" s="16">
        <f>IF($W336="","",IFERROR(INDEX(FormData,$W336,f_Trade)&amp;"",""))</f>
        <v/>
      </c>
      <c r="K336" s="16" t="n"/>
      <c r="L336" s="17" t="n"/>
      <c r="M336" s="16" t="n"/>
      <c r="N336" s="17" t="n"/>
      <c r="O336" s="14" t="n"/>
      <c r="P336" s="14" t="n"/>
      <c r="Q336" s="18" t="n"/>
      <c r="R336" s="18" t="n"/>
      <c r="S336" s="13">
        <f>IF($P336&lt;&gt;"✓","",IF($R336&lt;&gt;"","Done",IF($Q336="","Open — no date",IF($Q336&lt;TODAY(),"Overdue",IF($Q336-TODAY()&lt;=DueSoon,"Due soon","Scheduled")))))</f>
        <v/>
      </c>
      <c r="T336" s="14">
        <f>IF($W336="","",IFERROR(IF(INDEX(FormData,$W336,f_Consent)&amp;""="","",IF(ISNUMBER(SEARCH("yes",INDEX(FormData,$W336,f_Consent))),"Yes","No")),""))</f>
        <v/>
      </c>
      <c r="U336" s="14" t="n"/>
      <c r="V336" s="13">
        <f>IF($U336="","",IF($W336="","not found","✓"))</f>
        <v/>
      </c>
      <c r="W336">
        <f>IF($U336="","",IFERROR(MATCH($U336,INDEX(FormData,0,f_Id),0),IFERROR(MATCH(--$U336,INDEX(FormData,0,f_Id),0),IFERROR(MATCH($U336&amp;"",INDEX(FormData,0,f_Id),0),""))))</f>
        <v/>
      </c>
      <c r="X336">
        <f>IF(AND($B336&lt;&gt;"",$B336='Event Report'!$C$3),ROW(),"")</f>
        <v/>
      </c>
      <c r="Y336">
        <f>IF(AND($P336="✓",$R336=""),IF($Q336="",90000,$Q336)+ROW()/100000,"")</f>
        <v/>
      </c>
      <c r="Z336">
        <f>IF(OR($U336&lt;&gt;"",$D336&lt;&gt;"",$E336&lt;&gt;"",$N336&lt;&gt;""),1,"")</f>
        <v/>
      </c>
    </row>
    <row r="337">
      <c r="A337" s="13" t="inlineStr">
        <is>
          <t>P-0333</t>
        </is>
      </c>
      <c r="B337" s="14">
        <f>IF(AND($U337="",$C337=""),"",IFERROR(INDEX(EvID,MATCH(INDEX(FormData,$W337,f_Event),EvID,0)),IFERROR(INDEX(EvID,MATCH(INDEX(FormData,$W337,f_Event),EvName,0)),IFERROR(INDEX(EvID,MATCH(INT($C337),EvDate,0)),""))))</f>
        <v/>
      </c>
      <c r="C337" s="15">
        <f>IF($W337="","",INDEX(FormData,$W337,f_Time))</f>
        <v/>
      </c>
      <c r="D337" s="14">
        <f>IF($W337="","",IFERROR(UPPER(LEFT(TRIM(INDEX(FormData,$W337,f_Name)),1)&amp;IFERROR(MID(TRIM(INDEX(FormData,$W337,f_Name)),FIND("^",SUBSTITUTE(TRIM(INDEX(FormData,$W337,f_Name))," ","^",LEN(TRIM(INDEX(FormData,$W337,f_Name)))-LEN(SUBSTITUTE(TRIM(INDEX(FormData,$W337,f_Name))," ",""))))+1,1),"")),""))</f>
        <v/>
      </c>
      <c r="E337" s="16">
        <f>IF($W337="","",IFERROR(IF(SUMPRODUCT(MAX((WhoKW&lt;&gt;"")*ISNUMBER(SEARCH(WhoKW,INDEX(FormData,$W337,f_Who)&amp;""))*(ROW(WhoKW)-MIN(ROW(WhoKW))+1)))=0,"",INDEX(WhoVal,SUMPRODUCT(MAX((WhoKW&lt;&gt;"")*ISNUMBER(SEARCH(WhoKW,INDEX(FormData,$W337,f_Who)&amp;""))*(ROW(WhoKW)-MIN(ROW(WhoKW))+1))))),""))</f>
        <v/>
      </c>
      <c r="F337" s="17">
        <f>IF($W337="","",TRIM(IFERROR(INDEX(FormData,$W337,f_Org1)&amp;"","")&amp;" "&amp;IFERROR(INDEX(FormData,$W337,f_Org2)&amp;"","")))</f>
        <v/>
      </c>
      <c r="G337" s="16">
        <f>IF($W337="","",IFERROR(INDEX(FormData,$W337,f_Region)&amp;"",""))</f>
        <v/>
      </c>
      <c r="H337" s="16">
        <f>IF($W337="","",IFERROR(IF(SUMPRODUCT(MAX((SitKW&lt;&gt;"")*ISNUMBER(SEARCH(SitKW,INDEX(FormData,$W337,f_Sit)&amp;""))*(ROW(SitKW)-MIN(ROW(SitKW))+1)))=0,"",INDEX(SitVal,SUMPRODUCT(MAX((SitKW&lt;&gt;"")*ISNUMBER(SEARCH(SitKW,INDEX(FormData,$W337,f_Sit)&amp;""))*(ROW(SitKW)-MIN(ROW(SitKW))+1))))),""))</f>
        <v/>
      </c>
      <c r="I337" s="14">
        <f>IF($W337="","",IFERROR(INDEX(FormData,$W337,f_Appr)&amp;"",""))</f>
        <v/>
      </c>
      <c r="J337" s="16">
        <f>IF($W337="","",IFERROR(INDEX(FormData,$W337,f_Trade)&amp;"",""))</f>
        <v/>
      </c>
      <c r="K337" s="16" t="n"/>
      <c r="L337" s="17" t="n"/>
      <c r="M337" s="16" t="n"/>
      <c r="N337" s="17" t="n"/>
      <c r="O337" s="14" t="n"/>
      <c r="P337" s="14" t="n"/>
      <c r="Q337" s="18" t="n"/>
      <c r="R337" s="18" t="n"/>
      <c r="S337" s="13">
        <f>IF($P337&lt;&gt;"✓","",IF($R337&lt;&gt;"","Done",IF($Q337="","Open — no date",IF($Q337&lt;TODAY(),"Overdue",IF($Q337-TODAY()&lt;=DueSoon,"Due soon","Scheduled")))))</f>
        <v/>
      </c>
      <c r="T337" s="14">
        <f>IF($W337="","",IFERROR(IF(INDEX(FormData,$W337,f_Consent)&amp;""="","",IF(ISNUMBER(SEARCH("yes",INDEX(FormData,$W337,f_Consent))),"Yes","No")),""))</f>
        <v/>
      </c>
      <c r="U337" s="14" t="n"/>
      <c r="V337" s="13">
        <f>IF($U337="","",IF($W337="","not found","✓"))</f>
        <v/>
      </c>
      <c r="W337">
        <f>IF($U337="","",IFERROR(MATCH($U337,INDEX(FormData,0,f_Id),0),IFERROR(MATCH(--$U337,INDEX(FormData,0,f_Id),0),IFERROR(MATCH($U337&amp;"",INDEX(FormData,0,f_Id),0),""))))</f>
        <v/>
      </c>
      <c r="X337">
        <f>IF(AND($B337&lt;&gt;"",$B337='Event Report'!$C$3),ROW(),"")</f>
        <v/>
      </c>
      <c r="Y337">
        <f>IF(AND($P337="✓",$R337=""),IF($Q337="",90000,$Q337)+ROW()/100000,"")</f>
        <v/>
      </c>
      <c r="Z337">
        <f>IF(OR($U337&lt;&gt;"",$D337&lt;&gt;"",$E337&lt;&gt;"",$N337&lt;&gt;""),1,"")</f>
        <v/>
      </c>
    </row>
    <row r="338">
      <c r="A338" s="13" t="inlineStr">
        <is>
          <t>P-0334</t>
        </is>
      </c>
      <c r="B338" s="14">
        <f>IF(AND($U338="",$C338=""),"",IFERROR(INDEX(EvID,MATCH(INDEX(FormData,$W338,f_Event),EvID,0)),IFERROR(INDEX(EvID,MATCH(INDEX(FormData,$W338,f_Event),EvName,0)),IFERROR(INDEX(EvID,MATCH(INT($C338),EvDate,0)),""))))</f>
        <v/>
      </c>
      <c r="C338" s="15">
        <f>IF($W338="","",INDEX(FormData,$W338,f_Time))</f>
        <v/>
      </c>
      <c r="D338" s="14">
        <f>IF($W338="","",IFERROR(UPPER(LEFT(TRIM(INDEX(FormData,$W338,f_Name)),1)&amp;IFERROR(MID(TRIM(INDEX(FormData,$W338,f_Name)),FIND("^",SUBSTITUTE(TRIM(INDEX(FormData,$W338,f_Name))," ","^",LEN(TRIM(INDEX(FormData,$W338,f_Name)))-LEN(SUBSTITUTE(TRIM(INDEX(FormData,$W338,f_Name))," ",""))))+1,1),"")),""))</f>
        <v/>
      </c>
      <c r="E338" s="16">
        <f>IF($W338="","",IFERROR(IF(SUMPRODUCT(MAX((WhoKW&lt;&gt;"")*ISNUMBER(SEARCH(WhoKW,INDEX(FormData,$W338,f_Who)&amp;""))*(ROW(WhoKW)-MIN(ROW(WhoKW))+1)))=0,"",INDEX(WhoVal,SUMPRODUCT(MAX((WhoKW&lt;&gt;"")*ISNUMBER(SEARCH(WhoKW,INDEX(FormData,$W338,f_Who)&amp;""))*(ROW(WhoKW)-MIN(ROW(WhoKW))+1))))),""))</f>
        <v/>
      </c>
      <c r="F338" s="17">
        <f>IF($W338="","",TRIM(IFERROR(INDEX(FormData,$W338,f_Org1)&amp;"","")&amp;" "&amp;IFERROR(INDEX(FormData,$W338,f_Org2)&amp;"","")))</f>
        <v/>
      </c>
      <c r="G338" s="16">
        <f>IF($W338="","",IFERROR(INDEX(FormData,$W338,f_Region)&amp;"",""))</f>
        <v/>
      </c>
      <c r="H338" s="16">
        <f>IF($W338="","",IFERROR(IF(SUMPRODUCT(MAX((SitKW&lt;&gt;"")*ISNUMBER(SEARCH(SitKW,INDEX(FormData,$W338,f_Sit)&amp;""))*(ROW(SitKW)-MIN(ROW(SitKW))+1)))=0,"",INDEX(SitVal,SUMPRODUCT(MAX((SitKW&lt;&gt;"")*ISNUMBER(SEARCH(SitKW,INDEX(FormData,$W338,f_Sit)&amp;""))*(ROW(SitKW)-MIN(ROW(SitKW))+1))))),""))</f>
        <v/>
      </c>
      <c r="I338" s="14">
        <f>IF($W338="","",IFERROR(INDEX(FormData,$W338,f_Appr)&amp;"",""))</f>
        <v/>
      </c>
      <c r="J338" s="16">
        <f>IF($W338="","",IFERROR(INDEX(FormData,$W338,f_Trade)&amp;"",""))</f>
        <v/>
      </c>
      <c r="K338" s="16" t="n"/>
      <c r="L338" s="17" t="n"/>
      <c r="M338" s="16" t="n"/>
      <c r="N338" s="17" t="n"/>
      <c r="O338" s="14" t="n"/>
      <c r="P338" s="14" t="n"/>
      <c r="Q338" s="18" t="n"/>
      <c r="R338" s="18" t="n"/>
      <c r="S338" s="13">
        <f>IF($P338&lt;&gt;"✓","",IF($R338&lt;&gt;"","Done",IF($Q338="","Open — no date",IF($Q338&lt;TODAY(),"Overdue",IF($Q338-TODAY()&lt;=DueSoon,"Due soon","Scheduled")))))</f>
        <v/>
      </c>
      <c r="T338" s="14">
        <f>IF($W338="","",IFERROR(IF(INDEX(FormData,$W338,f_Consent)&amp;""="","",IF(ISNUMBER(SEARCH("yes",INDEX(FormData,$W338,f_Consent))),"Yes","No")),""))</f>
        <v/>
      </c>
      <c r="U338" s="14" t="n"/>
      <c r="V338" s="13">
        <f>IF($U338="","",IF($W338="","not found","✓"))</f>
        <v/>
      </c>
      <c r="W338">
        <f>IF($U338="","",IFERROR(MATCH($U338,INDEX(FormData,0,f_Id),0),IFERROR(MATCH(--$U338,INDEX(FormData,0,f_Id),0),IFERROR(MATCH($U338&amp;"",INDEX(FormData,0,f_Id),0),""))))</f>
        <v/>
      </c>
      <c r="X338">
        <f>IF(AND($B338&lt;&gt;"",$B338='Event Report'!$C$3),ROW(),"")</f>
        <v/>
      </c>
      <c r="Y338">
        <f>IF(AND($P338="✓",$R338=""),IF($Q338="",90000,$Q338)+ROW()/100000,"")</f>
        <v/>
      </c>
      <c r="Z338">
        <f>IF(OR($U338&lt;&gt;"",$D338&lt;&gt;"",$E338&lt;&gt;"",$N338&lt;&gt;""),1,"")</f>
        <v/>
      </c>
    </row>
    <row r="339">
      <c r="A339" s="13" t="inlineStr">
        <is>
          <t>P-0335</t>
        </is>
      </c>
      <c r="B339" s="14">
        <f>IF(AND($U339="",$C339=""),"",IFERROR(INDEX(EvID,MATCH(INDEX(FormData,$W339,f_Event),EvID,0)),IFERROR(INDEX(EvID,MATCH(INDEX(FormData,$W339,f_Event),EvName,0)),IFERROR(INDEX(EvID,MATCH(INT($C339),EvDate,0)),""))))</f>
        <v/>
      </c>
      <c r="C339" s="15">
        <f>IF($W339="","",INDEX(FormData,$W339,f_Time))</f>
        <v/>
      </c>
      <c r="D339" s="14">
        <f>IF($W339="","",IFERROR(UPPER(LEFT(TRIM(INDEX(FormData,$W339,f_Name)),1)&amp;IFERROR(MID(TRIM(INDEX(FormData,$W339,f_Name)),FIND("^",SUBSTITUTE(TRIM(INDEX(FormData,$W339,f_Name))," ","^",LEN(TRIM(INDEX(FormData,$W339,f_Name)))-LEN(SUBSTITUTE(TRIM(INDEX(FormData,$W339,f_Name))," ",""))))+1,1),"")),""))</f>
        <v/>
      </c>
      <c r="E339" s="16">
        <f>IF($W339="","",IFERROR(IF(SUMPRODUCT(MAX((WhoKW&lt;&gt;"")*ISNUMBER(SEARCH(WhoKW,INDEX(FormData,$W339,f_Who)&amp;""))*(ROW(WhoKW)-MIN(ROW(WhoKW))+1)))=0,"",INDEX(WhoVal,SUMPRODUCT(MAX((WhoKW&lt;&gt;"")*ISNUMBER(SEARCH(WhoKW,INDEX(FormData,$W339,f_Who)&amp;""))*(ROW(WhoKW)-MIN(ROW(WhoKW))+1))))),""))</f>
        <v/>
      </c>
      <c r="F339" s="17">
        <f>IF($W339="","",TRIM(IFERROR(INDEX(FormData,$W339,f_Org1)&amp;"","")&amp;" "&amp;IFERROR(INDEX(FormData,$W339,f_Org2)&amp;"","")))</f>
        <v/>
      </c>
      <c r="G339" s="16">
        <f>IF($W339="","",IFERROR(INDEX(FormData,$W339,f_Region)&amp;"",""))</f>
        <v/>
      </c>
      <c r="H339" s="16">
        <f>IF($W339="","",IFERROR(IF(SUMPRODUCT(MAX((SitKW&lt;&gt;"")*ISNUMBER(SEARCH(SitKW,INDEX(FormData,$W339,f_Sit)&amp;""))*(ROW(SitKW)-MIN(ROW(SitKW))+1)))=0,"",INDEX(SitVal,SUMPRODUCT(MAX((SitKW&lt;&gt;"")*ISNUMBER(SEARCH(SitKW,INDEX(FormData,$W339,f_Sit)&amp;""))*(ROW(SitKW)-MIN(ROW(SitKW))+1))))),""))</f>
        <v/>
      </c>
      <c r="I339" s="14">
        <f>IF($W339="","",IFERROR(INDEX(FormData,$W339,f_Appr)&amp;"",""))</f>
        <v/>
      </c>
      <c r="J339" s="16">
        <f>IF($W339="","",IFERROR(INDEX(FormData,$W339,f_Trade)&amp;"",""))</f>
        <v/>
      </c>
      <c r="K339" s="16" t="n"/>
      <c r="L339" s="17" t="n"/>
      <c r="M339" s="16" t="n"/>
      <c r="N339" s="17" t="n"/>
      <c r="O339" s="14" t="n"/>
      <c r="P339" s="14" t="n"/>
      <c r="Q339" s="18" t="n"/>
      <c r="R339" s="18" t="n"/>
      <c r="S339" s="13">
        <f>IF($P339&lt;&gt;"✓","",IF($R339&lt;&gt;"","Done",IF($Q339="","Open — no date",IF($Q339&lt;TODAY(),"Overdue",IF($Q339-TODAY()&lt;=DueSoon,"Due soon","Scheduled")))))</f>
        <v/>
      </c>
      <c r="T339" s="14">
        <f>IF($W339="","",IFERROR(IF(INDEX(FormData,$W339,f_Consent)&amp;""="","",IF(ISNUMBER(SEARCH("yes",INDEX(FormData,$W339,f_Consent))),"Yes","No")),""))</f>
        <v/>
      </c>
      <c r="U339" s="14" t="n"/>
      <c r="V339" s="13">
        <f>IF($U339="","",IF($W339="","not found","✓"))</f>
        <v/>
      </c>
      <c r="W339">
        <f>IF($U339="","",IFERROR(MATCH($U339,INDEX(FormData,0,f_Id),0),IFERROR(MATCH(--$U339,INDEX(FormData,0,f_Id),0),IFERROR(MATCH($U339&amp;"",INDEX(FormData,0,f_Id),0),""))))</f>
        <v/>
      </c>
      <c r="X339">
        <f>IF(AND($B339&lt;&gt;"",$B339='Event Report'!$C$3),ROW(),"")</f>
        <v/>
      </c>
      <c r="Y339">
        <f>IF(AND($P339="✓",$R339=""),IF($Q339="",90000,$Q339)+ROW()/100000,"")</f>
        <v/>
      </c>
      <c r="Z339">
        <f>IF(OR($U339&lt;&gt;"",$D339&lt;&gt;"",$E339&lt;&gt;"",$N339&lt;&gt;""),1,"")</f>
        <v/>
      </c>
    </row>
    <row r="340">
      <c r="A340" s="13" t="inlineStr">
        <is>
          <t>P-0336</t>
        </is>
      </c>
      <c r="B340" s="14">
        <f>IF(AND($U340="",$C340=""),"",IFERROR(INDEX(EvID,MATCH(INDEX(FormData,$W340,f_Event),EvID,0)),IFERROR(INDEX(EvID,MATCH(INDEX(FormData,$W340,f_Event),EvName,0)),IFERROR(INDEX(EvID,MATCH(INT($C340),EvDate,0)),""))))</f>
        <v/>
      </c>
      <c r="C340" s="15">
        <f>IF($W340="","",INDEX(FormData,$W340,f_Time))</f>
        <v/>
      </c>
      <c r="D340" s="14">
        <f>IF($W340="","",IFERROR(UPPER(LEFT(TRIM(INDEX(FormData,$W340,f_Name)),1)&amp;IFERROR(MID(TRIM(INDEX(FormData,$W340,f_Name)),FIND("^",SUBSTITUTE(TRIM(INDEX(FormData,$W340,f_Name))," ","^",LEN(TRIM(INDEX(FormData,$W340,f_Name)))-LEN(SUBSTITUTE(TRIM(INDEX(FormData,$W340,f_Name))," ",""))))+1,1),"")),""))</f>
        <v/>
      </c>
      <c r="E340" s="16">
        <f>IF($W340="","",IFERROR(IF(SUMPRODUCT(MAX((WhoKW&lt;&gt;"")*ISNUMBER(SEARCH(WhoKW,INDEX(FormData,$W340,f_Who)&amp;""))*(ROW(WhoKW)-MIN(ROW(WhoKW))+1)))=0,"",INDEX(WhoVal,SUMPRODUCT(MAX((WhoKW&lt;&gt;"")*ISNUMBER(SEARCH(WhoKW,INDEX(FormData,$W340,f_Who)&amp;""))*(ROW(WhoKW)-MIN(ROW(WhoKW))+1))))),""))</f>
        <v/>
      </c>
      <c r="F340" s="17">
        <f>IF($W340="","",TRIM(IFERROR(INDEX(FormData,$W340,f_Org1)&amp;"","")&amp;" "&amp;IFERROR(INDEX(FormData,$W340,f_Org2)&amp;"","")))</f>
        <v/>
      </c>
      <c r="G340" s="16">
        <f>IF($W340="","",IFERROR(INDEX(FormData,$W340,f_Region)&amp;"",""))</f>
        <v/>
      </c>
      <c r="H340" s="16">
        <f>IF($W340="","",IFERROR(IF(SUMPRODUCT(MAX((SitKW&lt;&gt;"")*ISNUMBER(SEARCH(SitKW,INDEX(FormData,$W340,f_Sit)&amp;""))*(ROW(SitKW)-MIN(ROW(SitKW))+1)))=0,"",INDEX(SitVal,SUMPRODUCT(MAX((SitKW&lt;&gt;"")*ISNUMBER(SEARCH(SitKW,INDEX(FormData,$W340,f_Sit)&amp;""))*(ROW(SitKW)-MIN(ROW(SitKW))+1))))),""))</f>
        <v/>
      </c>
      <c r="I340" s="14">
        <f>IF($W340="","",IFERROR(INDEX(FormData,$W340,f_Appr)&amp;"",""))</f>
        <v/>
      </c>
      <c r="J340" s="16">
        <f>IF($W340="","",IFERROR(INDEX(FormData,$W340,f_Trade)&amp;"",""))</f>
        <v/>
      </c>
      <c r="K340" s="16" t="n"/>
      <c r="L340" s="17" t="n"/>
      <c r="M340" s="16" t="n"/>
      <c r="N340" s="17" t="n"/>
      <c r="O340" s="14" t="n"/>
      <c r="P340" s="14" t="n"/>
      <c r="Q340" s="18" t="n"/>
      <c r="R340" s="18" t="n"/>
      <c r="S340" s="13">
        <f>IF($P340&lt;&gt;"✓","",IF($R340&lt;&gt;"","Done",IF($Q340="","Open — no date",IF($Q340&lt;TODAY(),"Overdue",IF($Q340-TODAY()&lt;=DueSoon,"Due soon","Scheduled")))))</f>
        <v/>
      </c>
      <c r="T340" s="14">
        <f>IF($W340="","",IFERROR(IF(INDEX(FormData,$W340,f_Consent)&amp;""="","",IF(ISNUMBER(SEARCH("yes",INDEX(FormData,$W340,f_Consent))),"Yes","No")),""))</f>
        <v/>
      </c>
      <c r="U340" s="14" t="n"/>
      <c r="V340" s="13">
        <f>IF($U340="","",IF($W340="","not found","✓"))</f>
        <v/>
      </c>
      <c r="W340">
        <f>IF($U340="","",IFERROR(MATCH($U340,INDEX(FormData,0,f_Id),0),IFERROR(MATCH(--$U340,INDEX(FormData,0,f_Id),0),IFERROR(MATCH($U340&amp;"",INDEX(FormData,0,f_Id),0),""))))</f>
        <v/>
      </c>
      <c r="X340">
        <f>IF(AND($B340&lt;&gt;"",$B340='Event Report'!$C$3),ROW(),"")</f>
        <v/>
      </c>
      <c r="Y340">
        <f>IF(AND($P340="✓",$R340=""),IF($Q340="",90000,$Q340)+ROW()/100000,"")</f>
        <v/>
      </c>
      <c r="Z340">
        <f>IF(OR($U340&lt;&gt;"",$D340&lt;&gt;"",$E340&lt;&gt;"",$N340&lt;&gt;""),1,"")</f>
        <v/>
      </c>
    </row>
    <row r="341">
      <c r="A341" s="13" t="inlineStr">
        <is>
          <t>P-0337</t>
        </is>
      </c>
      <c r="B341" s="14">
        <f>IF(AND($U341="",$C341=""),"",IFERROR(INDEX(EvID,MATCH(INDEX(FormData,$W341,f_Event),EvID,0)),IFERROR(INDEX(EvID,MATCH(INDEX(FormData,$W341,f_Event),EvName,0)),IFERROR(INDEX(EvID,MATCH(INT($C341),EvDate,0)),""))))</f>
        <v/>
      </c>
      <c r="C341" s="15">
        <f>IF($W341="","",INDEX(FormData,$W341,f_Time))</f>
        <v/>
      </c>
      <c r="D341" s="14">
        <f>IF($W341="","",IFERROR(UPPER(LEFT(TRIM(INDEX(FormData,$W341,f_Name)),1)&amp;IFERROR(MID(TRIM(INDEX(FormData,$W341,f_Name)),FIND("^",SUBSTITUTE(TRIM(INDEX(FormData,$W341,f_Name))," ","^",LEN(TRIM(INDEX(FormData,$W341,f_Name)))-LEN(SUBSTITUTE(TRIM(INDEX(FormData,$W341,f_Name))," ",""))))+1,1),"")),""))</f>
        <v/>
      </c>
      <c r="E341" s="16">
        <f>IF($W341="","",IFERROR(IF(SUMPRODUCT(MAX((WhoKW&lt;&gt;"")*ISNUMBER(SEARCH(WhoKW,INDEX(FormData,$W341,f_Who)&amp;""))*(ROW(WhoKW)-MIN(ROW(WhoKW))+1)))=0,"",INDEX(WhoVal,SUMPRODUCT(MAX((WhoKW&lt;&gt;"")*ISNUMBER(SEARCH(WhoKW,INDEX(FormData,$W341,f_Who)&amp;""))*(ROW(WhoKW)-MIN(ROW(WhoKW))+1))))),""))</f>
        <v/>
      </c>
      <c r="F341" s="17">
        <f>IF($W341="","",TRIM(IFERROR(INDEX(FormData,$W341,f_Org1)&amp;"","")&amp;" "&amp;IFERROR(INDEX(FormData,$W341,f_Org2)&amp;"","")))</f>
        <v/>
      </c>
      <c r="G341" s="16">
        <f>IF($W341="","",IFERROR(INDEX(FormData,$W341,f_Region)&amp;"",""))</f>
        <v/>
      </c>
      <c r="H341" s="16">
        <f>IF($W341="","",IFERROR(IF(SUMPRODUCT(MAX((SitKW&lt;&gt;"")*ISNUMBER(SEARCH(SitKW,INDEX(FormData,$W341,f_Sit)&amp;""))*(ROW(SitKW)-MIN(ROW(SitKW))+1)))=0,"",INDEX(SitVal,SUMPRODUCT(MAX((SitKW&lt;&gt;"")*ISNUMBER(SEARCH(SitKW,INDEX(FormData,$W341,f_Sit)&amp;""))*(ROW(SitKW)-MIN(ROW(SitKW))+1))))),""))</f>
        <v/>
      </c>
      <c r="I341" s="14">
        <f>IF($W341="","",IFERROR(INDEX(FormData,$W341,f_Appr)&amp;"",""))</f>
        <v/>
      </c>
      <c r="J341" s="16">
        <f>IF($W341="","",IFERROR(INDEX(FormData,$W341,f_Trade)&amp;"",""))</f>
        <v/>
      </c>
      <c r="K341" s="16" t="n"/>
      <c r="L341" s="17" t="n"/>
      <c r="M341" s="16" t="n"/>
      <c r="N341" s="17" t="n"/>
      <c r="O341" s="14" t="n"/>
      <c r="P341" s="14" t="n"/>
      <c r="Q341" s="18" t="n"/>
      <c r="R341" s="18" t="n"/>
      <c r="S341" s="13">
        <f>IF($P341&lt;&gt;"✓","",IF($R341&lt;&gt;"","Done",IF($Q341="","Open — no date",IF($Q341&lt;TODAY(),"Overdue",IF($Q341-TODAY()&lt;=DueSoon,"Due soon","Scheduled")))))</f>
        <v/>
      </c>
      <c r="T341" s="14">
        <f>IF($W341="","",IFERROR(IF(INDEX(FormData,$W341,f_Consent)&amp;""="","",IF(ISNUMBER(SEARCH("yes",INDEX(FormData,$W341,f_Consent))),"Yes","No")),""))</f>
        <v/>
      </c>
      <c r="U341" s="14" t="n"/>
      <c r="V341" s="13">
        <f>IF($U341="","",IF($W341="","not found","✓"))</f>
        <v/>
      </c>
      <c r="W341">
        <f>IF($U341="","",IFERROR(MATCH($U341,INDEX(FormData,0,f_Id),0),IFERROR(MATCH(--$U341,INDEX(FormData,0,f_Id),0),IFERROR(MATCH($U341&amp;"",INDEX(FormData,0,f_Id),0),""))))</f>
        <v/>
      </c>
      <c r="X341">
        <f>IF(AND($B341&lt;&gt;"",$B341='Event Report'!$C$3),ROW(),"")</f>
        <v/>
      </c>
      <c r="Y341">
        <f>IF(AND($P341="✓",$R341=""),IF($Q341="",90000,$Q341)+ROW()/100000,"")</f>
        <v/>
      </c>
      <c r="Z341">
        <f>IF(OR($U341&lt;&gt;"",$D341&lt;&gt;"",$E341&lt;&gt;"",$N341&lt;&gt;""),1,"")</f>
        <v/>
      </c>
    </row>
    <row r="342">
      <c r="A342" s="13" t="inlineStr">
        <is>
          <t>P-0338</t>
        </is>
      </c>
      <c r="B342" s="14">
        <f>IF(AND($U342="",$C342=""),"",IFERROR(INDEX(EvID,MATCH(INDEX(FormData,$W342,f_Event),EvID,0)),IFERROR(INDEX(EvID,MATCH(INDEX(FormData,$W342,f_Event),EvName,0)),IFERROR(INDEX(EvID,MATCH(INT($C342),EvDate,0)),""))))</f>
        <v/>
      </c>
      <c r="C342" s="15">
        <f>IF($W342="","",INDEX(FormData,$W342,f_Time))</f>
        <v/>
      </c>
      <c r="D342" s="14">
        <f>IF($W342="","",IFERROR(UPPER(LEFT(TRIM(INDEX(FormData,$W342,f_Name)),1)&amp;IFERROR(MID(TRIM(INDEX(FormData,$W342,f_Name)),FIND("^",SUBSTITUTE(TRIM(INDEX(FormData,$W342,f_Name))," ","^",LEN(TRIM(INDEX(FormData,$W342,f_Name)))-LEN(SUBSTITUTE(TRIM(INDEX(FormData,$W342,f_Name))," ",""))))+1,1),"")),""))</f>
        <v/>
      </c>
      <c r="E342" s="16">
        <f>IF($W342="","",IFERROR(IF(SUMPRODUCT(MAX((WhoKW&lt;&gt;"")*ISNUMBER(SEARCH(WhoKW,INDEX(FormData,$W342,f_Who)&amp;""))*(ROW(WhoKW)-MIN(ROW(WhoKW))+1)))=0,"",INDEX(WhoVal,SUMPRODUCT(MAX((WhoKW&lt;&gt;"")*ISNUMBER(SEARCH(WhoKW,INDEX(FormData,$W342,f_Who)&amp;""))*(ROW(WhoKW)-MIN(ROW(WhoKW))+1))))),""))</f>
        <v/>
      </c>
      <c r="F342" s="17">
        <f>IF($W342="","",TRIM(IFERROR(INDEX(FormData,$W342,f_Org1)&amp;"","")&amp;" "&amp;IFERROR(INDEX(FormData,$W342,f_Org2)&amp;"","")))</f>
        <v/>
      </c>
      <c r="G342" s="16">
        <f>IF($W342="","",IFERROR(INDEX(FormData,$W342,f_Region)&amp;"",""))</f>
        <v/>
      </c>
      <c r="H342" s="16">
        <f>IF($W342="","",IFERROR(IF(SUMPRODUCT(MAX((SitKW&lt;&gt;"")*ISNUMBER(SEARCH(SitKW,INDEX(FormData,$W342,f_Sit)&amp;""))*(ROW(SitKW)-MIN(ROW(SitKW))+1)))=0,"",INDEX(SitVal,SUMPRODUCT(MAX((SitKW&lt;&gt;"")*ISNUMBER(SEARCH(SitKW,INDEX(FormData,$W342,f_Sit)&amp;""))*(ROW(SitKW)-MIN(ROW(SitKW))+1))))),""))</f>
        <v/>
      </c>
      <c r="I342" s="14">
        <f>IF($W342="","",IFERROR(INDEX(FormData,$W342,f_Appr)&amp;"",""))</f>
        <v/>
      </c>
      <c r="J342" s="16">
        <f>IF($W342="","",IFERROR(INDEX(FormData,$W342,f_Trade)&amp;"",""))</f>
        <v/>
      </c>
      <c r="K342" s="16" t="n"/>
      <c r="L342" s="17" t="n"/>
      <c r="M342" s="16" t="n"/>
      <c r="N342" s="17" t="n"/>
      <c r="O342" s="14" t="n"/>
      <c r="P342" s="14" t="n"/>
      <c r="Q342" s="18" t="n"/>
      <c r="R342" s="18" t="n"/>
      <c r="S342" s="13">
        <f>IF($P342&lt;&gt;"✓","",IF($R342&lt;&gt;"","Done",IF($Q342="","Open — no date",IF($Q342&lt;TODAY(),"Overdue",IF($Q342-TODAY()&lt;=DueSoon,"Due soon","Scheduled")))))</f>
        <v/>
      </c>
      <c r="T342" s="14">
        <f>IF($W342="","",IFERROR(IF(INDEX(FormData,$W342,f_Consent)&amp;""="","",IF(ISNUMBER(SEARCH("yes",INDEX(FormData,$W342,f_Consent))),"Yes","No")),""))</f>
        <v/>
      </c>
      <c r="U342" s="14" t="n"/>
      <c r="V342" s="13">
        <f>IF($U342="","",IF($W342="","not found","✓"))</f>
        <v/>
      </c>
      <c r="W342">
        <f>IF($U342="","",IFERROR(MATCH($U342,INDEX(FormData,0,f_Id),0),IFERROR(MATCH(--$U342,INDEX(FormData,0,f_Id),0),IFERROR(MATCH($U342&amp;"",INDEX(FormData,0,f_Id),0),""))))</f>
        <v/>
      </c>
      <c r="X342">
        <f>IF(AND($B342&lt;&gt;"",$B342='Event Report'!$C$3),ROW(),"")</f>
        <v/>
      </c>
      <c r="Y342">
        <f>IF(AND($P342="✓",$R342=""),IF($Q342="",90000,$Q342)+ROW()/100000,"")</f>
        <v/>
      </c>
      <c r="Z342">
        <f>IF(OR($U342&lt;&gt;"",$D342&lt;&gt;"",$E342&lt;&gt;"",$N342&lt;&gt;""),1,"")</f>
        <v/>
      </c>
    </row>
    <row r="343">
      <c r="A343" s="13" t="inlineStr">
        <is>
          <t>P-0339</t>
        </is>
      </c>
      <c r="B343" s="14">
        <f>IF(AND($U343="",$C343=""),"",IFERROR(INDEX(EvID,MATCH(INDEX(FormData,$W343,f_Event),EvID,0)),IFERROR(INDEX(EvID,MATCH(INDEX(FormData,$W343,f_Event),EvName,0)),IFERROR(INDEX(EvID,MATCH(INT($C343),EvDate,0)),""))))</f>
        <v/>
      </c>
      <c r="C343" s="15">
        <f>IF($W343="","",INDEX(FormData,$W343,f_Time))</f>
        <v/>
      </c>
      <c r="D343" s="14">
        <f>IF($W343="","",IFERROR(UPPER(LEFT(TRIM(INDEX(FormData,$W343,f_Name)),1)&amp;IFERROR(MID(TRIM(INDEX(FormData,$W343,f_Name)),FIND("^",SUBSTITUTE(TRIM(INDEX(FormData,$W343,f_Name))," ","^",LEN(TRIM(INDEX(FormData,$W343,f_Name)))-LEN(SUBSTITUTE(TRIM(INDEX(FormData,$W343,f_Name))," ",""))))+1,1),"")),""))</f>
        <v/>
      </c>
      <c r="E343" s="16">
        <f>IF($W343="","",IFERROR(IF(SUMPRODUCT(MAX((WhoKW&lt;&gt;"")*ISNUMBER(SEARCH(WhoKW,INDEX(FormData,$W343,f_Who)&amp;""))*(ROW(WhoKW)-MIN(ROW(WhoKW))+1)))=0,"",INDEX(WhoVal,SUMPRODUCT(MAX((WhoKW&lt;&gt;"")*ISNUMBER(SEARCH(WhoKW,INDEX(FormData,$W343,f_Who)&amp;""))*(ROW(WhoKW)-MIN(ROW(WhoKW))+1))))),""))</f>
        <v/>
      </c>
      <c r="F343" s="17">
        <f>IF($W343="","",TRIM(IFERROR(INDEX(FormData,$W343,f_Org1)&amp;"","")&amp;" "&amp;IFERROR(INDEX(FormData,$W343,f_Org2)&amp;"","")))</f>
        <v/>
      </c>
      <c r="G343" s="16">
        <f>IF($W343="","",IFERROR(INDEX(FormData,$W343,f_Region)&amp;"",""))</f>
        <v/>
      </c>
      <c r="H343" s="16">
        <f>IF($W343="","",IFERROR(IF(SUMPRODUCT(MAX((SitKW&lt;&gt;"")*ISNUMBER(SEARCH(SitKW,INDEX(FormData,$W343,f_Sit)&amp;""))*(ROW(SitKW)-MIN(ROW(SitKW))+1)))=0,"",INDEX(SitVal,SUMPRODUCT(MAX((SitKW&lt;&gt;"")*ISNUMBER(SEARCH(SitKW,INDEX(FormData,$W343,f_Sit)&amp;""))*(ROW(SitKW)-MIN(ROW(SitKW))+1))))),""))</f>
        <v/>
      </c>
      <c r="I343" s="14">
        <f>IF($W343="","",IFERROR(INDEX(FormData,$W343,f_Appr)&amp;"",""))</f>
        <v/>
      </c>
      <c r="J343" s="16">
        <f>IF($W343="","",IFERROR(INDEX(FormData,$W343,f_Trade)&amp;"",""))</f>
        <v/>
      </c>
      <c r="K343" s="16" t="n"/>
      <c r="L343" s="17" t="n"/>
      <c r="M343" s="16" t="n"/>
      <c r="N343" s="17" t="n"/>
      <c r="O343" s="14" t="n"/>
      <c r="P343" s="14" t="n"/>
      <c r="Q343" s="18" t="n"/>
      <c r="R343" s="18" t="n"/>
      <c r="S343" s="13">
        <f>IF($P343&lt;&gt;"✓","",IF($R343&lt;&gt;"","Done",IF($Q343="","Open — no date",IF($Q343&lt;TODAY(),"Overdue",IF($Q343-TODAY()&lt;=DueSoon,"Due soon","Scheduled")))))</f>
        <v/>
      </c>
      <c r="T343" s="14">
        <f>IF($W343="","",IFERROR(IF(INDEX(FormData,$W343,f_Consent)&amp;""="","",IF(ISNUMBER(SEARCH("yes",INDEX(FormData,$W343,f_Consent))),"Yes","No")),""))</f>
        <v/>
      </c>
      <c r="U343" s="14" t="n"/>
      <c r="V343" s="13">
        <f>IF($U343="","",IF($W343="","not found","✓"))</f>
        <v/>
      </c>
      <c r="W343">
        <f>IF($U343="","",IFERROR(MATCH($U343,INDEX(FormData,0,f_Id),0),IFERROR(MATCH(--$U343,INDEX(FormData,0,f_Id),0),IFERROR(MATCH($U343&amp;"",INDEX(FormData,0,f_Id),0),""))))</f>
        <v/>
      </c>
      <c r="X343">
        <f>IF(AND($B343&lt;&gt;"",$B343='Event Report'!$C$3),ROW(),"")</f>
        <v/>
      </c>
      <c r="Y343">
        <f>IF(AND($P343="✓",$R343=""),IF($Q343="",90000,$Q343)+ROW()/100000,"")</f>
        <v/>
      </c>
      <c r="Z343">
        <f>IF(OR($U343&lt;&gt;"",$D343&lt;&gt;"",$E343&lt;&gt;"",$N343&lt;&gt;""),1,"")</f>
        <v/>
      </c>
    </row>
    <row r="344">
      <c r="A344" s="13" t="inlineStr">
        <is>
          <t>P-0340</t>
        </is>
      </c>
      <c r="B344" s="14">
        <f>IF(AND($U344="",$C344=""),"",IFERROR(INDEX(EvID,MATCH(INDEX(FormData,$W344,f_Event),EvID,0)),IFERROR(INDEX(EvID,MATCH(INDEX(FormData,$W344,f_Event),EvName,0)),IFERROR(INDEX(EvID,MATCH(INT($C344),EvDate,0)),""))))</f>
        <v/>
      </c>
      <c r="C344" s="15">
        <f>IF($W344="","",INDEX(FormData,$W344,f_Time))</f>
        <v/>
      </c>
      <c r="D344" s="14">
        <f>IF($W344="","",IFERROR(UPPER(LEFT(TRIM(INDEX(FormData,$W344,f_Name)),1)&amp;IFERROR(MID(TRIM(INDEX(FormData,$W344,f_Name)),FIND("^",SUBSTITUTE(TRIM(INDEX(FormData,$W344,f_Name))," ","^",LEN(TRIM(INDEX(FormData,$W344,f_Name)))-LEN(SUBSTITUTE(TRIM(INDEX(FormData,$W344,f_Name))," ",""))))+1,1),"")),""))</f>
        <v/>
      </c>
      <c r="E344" s="16">
        <f>IF($W344="","",IFERROR(IF(SUMPRODUCT(MAX((WhoKW&lt;&gt;"")*ISNUMBER(SEARCH(WhoKW,INDEX(FormData,$W344,f_Who)&amp;""))*(ROW(WhoKW)-MIN(ROW(WhoKW))+1)))=0,"",INDEX(WhoVal,SUMPRODUCT(MAX((WhoKW&lt;&gt;"")*ISNUMBER(SEARCH(WhoKW,INDEX(FormData,$W344,f_Who)&amp;""))*(ROW(WhoKW)-MIN(ROW(WhoKW))+1))))),""))</f>
        <v/>
      </c>
      <c r="F344" s="17">
        <f>IF($W344="","",TRIM(IFERROR(INDEX(FormData,$W344,f_Org1)&amp;"","")&amp;" "&amp;IFERROR(INDEX(FormData,$W344,f_Org2)&amp;"","")))</f>
        <v/>
      </c>
      <c r="G344" s="16">
        <f>IF($W344="","",IFERROR(INDEX(FormData,$W344,f_Region)&amp;"",""))</f>
        <v/>
      </c>
      <c r="H344" s="16">
        <f>IF($W344="","",IFERROR(IF(SUMPRODUCT(MAX((SitKW&lt;&gt;"")*ISNUMBER(SEARCH(SitKW,INDEX(FormData,$W344,f_Sit)&amp;""))*(ROW(SitKW)-MIN(ROW(SitKW))+1)))=0,"",INDEX(SitVal,SUMPRODUCT(MAX((SitKW&lt;&gt;"")*ISNUMBER(SEARCH(SitKW,INDEX(FormData,$W344,f_Sit)&amp;""))*(ROW(SitKW)-MIN(ROW(SitKW))+1))))),""))</f>
        <v/>
      </c>
      <c r="I344" s="14">
        <f>IF($W344="","",IFERROR(INDEX(FormData,$W344,f_Appr)&amp;"",""))</f>
        <v/>
      </c>
      <c r="J344" s="16">
        <f>IF($W344="","",IFERROR(INDEX(FormData,$W344,f_Trade)&amp;"",""))</f>
        <v/>
      </c>
      <c r="K344" s="16" t="n"/>
      <c r="L344" s="17" t="n"/>
      <c r="M344" s="16" t="n"/>
      <c r="N344" s="17" t="n"/>
      <c r="O344" s="14" t="n"/>
      <c r="P344" s="14" t="n"/>
      <c r="Q344" s="18" t="n"/>
      <c r="R344" s="18" t="n"/>
      <c r="S344" s="13">
        <f>IF($P344&lt;&gt;"✓","",IF($R344&lt;&gt;"","Done",IF($Q344="","Open — no date",IF($Q344&lt;TODAY(),"Overdue",IF($Q344-TODAY()&lt;=DueSoon,"Due soon","Scheduled")))))</f>
        <v/>
      </c>
      <c r="T344" s="14">
        <f>IF($W344="","",IFERROR(IF(INDEX(FormData,$W344,f_Consent)&amp;""="","",IF(ISNUMBER(SEARCH("yes",INDEX(FormData,$W344,f_Consent))),"Yes","No")),""))</f>
        <v/>
      </c>
      <c r="U344" s="14" t="n"/>
      <c r="V344" s="13">
        <f>IF($U344="","",IF($W344="","not found","✓"))</f>
        <v/>
      </c>
      <c r="W344">
        <f>IF($U344="","",IFERROR(MATCH($U344,INDEX(FormData,0,f_Id),0),IFERROR(MATCH(--$U344,INDEX(FormData,0,f_Id),0),IFERROR(MATCH($U344&amp;"",INDEX(FormData,0,f_Id),0),""))))</f>
        <v/>
      </c>
      <c r="X344">
        <f>IF(AND($B344&lt;&gt;"",$B344='Event Report'!$C$3),ROW(),"")</f>
        <v/>
      </c>
      <c r="Y344">
        <f>IF(AND($P344="✓",$R344=""),IF($Q344="",90000,$Q344)+ROW()/100000,"")</f>
        <v/>
      </c>
      <c r="Z344">
        <f>IF(OR($U344&lt;&gt;"",$D344&lt;&gt;"",$E344&lt;&gt;"",$N344&lt;&gt;""),1,"")</f>
        <v/>
      </c>
    </row>
    <row r="345">
      <c r="A345" s="13" t="inlineStr">
        <is>
          <t>P-0341</t>
        </is>
      </c>
      <c r="B345" s="14">
        <f>IF(AND($U345="",$C345=""),"",IFERROR(INDEX(EvID,MATCH(INDEX(FormData,$W345,f_Event),EvID,0)),IFERROR(INDEX(EvID,MATCH(INDEX(FormData,$W345,f_Event),EvName,0)),IFERROR(INDEX(EvID,MATCH(INT($C345),EvDate,0)),""))))</f>
        <v/>
      </c>
      <c r="C345" s="15">
        <f>IF($W345="","",INDEX(FormData,$W345,f_Time))</f>
        <v/>
      </c>
      <c r="D345" s="14">
        <f>IF($W345="","",IFERROR(UPPER(LEFT(TRIM(INDEX(FormData,$W345,f_Name)),1)&amp;IFERROR(MID(TRIM(INDEX(FormData,$W345,f_Name)),FIND("^",SUBSTITUTE(TRIM(INDEX(FormData,$W345,f_Name))," ","^",LEN(TRIM(INDEX(FormData,$W345,f_Name)))-LEN(SUBSTITUTE(TRIM(INDEX(FormData,$W345,f_Name))," ",""))))+1,1),"")),""))</f>
        <v/>
      </c>
      <c r="E345" s="16">
        <f>IF($W345="","",IFERROR(IF(SUMPRODUCT(MAX((WhoKW&lt;&gt;"")*ISNUMBER(SEARCH(WhoKW,INDEX(FormData,$W345,f_Who)&amp;""))*(ROW(WhoKW)-MIN(ROW(WhoKW))+1)))=0,"",INDEX(WhoVal,SUMPRODUCT(MAX((WhoKW&lt;&gt;"")*ISNUMBER(SEARCH(WhoKW,INDEX(FormData,$W345,f_Who)&amp;""))*(ROW(WhoKW)-MIN(ROW(WhoKW))+1))))),""))</f>
        <v/>
      </c>
      <c r="F345" s="17">
        <f>IF($W345="","",TRIM(IFERROR(INDEX(FormData,$W345,f_Org1)&amp;"","")&amp;" "&amp;IFERROR(INDEX(FormData,$W345,f_Org2)&amp;"","")))</f>
        <v/>
      </c>
      <c r="G345" s="16">
        <f>IF($W345="","",IFERROR(INDEX(FormData,$W345,f_Region)&amp;"",""))</f>
        <v/>
      </c>
      <c r="H345" s="16">
        <f>IF($W345="","",IFERROR(IF(SUMPRODUCT(MAX((SitKW&lt;&gt;"")*ISNUMBER(SEARCH(SitKW,INDEX(FormData,$W345,f_Sit)&amp;""))*(ROW(SitKW)-MIN(ROW(SitKW))+1)))=0,"",INDEX(SitVal,SUMPRODUCT(MAX((SitKW&lt;&gt;"")*ISNUMBER(SEARCH(SitKW,INDEX(FormData,$W345,f_Sit)&amp;""))*(ROW(SitKW)-MIN(ROW(SitKW))+1))))),""))</f>
        <v/>
      </c>
      <c r="I345" s="14">
        <f>IF($W345="","",IFERROR(INDEX(FormData,$W345,f_Appr)&amp;"",""))</f>
        <v/>
      </c>
      <c r="J345" s="16">
        <f>IF($W345="","",IFERROR(INDEX(FormData,$W345,f_Trade)&amp;"",""))</f>
        <v/>
      </c>
      <c r="K345" s="16" t="n"/>
      <c r="L345" s="17" t="n"/>
      <c r="M345" s="16" t="n"/>
      <c r="N345" s="17" t="n"/>
      <c r="O345" s="14" t="n"/>
      <c r="P345" s="14" t="n"/>
      <c r="Q345" s="18" t="n"/>
      <c r="R345" s="18" t="n"/>
      <c r="S345" s="13">
        <f>IF($P345&lt;&gt;"✓","",IF($R345&lt;&gt;"","Done",IF($Q345="","Open — no date",IF($Q345&lt;TODAY(),"Overdue",IF($Q345-TODAY()&lt;=DueSoon,"Due soon","Scheduled")))))</f>
        <v/>
      </c>
      <c r="T345" s="14">
        <f>IF($W345="","",IFERROR(IF(INDEX(FormData,$W345,f_Consent)&amp;""="","",IF(ISNUMBER(SEARCH("yes",INDEX(FormData,$W345,f_Consent))),"Yes","No")),""))</f>
        <v/>
      </c>
      <c r="U345" s="14" t="n"/>
      <c r="V345" s="13">
        <f>IF($U345="","",IF($W345="","not found","✓"))</f>
        <v/>
      </c>
      <c r="W345">
        <f>IF($U345="","",IFERROR(MATCH($U345,INDEX(FormData,0,f_Id),0),IFERROR(MATCH(--$U345,INDEX(FormData,0,f_Id),0),IFERROR(MATCH($U345&amp;"",INDEX(FormData,0,f_Id),0),""))))</f>
        <v/>
      </c>
      <c r="X345">
        <f>IF(AND($B345&lt;&gt;"",$B345='Event Report'!$C$3),ROW(),"")</f>
        <v/>
      </c>
      <c r="Y345">
        <f>IF(AND($P345="✓",$R345=""),IF($Q345="",90000,$Q345)+ROW()/100000,"")</f>
        <v/>
      </c>
      <c r="Z345">
        <f>IF(OR($U345&lt;&gt;"",$D345&lt;&gt;"",$E345&lt;&gt;"",$N345&lt;&gt;""),1,"")</f>
        <v/>
      </c>
    </row>
    <row r="346">
      <c r="A346" s="13" t="inlineStr">
        <is>
          <t>P-0342</t>
        </is>
      </c>
      <c r="B346" s="14">
        <f>IF(AND($U346="",$C346=""),"",IFERROR(INDEX(EvID,MATCH(INDEX(FormData,$W346,f_Event),EvID,0)),IFERROR(INDEX(EvID,MATCH(INDEX(FormData,$W346,f_Event),EvName,0)),IFERROR(INDEX(EvID,MATCH(INT($C346),EvDate,0)),""))))</f>
        <v/>
      </c>
      <c r="C346" s="15">
        <f>IF($W346="","",INDEX(FormData,$W346,f_Time))</f>
        <v/>
      </c>
      <c r="D346" s="14">
        <f>IF($W346="","",IFERROR(UPPER(LEFT(TRIM(INDEX(FormData,$W346,f_Name)),1)&amp;IFERROR(MID(TRIM(INDEX(FormData,$W346,f_Name)),FIND("^",SUBSTITUTE(TRIM(INDEX(FormData,$W346,f_Name))," ","^",LEN(TRIM(INDEX(FormData,$W346,f_Name)))-LEN(SUBSTITUTE(TRIM(INDEX(FormData,$W346,f_Name))," ",""))))+1,1),"")),""))</f>
        <v/>
      </c>
      <c r="E346" s="16">
        <f>IF($W346="","",IFERROR(IF(SUMPRODUCT(MAX((WhoKW&lt;&gt;"")*ISNUMBER(SEARCH(WhoKW,INDEX(FormData,$W346,f_Who)&amp;""))*(ROW(WhoKW)-MIN(ROW(WhoKW))+1)))=0,"",INDEX(WhoVal,SUMPRODUCT(MAX((WhoKW&lt;&gt;"")*ISNUMBER(SEARCH(WhoKW,INDEX(FormData,$W346,f_Who)&amp;""))*(ROW(WhoKW)-MIN(ROW(WhoKW))+1))))),""))</f>
        <v/>
      </c>
      <c r="F346" s="17">
        <f>IF($W346="","",TRIM(IFERROR(INDEX(FormData,$W346,f_Org1)&amp;"","")&amp;" "&amp;IFERROR(INDEX(FormData,$W346,f_Org2)&amp;"","")))</f>
        <v/>
      </c>
      <c r="G346" s="16">
        <f>IF($W346="","",IFERROR(INDEX(FormData,$W346,f_Region)&amp;"",""))</f>
        <v/>
      </c>
      <c r="H346" s="16">
        <f>IF($W346="","",IFERROR(IF(SUMPRODUCT(MAX((SitKW&lt;&gt;"")*ISNUMBER(SEARCH(SitKW,INDEX(FormData,$W346,f_Sit)&amp;""))*(ROW(SitKW)-MIN(ROW(SitKW))+1)))=0,"",INDEX(SitVal,SUMPRODUCT(MAX((SitKW&lt;&gt;"")*ISNUMBER(SEARCH(SitKW,INDEX(FormData,$W346,f_Sit)&amp;""))*(ROW(SitKW)-MIN(ROW(SitKW))+1))))),""))</f>
        <v/>
      </c>
      <c r="I346" s="14">
        <f>IF($W346="","",IFERROR(INDEX(FormData,$W346,f_Appr)&amp;"",""))</f>
        <v/>
      </c>
      <c r="J346" s="16">
        <f>IF($W346="","",IFERROR(INDEX(FormData,$W346,f_Trade)&amp;"",""))</f>
        <v/>
      </c>
      <c r="K346" s="16" t="n"/>
      <c r="L346" s="17" t="n"/>
      <c r="M346" s="16" t="n"/>
      <c r="N346" s="17" t="n"/>
      <c r="O346" s="14" t="n"/>
      <c r="P346" s="14" t="n"/>
      <c r="Q346" s="18" t="n"/>
      <c r="R346" s="18" t="n"/>
      <c r="S346" s="13">
        <f>IF($P346&lt;&gt;"✓","",IF($R346&lt;&gt;"","Done",IF($Q346="","Open — no date",IF($Q346&lt;TODAY(),"Overdue",IF($Q346-TODAY()&lt;=DueSoon,"Due soon","Scheduled")))))</f>
        <v/>
      </c>
      <c r="T346" s="14">
        <f>IF($W346="","",IFERROR(IF(INDEX(FormData,$W346,f_Consent)&amp;""="","",IF(ISNUMBER(SEARCH("yes",INDEX(FormData,$W346,f_Consent))),"Yes","No")),""))</f>
        <v/>
      </c>
      <c r="U346" s="14" t="n"/>
      <c r="V346" s="13">
        <f>IF($U346="","",IF($W346="","not found","✓"))</f>
        <v/>
      </c>
      <c r="W346">
        <f>IF($U346="","",IFERROR(MATCH($U346,INDEX(FormData,0,f_Id),0),IFERROR(MATCH(--$U346,INDEX(FormData,0,f_Id),0),IFERROR(MATCH($U346&amp;"",INDEX(FormData,0,f_Id),0),""))))</f>
        <v/>
      </c>
      <c r="X346">
        <f>IF(AND($B346&lt;&gt;"",$B346='Event Report'!$C$3),ROW(),"")</f>
        <v/>
      </c>
      <c r="Y346">
        <f>IF(AND($P346="✓",$R346=""),IF($Q346="",90000,$Q346)+ROW()/100000,"")</f>
        <v/>
      </c>
      <c r="Z346">
        <f>IF(OR($U346&lt;&gt;"",$D346&lt;&gt;"",$E346&lt;&gt;"",$N346&lt;&gt;""),1,"")</f>
        <v/>
      </c>
    </row>
    <row r="347">
      <c r="A347" s="13" t="inlineStr">
        <is>
          <t>P-0343</t>
        </is>
      </c>
      <c r="B347" s="14">
        <f>IF(AND($U347="",$C347=""),"",IFERROR(INDEX(EvID,MATCH(INDEX(FormData,$W347,f_Event),EvID,0)),IFERROR(INDEX(EvID,MATCH(INDEX(FormData,$W347,f_Event),EvName,0)),IFERROR(INDEX(EvID,MATCH(INT($C347),EvDate,0)),""))))</f>
        <v/>
      </c>
      <c r="C347" s="15">
        <f>IF($W347="","",INDEX(FormData,$W347,f_Time))</f>
        <v/>
      </c>
      <c r="D347" s="14">
        <f>IF($W347="","",IFERROR(UPPER(LEFT(TRIM(INDEX(FormData,$W347,f_Name)),1)&amp;IFERROR(MID(TRIM(INDEX(FormData,$W347,f_Name)),FIND("^",SUBSTITUTE(TRIM(INDEX(FormData,$W347,f_Name))," ","^",LEN(TRIM(INDEX(FormData,$W347,f_Name)))-LEN(SUBSTITUTE(TRIM(INDEX(FormData,$W347,f_Name))," ",""))))+1,1),"")),""))</f>
        <v/>
      </c>
      <c r="E347" s="16">
        <f>IF($W347="","",IFERROR(IF(SUMPRODUCT(MAX((WhoKW&lt;&gt;"")*ISNUMBER(SEARCH(WhoKW,INDEX(FormData,$W347,f_Who)&amp;""))*(ROW(WhoKW)-MIN(ROW(WhoKW))+1)))=0,"",INDEX(WhoVal,SUMPRODUCT(MAX((WhoKW&lt;&gt;"")*ISNUMBER(SEARCH(WhoKW,INDEX(FormData,$W347,f_Who)&amp;""))*(ROW(WhoKW)-MIN(ROW(WhoKW))+1))))),""))</f>
        <v/>
      </c>
      <c r="F347" s="17">
        <f>IF($W347="","",TRIM(IFERROR(INDEX(FormData,$W347,f_Org1)&amp;"","")&amp;" "&amp;IFERROR(INDEX(FormData,$W347,f_Org2)&amp;"","")))</f>
        <v/>
      </c>
      <c r="G347" s="16">
        <f>IF($W347="","",IFERROR(INDEX(FormData,$W347,f_Region)&amp;"",""))</f>
        <v/>
      </c>
      <c r="H347" s="16">
        <f>IF($W347="","",IFERROR(IF(SUMPRODUCT(MAX((SitKW&lt;&gt;"")*ISNUMBER(SEARCH(SitKW,INDEX(FormData,$W347,f_Sit)&amp;""))*(ROW(SitKW)-MIN(ROW(SitKW))+1)))=0,"",INDEX(SitVal,SUMPRODUCT(MAX((SitKW&lt;&gt;"")*ISNUMBER(SEARCH(SitKW,INDEX(FormData,$W347,f_Sit)&amp;""))*(ROW(SitKW)-MIN(ROW(SitKW))+1))))),""))</f>
        <v/>
      </c>
      <c r="I347" s="14">
        <f>IF($W347="","",IFERROR(INDEX(FormData,$W347,f_Appr)&amp;"",""))</f>
        <v/>
      </c>
      <c r="J347" s="16">
        <f>IF($W347="","",IFERROR(INDEX(FormData,$W347,f_Trade)&amp;"",""))</f>
        <v/>
      </c>
      <c r="K347" s="16" t="n"/>
      <c r="L347" s="17" t="n"/>
      <c r="M347" s="16" t="n"/>
      <c r="N347" s="17" t="n"/>
      <c r="O347" s="14" t="n"/>
      <c r="P347" s="14" t="n"/>
      <c r="Q347" s="18" t="n"/>
      <c r="R347" s="18" t="n"/>
      <c r="S347" s="13">
        <f>IF($P347&lt;&gt;"✓","",IF($R347&lt;&gt;"","Done",IF($Q347="","Open — no date",IF($Q347&lt;TODAY(),"Overdue",IF($Q347-TODAY()&lt;=DueSoon,"Due soon","Scheduled")))))</f>
        <v/>
      </c>
      <c r="T347" s="14">
        <f>IF($W347="","",IFERROR(IF(INDEX(FormData,$W347,f_Consent)&amp;""="","",IF(ISNUMBER(SEARCH("yes",INDEX(FormData,$W347,f_Consent))),"Yes","No")),""))</f>
        <v/>
      </c>
      <c r="U347" s="14" t="n"/>
      <c r="V347" s="13">
        <f>IF($U347="","",IF($W347="","not found","✓"))</f>
        <v/>
      </c>
      <c r="W347">
        <f>IF($U347="","",IFERROR(MATCH($U347,INDEX(FormData,0,f_Id),0),IFERROR(MATCH(--$U347,INDEX(FormData,0,f_Id),0),IFERROR(MATCH($U347&amp;"",INDEX(FormData,0,f_Id),0),""))))</f>
        <v/>
      </c>
      <c r="X347">
        <f>IF(AND($B347&lt;&gt;"",$B347='Event Report'!$C$3),ROW(),"")</f>
        <v/>
      </c>
      <c r="Y347">
        <f>IF(AND($P347="✓",$R347=""),IF($Q347="",90000,$Q347)+ROW()/100000,"")</f>
        <v/>
      </c>
      <c r="Z347">
        <f>IF(OR($U347&lt;&gt;"",$D347&lt;&gt;"",$E347&lt;&gt;"",$N347&lt;&gt;""),1,"")</f>
        <v/>
      </c>
    </row>
    <row r="348">
      <c r="A348" s="13" t="inlineStr">
        <is>
          <t>P-0344</t>
        </is>
      </c>
      <c r="B348" s="14">
        <f>IF(AND($U348="",$C348=""),"",IFERROR(INDEX(EvID,MATCH(INDEX(FormData,$W348,f_Event),EvID,0)),IFERROR(INDEX(EvID,MATCH(INDEX(FormData,$W348,f_Event),EvName,0)),IFERROR(INDEX(EvID,MATCH(INT($C348),EvDate,0)),""))))</f>
        <v/>
      </c>
      <c r="C348" s="15">
        <f>IF($W348="","",INDEX(FormData,$W348,f_Time))</f>
        <v/>
      </c>
      <c r="D348" s="14">
        <f>IF($W348="","",IFERROR(UPPER(LEFT(TRIM(INDEX(FormData,$W348,f_Name)),1)&amp;IFERROR(MID(TRIM(INDEX(FormData,$W348,f_Name)),FIND("^",SUBSTITUTE(TRIM(INDEX(FormData,$W348,f_Name))," ","^",LEN(TRIM(INDEX(FormData,$W348,f_Name)))-LEN(SUBSTITUTE(TRIM(INDEX(FormData,$W348,f_Name))," ",""))))+1,1),"")),""))</f>
        <v/>
      </c>
      <c r="E348" s="16">
        <f>IF($W348="","",IFERROR(IF(SUMPRODUCT(MAX((WhoKW&lt;&gt;"")*ISNUMBER(SEARCH(WhoKW,INDEX(FormData,$W348,f_Who)&amp;""))*(ROW(WhoKW)-MIN(ROW(WhoKW))+1)))=0,"",INDEX(WhoVal,SUMPRODUCT(MAX((WhoKW&lt;&gt;"")*ISNUMBER(SEARCH(WhoKW,INDEX(FormData,$W348,f_Who)&amp;""))*(ROW(WhoKW)-MIN(ROW(WhoKW))+1))))),""))</f>
        <v/>
      </c>
      <c r="F348" s="17">
        <f>IF($W348="","",TRIM(IFERROR(INDEX(FormData,$W348,f_Org1)&amp;"","")&amp;" "&amp;IFERROR(INDEX(FormData,$W348,f_Org2)&amp;"","")))</f>
        <v/>
      </c>
      <c r="G348" s="16">
        <f>IF($W348="","",IFERROR(INDEX(FormData,$W348,f_Region)&amp;"",""))</f>
        <v/>
      </c>
      <c r="H348" s="16">
        <f>IF($W348="","",IFERROR(IF(SUMPRODUCT(MAX((SitKW&lt;&gt;"")*ISNUMBER(SEARCH(SitKW,INDEX(FormData,$W348,f_Sit)&amp;""))*(ROW(SitKW)-MIN(ROW(SitKW))+1)))=0,"",INDEX(SitVal,SUMPRODUCT(MAX((SitKW&lt;&gt;"")*ISNUMBER(SEARCH(SitKW,INDEX(FormData,$W348,f_Sit)&amp;""))*(ROW(SitKW)-MIN(ROW(SitKW))+1))))),""))</f>
        <v/>
      </c>
      <c r="I348" s="14">
        <f>IF($W348="","",IFERROR(INDEX(FormData,$W348,f_Appr)&amp;"",""))</f>
        <v/>
      </c>
      <c r="J348" s="16">
        <f>IF($W348="","",IFERROR(INDEX(FormData,$W348,f_Trade)&amp;"",""))</f>
        <v/>
      </c>
      <c r="K348" s="16" t="n"/>
      <c r="L348" s="17" t="n"/>
      <c r="M348" s="16" t="n"/>
      <c r="N348" s="17" t="n"/>
      <c r="O348" s="14" t="n"/>
      <c r="P348" s="14" t="n"/>
      <c r="Q348" s="18" t="n"/>
      <c r="R348" s="18" t="n"/>
      <c r="S348" s="13">
        <f>IF($P348&lt;&gt;"✓","",IF($R348&lt;&gt;"","Done",IF($Q348="","Open — no date",IF($Q348&lt;TODAY(),"Overdue",IF($Q348-TODAY()&lt;=DueSoon,"Due soon","Scheduled")))))</f>
        <v/>
      </c>
      <c r="T348" s="14">
        <f>IF($W348="","",IFERROR(IF(INDEX(FormData,$W348,f_Consent)&amp;""="","",IF(ISNUMBER(SEARCH("yes",INDEX(FormData,$W348,f_Consent))),"Yes","No")),""))</f>
        <v/>
      </c>
      <c r="U348" s="14" t="n"/>
      <c r="V348" s="13">
        <f>IF($U348="","",IF($W348="","not found","✓"))</f>
        <v/>
      </c>
      <c r="W348">
        <f>IF($U348="","",IFERROR(MATCH($U348,INDEX(FormData,0,f_Id),0),IFERROR(MATCH(--$U348,INDEX(FormData,0,f_Id),0),IFERROR(MATCH($U348&amp;"",INDEX(FormData,0,f_Id),0),""))))</f>
        <v/>
      </c>
      <c r="X348">
        <f>IF(AND($B348&lt;&gt;"",$B348='Event Report'!$C$3),ROW(),"")</f>
        <v/>
      </c>
      <c r="Y348">
        <f>IF(AND($P348="✓",$R348=""),IF($Q348="",90000,$Q348)+ROW()/100000,"")</f>
        <v/>
      </c>
      <c r="Z348">
        <f>IF(OR($U348&lt;&gt;"",$D348&lt;&gt;"",$E348&lt;&gt;"",$N348&lt;&gt;""),1,"")</f>
        <v/>
      </c>
    </row>
    <row r="349">
      <c r="A349" s="13" t="inlineStr">
        <is>
          <t>P-0345</t>
        </is>
      </c>
      <c r="B349" s="14">
        <f>IF(AND($U349="",$C349=""),"",IFERROR(INDEX(EvID,MATCH(INDEX(FormData,$W349,f_Event),EvID,0)),IFERROR(INDEX(EvID,MATCH(INDEX(FormData,$W349,f_Event),EvName,0)),IFERROR(INDEX(EvID,MATCH(INT($C349),EvDate,0)),""))))</f>
        <v/>
      </c>
      <c r="C349" s="15">
        <f>IF($W349="","",INDEX(FormData,$W349,f_Time))</f>
        <v/>
      </c>
      <c r="D349" s="14">
        <f>IF($W349="","",IFERROR(UPPER(LEFT(TRIM(INDEX(FormData,$W349,f_Name)),1)&amp;IFERROR(MID(TRIM(INDEX(FormData,$W349,f_Name)),FIND("^",SUBSTITUTE(TRIM(INDEX(FormData,$W349,f_Name))," ","^",LEN(TRIM(INDEX(FormData,$W349,f_Name)))-LEN(SUBSTITUTE(TRIM(INDEX(FormData,$W349,f_Name))," ",""))))+1,1),"")),""))</f>
        <v/>
      </c>
      <c r="E349" s="16">
        <f>IF($W349="","",IFERROR(IF(SUMPRODUCT(MAX((WhoKW&lt;&gt;"")*ISNUMBER(SEARCH(WhoKW,INDEX(FormData,$W349,f_Who)&amp;""))*(ROW(WhoKW)-MIN(ROW(WhoKW))+1)))=0,"",INDEX(WhoVal,SUMPRODUCT(MAX((WhoKW&lt;&gt;"")*ISNUMBER(SEARCH(WhoKW,INDEX(FormData,$W349,f_Who)&amp;""))*(ROW(WhoKW)-MIN(ROW(WhoKW))+1))))),""))</f>
        <v/>
      </c>
      <c r="F349" s="17">
        <f>IF($W349="","",TRIM(IFERROR(INDEX(FormData,$W349,f_Org1)&amp;"","")&amp;" "&amp;IFERROR(INDEX(FormData,$W349,f_Org2)&amp;"","")))</f>
        <v/>
      </c>
      <c r="G349" s="16">
        <f>IF($W349="","",IFERROR(INDEX(FormData,$W349,f_Region)&amp;"",""))</f>
        <v/>
      </c>
      <c r="H349" s="16">
        <f>IF($W349="","",IFERROR(IF(SUMPRODUCT(MAX((SitKW&lt;&gt;"")*ISNUMBER(SEARCH(SitKW,INDEX(FormData,$W349,f_Sit)&amp;""))*(ROW(SitKW)-MIN(ROW(SitKW))+1)))=0,"",INDEX(SitVal,SUMPRODUCT(MAX((SitKW&lt;&gt;"")*ISNUMBER(SEARCH(SitKW,INDEX(FormData,$W349,f_Sit)&amp;""))*(ROW(SitKW)-MIN(ROW(SitKW))+1))))),""))</f>
        <v/>
      </c>
      <c r="I349" s="14">
        <f>IF($W349="","",IFERROR(INDEX(FormData,$W349,f_Appr)&amp;"",""))</f>
        <v/>
      </c>
      <c r="J349" s="16">
        <f>IF($W349="","",IFERROR(INDEX(FormData,$W349,f_Trade)&amp;"",""))</f>
        <v/>
      </c>
      <c r="K349" s="16" t="n"/>
      <c r="L349" s="17" t="n"/>
      <c r="M349" s="16" t="n"/>
      <c r="N349" s="17" t="n"/>
      <c r="O349" s="14" t="n"/>
      <c r="P349" s="14" t="n"/>
      <c r="Q349" s="18" t="n"/>
      <c r="R349" s="18" t="n"/>
      <c r="S349" s="13">
        <f>IF($P349&lt;&gt;"✓","",IF($R349&lt;&gt;"","Done",IF($Q349="","Open — no date",IF($Q349&lt;TODAY(),"Overdue",IF($Q349-TODAY()&lt;=DueSoon,"Due soon","Scheduled")))))</f>
        <v/>
      </c>
      <c r="T349" s="14">
        <f>IF($W349="","",IFERROR(IF(INDEX(FormData,$W349,f_Consent)&amp;""="","",IF(ISNUMBER(SEARCH("yes",INDEX(FormData,$W349,f_Consent))),"Yes","No")),""))</f>
        <v/>
      </c>
      <c r="U349" s="14" t="n"/>
      <c r="V349" s="13">
        <f>IF($U349="","",IF($W349="","not found","✓"))</f>
        <v/>
      </c>
      <c r="W349">
        <f>IF($U349="","",IFERROR(MATCH($U349,INDEX(FormData,0,f_Id),0),IFERROR(MATCH(--$U349,INDEX(FormData,0,f_Id),0),IFERROR(MATCH($U349&amp;"",INDEX(FormData,0,f_Id),0),""))))</f>
        <v/>
      </c>
      <c r="X349">
        <f>IF(AND($B349&lt;&gt;"",$B349='Event Report'!$C$3),ROW(),"")</f>
        <v/>
      </c>
      <c r="Y349">
        <f>IF(AND($P349="✓",$R349=""),IF($Q349="",90000,$Q349)+ROW()/100000,"")</f>
        <v/>
      </c>
      <c r="Z349">
        <f>IF(OR($U349&lt;&gt;"",$D349&lt;&gt;"",$E349&lt;&gt;"",$N349&lt;&gt;""),1,"")</f>
        <v/>
      </c>
    </row>
    <row r="350">
      <c r="A350" s="13" t="inlineStr">
        <is>
          <t>P-0346</t>
        </is>
      </c>
      <c r="B350" s="14">
        <f>IF(AND($U350="",$C350=""),"",IFERROR(INDEX(EvID,MATCH(INDEX(FormData,$W350,f_Event),EvID,0)),IFERROR(INDEX(EvID,MATCH(INDEX(FormData,$W350,f_Event),EvName,0)),IFERROR(INDEX(EvID,MATCH(INT($C350),EvDate,0)),""))))</f>
        <v/>
      </c>
      <c r="C350" s="15">
        <f>IF($W350="","",INDEX(FormData,$W350,f_Time))</f>
        <v/>
      </c>
      <c r="D350" s="14">
        <f>IF($W350="","",IFERROR(UPPER(LEFT(TRIM(INDEX(FormData,$W350,f_Name)),1)&amp;IFERROR(MID(TRIM(INDEX(FormData,$W350,f_Name)),FIND("^",SUBSTITUTE(TRIM(INDEX(FormData,$W350,f_Name))," ","^",LEN(TRIM(INDEX(FormData,$W350,f_Name)))-LEN(SUBSTITUTE(TRIM(INDEX(FormData,$W350,f_Name))," ",""))))+1,1),"")),""))</f>
        <v/>
      </c>
      <c r="E350" s="16">
        <f>IF($W350="","",IFERROR(IF(SUMPRODUCT(MAX((WhoKW&lt;&gt;"")*ISNUMBER(SEARCH(WhoKW,INDEX(FormData,$W350,f_Who)&amp;""))*(ROW(WhoKW)-MIN(ROW(WhoKW))+1)))=0,"",INDEX(WhoVal,SUMPRODUCT(MAX((WhoKW&lt;&gt;"")*ISNUMBER(SEARCH(WhoKW,INDEX(FormData,$W350,f_Who)&amp;""))*(ROW(WhoKW)-MIN(ROW(WhoKW))+1))))),""))</f>
        <v/>
      </c>
      <c r="F350" s="17">
        <f>IF($W350="","",TRIM(IFERROR(INDEX(FormData,$W350,f_Org1)&amp;"","")&amp;" "&amp;IFERROR(INDEX(FormData,$W350,f_Org2)&amp;"","")))</f>
        <v/>
      </c>
      <c r="G350" s="16">
        <f>IF($W350="","",IFERROR(INDEX(FormData,$W350,f_Region)&amp;"",""))</f>
        <v/>
      </c>
      <c r="H350" s="16">
        <f>IF($W350="","",IFERROR(IF(SUMPRODUCT(MAX((SitKW&lt;&gt;"")*ISNUMBER(SEARCH(SitKW,INDEX(FormData,$W350,f_Sit)&amp;""))*(ROW(SitKW)-MIN(ROW(SitKW))+1)))=0,"",INDEX(SitVal,SUMPRODUCT(MAX((SitKW&lt;&gt;"")*ISNUMBER(SEARCH(SitKW,INDEX(FormData,$W350,f_Sit)&amp;""))*(ROW(SitKW)-MIN(ROW(SitKW))+1))))),""))</f>
        <v/>
      </c>
      <c r="I350" s="14">
        <f>IF($W350="","",IFERROR(INDEX(FormData,$W350,f_Appr)&amp;"",""))</f>
        <v/>
      </c>
      <c r="J350" s="16">
        <f>IF($W350="","",IFERROR(INDEX(FormData,$W350,f_Trade)&amp;"",""))</f>
        <v/>
      </c>
      <c r="K350" s="16" t="n"/>
      <c r="L350" s="17" t="n"/>
      <c r="M350" s="16" t="n"/>
      <c r="N350" s="17" t="n"/>
      <c r="O350" s="14" t="n"/>
      <c r="P350" s="14" t="n"/>
      <c r="Q350" s="18" t="n"/>
      <c r="R350" s="18" t="n"/>
      <c r="S350" s="13">
        <f>IF($P350&lt;&gt;"✓","",IF($R350&lt;&gt;"","Done",IF($Q350="","Open — no date",IF($Q350&lt;TODAY(),"Overdue",IF($Q350-TODAY()&lt;=DueSoon,"Due soon","Scheduled")))))</f>
        <v/>
      </c>
      <c r="T350" s="14">
        <f>IF($W350="","",IFERROR(IF(INDEX(FormData,$W350,f_Consent)&amp;""="","",IF(ISNUMBER(SEARCH("yes",INDEX(FormData,$W350,f_Consent))),"Yes","No")),""))</f>
        <v/>
      </c>
      <c r="U350" s="14" t="n"/>
      <c r="V350" s="13">
        <f>IF($U350="","",IF($W350="","not found","✓"))</f>
        <v/>
      </c>
      <c r="W350">
        <f>IF($U350="","",IFERROR(MATCH($U350,INDEX(FormData,0,f_Id),0),IFERROR(MATCH(--$U350,INDEX(FormData,0,f_Id),0),IFERROR(MATCH($U350&amp;"",INDEX(FormData,0,f_Id),0),""))))</f>
        <v/>
      </c>
      <c r="X350">
        <f>IF(AND($B350&lt;&gt;"",$B350='Event Report'!$C$3),ROW(),"")</f>
        <v/>
      </c>
      <c r="Y350">
        <f>IF(AND($P350="✓",$R350=""),IF($Q350="",90000,$Q350)+ROW()/100000,"")</f>
        <v/>
      </c>
      <c r="Z350">
        <f>IF(OR($U350&lt;&gt;"",$D350&lt;&gt;"",$E350&lt;&gt;"",$N350&lt;&gt;""),1,"")</f>
        <v/>
      </c>
    </row>
    <row r="351">
      <c r="A351" s="13" t="inlineStr">
        <is>
          <t>P-0347</t>
        </is>
      </c>
      <c r="B351" s="14">
        <f>IF(AND($U351="",$C351=""),"",IFERROR(INDEX(EvID,MATCH(INDEX(FormData,$W351,f_Event),EvID,0)),IFERROR(INDEX(EvID,MATCH(INDEX(FormData,$W351,f_Event),EvName,0)),IFERROR(INDEX(EvID,MATCH(INT($C351),EvDate,0)),""))))</f>
        <v/>
      </c>
      <c r="C351" s="15">
        <f>IF($W351="","",INDEX(FormData,$W351,f_Time))</f>
        <v/>
      </c>
      <c r="D351" s="14">
        <f>IF($W351="","",IFERROR(UPPER(LEFT(TRIM(INDEX(FormData,$W351,f_Name)),1)&amp;IFERROR(MID(TRIM(INDEX(FormData,$W351,f_Name)),FIND("^",SUBSTITUTE(TRIM(INDEX(FormData,$W351,f_Name))," ","^",LEN(TRIM(INDEX(FormData,$W351,f_Name)))-LEN(SUBSTITUTE(TRIM(INDEX(FormData,$W351,f_Name))," ",""))))+1,1),"")),""))</f>
        <v/>
      </c>
      <c r="E351" s="16">
        <f>IF($W351="","",IFERROR(IF(SUMPRODUCT(MAX((WhoKW&lt;&gt;"")*ISNUMBER(SEARCH(WhoKW,INDEX(FormData,$W351,f_Who)&amp;""))*(ROW(WhoKW)-MIN(ROW(WhoKW))+1)))=0,"",INDEX(WhoVal,SUMPRODUCT(MAX((WhoKW&lt;&gt;"")*ISNUMBER(SEARCH(WhoKW,INDEX(FormData,$W351,f_Who)&amp;""))*(ROW(WhoKW)-MIN(ROW(WhoKW))+1))))),""))</f>
        <v/>
      </c>
      <c r="F351" s="17">
        <f>IF($W351="","",TRIM(IFERROR(INDEX(FormData,$W351,f_Org1)&amp;"","")&amp;" "&amp;IFERROR(INDEX(FormData,$W351,f_Org2)&amp;"","")))</f>
        <v/>
      </c>
      <c r="G351" s="16">
        <f>IF($W351="","",IFERROR(INDEX(FormData,$W351,f_Region)&amp;"",""))</f>
        <v/>
      </c>
      <c r="H351" s="16">
        <f>IF($W351="","",IFERROR(IF(SUMPRODUCT(MAX((SitKW&lt;&gt;"")*ISNUMBER(SEARCH(SitKW,INDEX(FormData,$W351,f_Sit)&amp;""))*(ROW(SitKW)-MIN(ROW(SitKW))+1)))=0,"",INDEX(SitVal,SUMPRODUCT(MAX((SitKW&lt;&gt;"")*ISNUMBER(SEARCH(SitKW,INDEX(FormData,$W351,f_Sit)&amp;""))*(ROW(SitKW)-MIN(ROW(SitKW))+1))))),""))</f>
        <v/>
      </c>
      <c r="I351" s="14">
        <f>IF($W351="","",IFERROR(INDEX(FormData,$W351,f_Appr)&amp;"",""))</f>
        <v/>
      </c>
      <c r="J351" s="16">
        <f>IF($W351="","",IFERROR(INDEX(FormData,$W351,f_Trade)&amp;"",""))</f>
        <v/>
      </c>
      <c r="K351" s="16" t="n"/>
      <c r="L351" s="17" t="n"/>
      <c r="M351" s="16" t="n"/>
      <c r="N351" s="17" t="n"/>
      <c r="O351" s="14" t="n"/>
      <c r="P351" s="14" t="n"/>
      <c r="Q351" s="18" t="n"/>
      <c r="R351" s="18" t="n"/>
      <c r="S351" s="13">
        <f>IF($P351&lt;&gt;"✓","",IF($R351&lt;&gt;"","Done",IF($Q351="","Open — no date",IF($Q351&lt;TODAY(),"Overdue",IF($Q351-TODAY()&lt;=DueSoon,"Due soon","Scheduled")))))</f>
        <v/>
      </c>
      <c r="T351" s="14">
        <f>IF($W351="","",IFERROR(IF(INDEX(FormData,$W351,f_Consent)&amp;""="","",IF(ISNUMBER(SEARCH("yes",INDEX(FormData,$W351,f_Consent))),"Yes","No")),""))</f>
        <v/>
      </c>
      <c r="U351" s="14" t="n"/>
      <c r="V351" s="13">
        <f>IF($U351="","",IF($W351="","not found","✓"))</f>
        <v/>
      </c>
      <c r="W351">
        <f>IF($U351="","",IFERROR(MATCH($U351,INDEX(FormData,0,f_Id),0),IFERROR(MATCH(--$U351,INDEX(FormData,0,f_Id),0),IFERROR(MATCH($U351&amp;"",INDEX(FormData,0,f_Id),0),""))))</f>
        <v/>
      </c>
      <c r="X351">
        <f>IF(AND($B351&lt;&gt;"",$B351='Event Report'!$C$3),ROW(),"")</f>
        <v/>
      </c>
      <c r="Y351">
        <f>IF(AND($P351="✓",$R351=""),IF($Q351="",90000,$Q351)+ROW()/100000,"")</f>
        <v/>
      </c>
      <c r="Z351">
        <f>IF(OR($U351&lt;&gt;"",$D351&lt;&gt;"",$E351&lt;&gt;"",$N351&lt;&gt;""),1,"")</f>
        <v/>
      </c>
    </row>
    <row r="352">
      <c r="A352" s="13" t="inlineStr">
        <is>
          <t>P-0348</t>
        </is>
      </c>
      <c r="B352" s="14">
        <f>IF(AND($U352="",$C352=""),"",IFERROR(INDEX(EvID,MATCH(INDEX(FormData,$W352,f_Event),EvID,0)),IFERROR(INDEX(EvID,MATCH(INDEX(FormData,$W352,f_Event),EvName,0)),IFERROR(INDEX(EvID,MATCH(INT($C352),EvDate,0)),""))))</f>
        <v/>
      </c>
      <c r="C352" s="15">
        <f>IF($W352="","",INDEX(FormData,$W352,f_Time))</f>
        <v/>
      </c>
      <c r="D352" s="14">
        <f>IF($W352="","",IFERROR(UPPER(LEFT(TRIM(INDEX(FormData,$W352,f_Name)),1)&amp;IFERROR(MID(TRIM(INDEX(FormData,$W352,f_Name)),FIND("^",SUBSTITUTE(TRIM(INDEX(FormData,$W352,f_Name))," ","^",LEN(TRIM(INDEX(FormData,$W352,f_Name)))-LEN(SUBSTITUTE(TRIM(INDEX(FormData,$W352,f_Name))," ",""))))+1,1),"")),""))</f>
        <v/>
      </c>
      <c r="E352" s="16">
        <f>IF($W352="","",IFERROR(IF(SUMPRODUCT(MAX((WhoKW&lt;&gt;"")*ISNUMBER(SEARCH(WhoKW,INDEX(FormData,$W352,f_Who)&amp;""))*(ROW(WhoKW)-MIN(ROW(WhoKW))+1)))=0,"",INDEX(WhoVal,SUMPRODUCT(MAX((WhoKW&lt;&gt;"")*ISNUMBER(SEARCH(WhoKW,INDEX(FormData,$W352,f_Who)&amp;""))*(ROW(WhoKW)-MIN(ROW(WhoKW))+1))))),""))</f>
        <v/>
      </c>
      <c r="F352" s="17">
        <f>IF($W352="","",TRIM(IFERROR(INDEX(FormData,$W352,f_Org1)&amp;"","")&amp;" "&amp;IFERROR(INDEX(FormData,$W352,f_Org2)&amp;"","")))</f>
        <v/>
      </c>
      <c r="G352" s="16">
        <f>IF($W352="","",IFERROR(INDEX(FormData,$W352,f_Region)&amp;"",""))</f>
        <v/>
      </c>
      <c r="H352" s="16">
        <f>IF($W352="","",IFERROR(IF(SUMPRODUCT(MAX((SitKW&lt;&gt;"")*ISNUMBER(SEARCH(SitKW,INDEX(FormData,$W352,f_Sit)&amp;""))*(ROW(SitKW)-MIN(ROW(SitKW))+1)))=0,"",INDEX(SitVal,SUMPRODUCT(MAX((SitKW&lt;&gt;"")*ISNUMBER(SEARCH(SitKW,INDEX(FormData,$W352,f_Sit)&amp;""))*(ROW(SitKW)-MIN(ROW(SitKW))+1))))),""))</f>
        <v/>
      </c>
      <c r="I352" s="14">
        <f>IF($W352="","",IFERROR(INDEX(FormData,$W352,f_Appr)&amp;"",""))</f>
        <v/>
      </c>
      <c r="J352" s="16">
        <f>IF($W352="","",IFERROR(INDEX(FormData,$W352,f_Trade)&amp;"",""))</f>
        <v/>
      </c>
      <c r="K352" s="16" t="n"/>
      <c r="L352" s="17" t="n"/>
      <c r="M352" s="16" t="n"/>
      <c r="N352" s="17" t="n"/>
      <c r="O352" s="14" t="n"/>
      <c r="P352" s="14" t="n"/>
      <c r="Q352" s="18" t="n"/>
      <c r="R352" s="18" t="n"/>
      <c r="S352" s="13">
        <f>IF($P352&lt;&gt;"✓","",IF($R352&lt;&gt;"","Done",IF($Q352="","Open — no date",IF($Q352&lt;TODAY(),"Overdue",IF($Q352-TODAY()&lt;=DueSoon,"Due soon","Scheduled")))))</f>
        <v/>
      </c>
      <c r="T352" s="14">
        <f>IF($W352="","",IFERROR(IF(INDEX(FormData,$W352,f_Consent)&amp;""="","",IF(ISNUMBER(SEARCH("yes",INDEX(FormData,$W352,f_Consent))),"Yes","No")),""))</f>
        <v/>
      </c>
      <c r="U352" s="14" t="n"/>
      <c r="V352" s="13">
        <f>IF($U352="","",IF($W352="","not found","✓"))</f>
        <v/>
      </c>
      <c r="W352">
        <f>IF($U352="","",IFERROR(MATCH($U352,INDEX(FormData,0,f_Id),0),IFERROR(MATCH(--$U352,INDEX(FormData,0,f_Id),0),IFERROR(MATCH($U352&amp;"",INDEX(FormData,0,f_Id),0),""))))</f>
        <v/>
      </c>
      <c r="X352">
        <f>IF(AND($B352&lt;&gt;"",$B352='Event Report'!$C$3),ROW(),"")</f>
        <v/>
      </c>
      <c r="Y352">
        <f>IF(AND($P352="✓",$R352=""),IF($Q352="",90000,$Q352)+ROW()/100000,"")</f>
        <v/>
      </c>
      <c r="Z352">
        <f>IF(OR($U352&lt;&gt;"",$D352&lt;&gt;"",$E352&lt;&gt;"",$N352&lt;&gt;""),1,"")</f>
        <v/>
      </c>
    </row>
    <row r="353">
      <c r="A353" s="13" t="inlineStr">
        <is>
          <t>P-0349</t>
        </is>
      </c>
      <c r="B353" s="14">
        <f>IF(AND($U353="",$C353=""),"",IFERROR(INDEX(EvID,MATCH(INDEX(FormData,$W353,f_Event),EvID,0)),IFERROR(INDEX(EvID,MATCH(INDEX(FormData,$W353,f_Event),EvName,0)),IFERROR(INDEX(EvID,MATCH(INT($C353),EvDate,0)),""))))</f>
        <v/>
      </c>
      <c r="C353" s="15">
        <f>IF($W353="","",INDEX(FormData,$W353,f_Time))</f>
        <v/>
      </c>
      <c r="D353" s="14">
        <f>IF($W353="","",IFERROR(UPPER(LEFT(TRIM(INDEX(FormData,$W353,f_Name)),1)&amp;IFERROR(MID(TRIM(INDEX(FormData,$W353,f_Name)),FIND("^",SUBSTITUTE(TRIM(INDEX(FormData,$W353,f_Name))," ","^",LEN(TRIM(INDEX(FormData,$W353,f_Name)))-LEN(SUBSTITUTE(TRIM(INDEX(FormData,$W353,f_Name))," ",""))))+1,1),"")),""))</f>
        <v/>
      </c>
      <c r="E353" s="16">
        <f>IF($W353="","",IFERROR(IF(SUMPRODUCT(MAX((WhoKW&lt;&gt;"")*ISNUMBER(SEARCH(WhoKW,INDEX(FormData,$W353,f_Who)&amp;""))*(ROW(WhoKW)-MIN(ROW(WhoKW))+1)))=0,"",INDEX(WhoVal,SUMPRODUCT(MAX((WhoKW&lt;&gt;"")*ISNUMBER(SEARCH(WhoKW,INDEX(FormData,$W353,f_Who)&amp;""))*(ROW(WhoKW)-MIN(ROW(WhoKW))+1))))),""))</f>
        <v/>
      </c>
      <c r="F353" s="17">
        <f>IF($W353="","",TRIM(IFERROR(INDEX(FormData,$W353,f_Org1)&amp;"","")&amp;" "&amp;IFERROR(INDEX(FormData,$W353,f_Org2)&amp;"","")))</f>
        <v/>
      </c>
      <c r="G353" s="16">
        <f>IF($W353="","",IFERROR(INDEX(FormData,$W353,f_Region)&amp;"",""))</f>
        <v/>
      </c>
      <c r="H353" s="16">
        <f>IF($W353="","",IFERROR(IF(SUMPRODUCT(MAX((SitKW&lt;&gt;"")*ISNUMBER(SEARCH(SitKW,INDEX(FormData,$W353,f_Sit)&amp;""))*(ROW(SitKW)-MIN(ROW(SitKW))+1)))=0,"",INDEX(SitVal,SUMPRODUCT(MAX((SitKW&lt;&gt;"")*ISNUMBER(SEARCH(SitKW,INDEX(FormData,$W353,f_Sit)&amp;""))*(ROW(SitKW)-MIN(ROW(SitKW))+1))))),""))</f>
        <v/>
      </c>
      <c r="I353" s="14">
        <f>IF($W353="","",IFERROR(INDEX(FormData,$W353,f_Appr)&amp;"",""))</f>
        <v/>
      </c>
      <c r="J353" s="16">
        <f>IF($W353="","",IFERROR(INDEX(FormData,$W353,f_Trade)&amp;"",""))</f>
        <v/>
      </c>
      <c r="K353" s="16" t="n"/>
      <c r="L353" s="17" t="n"/>
      <c r="M353" s="16" t="n"/>
      <c r="N353" s="17" t="n"/>
      <c r="O353" s="14" t="n"/>
      <c r="P353" s="14" t="n"/>
      <c r="Q353" s="18" t="n"/>
      <c r="R353" s="18" t="n"/>
      <c r="S353" s="13">
        <f>IF($P353&lt;&gt;"✓","",IF($R353&lt;&gt;"","Done",IF($Q353="","Open — no date",IF($Q353&lt;TODAY(),"Overdue",IF($Q353-TODAY()&lt;=DueSoon,"Due soon","Scheduled")))))</f>
        <v/>
      </c>
      <c r="T353" s="14">
        <f>IF($W353="","",IFERROR(IF(INDEX(FormData,$W353,f_Consent)&amp;""="","",IF(ISNUMBER(SEARCH("yes",INDEX(FormData,$W353,f_Consent))),"Yes","No")),""))</f>
        <v/>
      </c>
      <c r="U353" s="14" t="n"/>
      <c r="V353" s="13">
        <f>IF($U353="","",IF($W353="","not found","✓"))</f>
        <v/>
      </c>
      <c r="W353">
        <f>IF($U353="","",IFERROR(MATCH($U353,INDEX(FormData,0,f_Id),0),IFERROR(MATCH(--$U353,INDEX(FormData,0,f_Id),0),IFERROR(MATCH($U353&amp;"",INDEX(FormData,0,f_Id),0),""))))</f>
        <v/>
      </c>
      <c r="X353">
        <f>IF(AND($B353&lt;&gt;"",$B353='Event Report'!$C$3),ROW(),"")</f>
        <v/>
      </c>
      <c r="Y353">
        <f>IF(AND($P353="✓",$R353=""),IF($Q353="",90000,$Q353)+ROW()/100000,"")</f>
        <v/>
      </c>
      <c r="Z353">
        <f>IF(OR($U353&lt;&gt;"",$D353&lt;&gt;"",$E353&lt;&gt;"",$N353&lt;&gt;""),1,"")</f>
        <v/>
      </c>
    </row>
    <row r="354">
      <c r="A354" s="13" t="inlineStr">
        <is>
          <t>P-0350</t>
        </is>
      </c>
      <c r="B354" s="14">
        <f>IF(AND($U354="",$C354=""),"",IFERROR(INDEX(EvID,MATCH(INDEX(FormData,$W354,f_Event),EvID,0)),IFERROR(INDEX(EvID,MATCH(INDEX(FormData,$W354,f_Event),EvName,0)),IFERROR(INDEX(EvID,MATCH(INT($C354),EvDate,0)),""))))</f>
        <v/>
      </c>
      <c r="C354" s="15">
        <f>IF($W354="","",INDEX(FormData,$W354,f_Time))</f>
        <v/>
      </c>
      <c r="D354" s="14">
        <f>IF($W354="","",IFERROR(UPPER(LEFT(TRIM(INDEX(FormData,$W354,f_Name)),1)&amp;IFERROR(MID(TRIM(INDEX(FormData,$W354,f_Name)),FIND("^",SUBSTITUTE(TRIM(INDEX(FormData,$W354,f_Name))," ","^",LEN(TRIM(INDEX(FormData,$W354,f_Name)))-LEN(SUBSTITUTE(TRIM(INDEX(FormData,$W354,f_Name))," ",""))))+1,1),"")),""))</f>
        <v/>
      </c>
      <c r="E354" s="16">
        <f>IF($W354="","",IFERROR(IF(SUMPRODUCT(MAX((WhoKW&lt;&gt;"")*ISNUMBER(SEARCH(WhoKW,INDEX(FormData,$W354,f_Who)&amp;""))*(ROW(WhoKW)-MIN(ROW(WhoKW))+1)))=0,"",INDEX(WhoVal,SUMPRODUCT(MAX((WhoKW&lt;&gt;"")*ISNUMBER(SEARCH(WhoKW,INDEX(FormData,$W354,f_Who)&amp;""))*(ROW(WhoKW)-MIN(ROW(WhoKW))+1))))),""))</f>
        <v/>
      </c>
      <c r="F354" s="17">
        <f>IF($W354="","",TRIM(IFERROR(INDEX(FormData,$W354,f_Org1)&amp;"","")&amp;" "&amp;IFERROR(INDEX(FormData,$W354,f_Org2)&amp;"","")))</f>
        <v/>
      </c>
      <c r="G354" s="16">
        <f>IF($W354="","",IFERROR(INDEX(FormData,$W354,f_Region)&amp;"",""))</f>
        <v/>
      </c>
      <c r="H354" s="16">
        <f>IF($W354="","",IFERROR(IF(SUMPRODUCT(MAX((SitKW&lt;&gt;"")*ISNUMBER(SEARCH(SitKW,INDEX(FormData,$W354,f_Sit)&amp;""))*(ROW(SitKW)-MIN(ROW(SitKW))+1)))=0,"",INDEX(SitVal,SUMPRODUCT(MAX((SitKW&lt;&gt;"")*ISNUMBER(SEARCH(SitKW,INDEX(FormData,$W354,f_Sit)&amp;""))*(ROW(SitKW)-MIN(ROW(SitKW))+1))))),""))</f>
        <v/>
      </c>
      <c r="I354" s="14">
        <f>IF($W354="","",IFERROR(INDEX(FormData,$W354,f_Appr)&amp;"",""))</f>
        <v/>
      </c>
      <c r="J354" s="16">
        <f>IF($W354="","",IFERROR(INDEX(FormData,$W354,f_Trade)&amp;"",""))</f>
        <v/>
      </c>
      <c r="K354" s="16" t="n"/>
      <c r="L354" s="17" t="n"/>
      <c r="M354" s="16" t="n"/>
      <c r="N354" s="17" t="n"/>
      <c r="O354" s="14" t="n"/>
      <c r="P354" s="14" t="n"/>
      <c r="Q354" s="18" t="n"/>
      <c r="R354" s="18" t="n"/>
      <c r="S354" s="13">
        <f>IF($P354&lt;&gt;"✓","",IF($R354&lt;&gt;"","Done",IF($Q354="","Open — no date",IF($Q354&lt;TODAY(),"Overdue",IF($Q354-TODAY()&lt;=DueSoon,"Due soon","Scheduled")))))</f>
        <v/>
      </c>
      <c r="T354" s="14">
        <f>IF($W354="","",IFERROR(IF(INDEX(FormData,$W354,f_Consent)&amp;""="","",IF(ISNUMBER(SEARCH("yes",INDEX(FormData,$W354,f_Consent))),"Yes","No")),""))</f>
        <v/>
      </c>
      <c r="U354" s="14" t="n"/>
      <c r="V354" s="13">
        <f>IF($U354="","",IF($W354="","not found","✓"))</f>
        <v/>
      </c>
      <c r="W354">
        <f>IF($U354="","",IFERROR(MATCH($U354,INDEX(FormData,0,f_Id),0),IFERROR(MATCH(--$U354,INDEX(FormData,0,f_Id),0),IFERROR(MATCH($U354&amp;"",INDEX(FormData,0,f_Id),0),""))))</f>
        <v/>
      </c>
      <c r="X354">
        <f>IF(AND($B354&lt;&gt;"",$B354='Event Report'!$C$3),ROW(),"")</f>
        <v/>
      </c>
      <c r="Y354">
        <f>IF(AND($P354="✓",$R354=""),IF($Q354="",90000,$Q354)+ROW()/100000,"")</f>
        <v/>
      </c>
      <c r="Z354">
        <f>IF(OR($U354&lt;&gt;"",$D354&lt;&gt;"",$E354&lt;&gt;"",$N354&lt;&gt;""),1,"")</f>
        <v/>
      </c>
    </row>
    <row r="355">
      <c r="A355" s="13" t="inlineStr">
        <is>
          <t>P-0351</t>
        </is>
      </c>
      <c r="B355" s="14">
        <f>IF(AND($U355="",$C355=""),"",IFERROR(INDEX(EvID,MATCH(INDEX(FormData,$W355,f_Event),EvID,0)),IFERROR(INDEX(EvID,MATCH(INDEX(FormData,$W355,f_Event),EvName,0)),IFERROR(INDEX(EvID,MATCH(INT($C355),EvDate,0)),""))))</f>
        <v/>
      </c>
      <c r="C355" s="15">
        <f>IF($W355="","",INDEX(FormData,$W355,f_Time))</f>
        <v/>
      </c>
      <c r="D355" s="14">
        <f>IF($W355="","",IFERROR(UPPER(LEFT(TRIM(INDEX(FormData,$W355,f_Name)),1)&amp;IFERROR(MID(TRIM(INDEX(FormData,$W355,f_Name)),FIND("^",SUBSTITUTE(TRIM(INDEX(FormData,$W355,f_Name))," ","^",LEN(TRIM(INDEX(FormData,$W355,f_Name)))-LEN(SUBSTITUTE(TRIM(INDEX(FormData,$W355,f_Name))," ",""))))+1,1),"")),""))</f>
        <v/>
      </c>
      <c r="E355" s="16">
        <f>IF($W355="","",IFERROR(IF(SUMPRODUCT(MAX((WhoKW&lt;&gt;"")*ISNUMBER(SEARCH(WhoKW,INDEX(FormData,$W355,f_Who)&amp;""))*(ROW(WhoKW)-MIN(ROW(WhoKW))+1)))=0,"",INDEX(WhoVal,SUMPRODUCT(MAX((WhoKW&lt;&gt;"")*ISNUMBER(SEARCH(WhoKW,INDEX(FormData,$W355,f_Who)&amp;""))*(ROW(WhoKW)-MIN(ROW(WhoKW))+1))))),""))</f>
        <v/>
      </c>
      <c r="F355" s="17">
        <f>IF($W355="","",TRIM(IFERROR(INDEX(FormData,$W355,f_Org1)&amp;"","")&amp;" "&amp;IFERROR(INDEX(FormData,$W355,f_Org2)&amp;"","")))</f>
        <v/>
      </c>
      <c r="G355" s="16">
        <f>IF($W355="","",IFERROR(INDEX(FormData,$W355,f_Region)&amp;"",""))</f>
        <v/>
      </c>
      <c r="H355" s="16">
        <f>IF($W355="","",IFERROR(IF(SUMPRODUCT(MAX((SitKW&lt;&gt;"")*ISNUMBER(SEARCH(SitKW,INDEX(FormData,$W355,f_Sit)&amp;""))*(ROW(SitKW)-MIN(ROW(SitKW))+1)))=0,"",INDEX(SitVal,SUMPRODUCT(MAX((SitKW&lt;&gt;"")*ISNUMBER(SEARCH(SitKW,INDEX(FormData,$W355,f_Sit)&amp;""))*(ROW(SitKW)-MIN(ROW(SitKW))+1))))),""))</f>
        <v/>
      </c>
      <c r="I355" s="14">
        <f>IF($W355="","",IFERROR(INDEX(FormData,$W355,f_Appr)&amp;"",""))</f>
        <v/>
      </c>
      <c r="J355" s="16">
        <f>IF($W355="","",IFERROR(INDEX(FormData,$W355,f_Trade)&amp;"",""))</f>
        <v/>
      </c>
      <c r="K355" s="16" t="n"/>
      <c r="L355" s="17" t="n"/>
      <c r="M355" s="16" t="n"/>
      <c r="N355" s="17" t="n"/>
      <c r="O355" s="14" t="n"/>
      <c r="P355" s="14" t="n"/>
      <c r="Q355" s="18" t="n"/>
      <c r="R355" s="18" t="n"/>
      <c r="S355" s="13">
        <f>IF($P355&lt;&gt;"✓","",IF($R355&lt;&gt;"","Done",IF($Q355="","Open — no date",IF($Q355&lt;TODAY(),"Overdue",IF($Q355-TODAY()&lt;=DueSoon,"Due soon","Scheduled")))))</f>
        <v/>
      </c>
      <c r="T355" s="14">
        <f>IF($W355="","",IFERROR(IF(INDEX(FormData,$W355,f_Consent)&amp;""="","",IF(ISNUMBER(SEARCH("yes",INDEX(FormData,$W355,f_Consent))),"Yes","No")),""))</f>
        <v/>
      </c>
      <c r="U355" s="14" t="n"/>
      <c r="V355" s="13">
        <f>IF($U355="","",IF($W355="","not found","✓"))</f>
        <v/>
      </c>
      <c r="W355">
        <f>IF($U355="","",IFERROR(MATCH($U355,INDEX(FormData,0,f_Id),0),IFERROR(MATCH(--$U355,INDEX(FormData,0,f_Id),0),IFERROR(MATCH($U355&amp;"",INDEX(FormData,0,f_Id),0),""))))</f>
        <v/>
      </c>
      <c r="X355">
        <f>IF(AND($B355&lt;&gt;"",$B355='Event Report'!$C$3),ROW(),"")</f>
        <v/>
      </c>
      <c r="Y355">
        <f>IF(AND($P355="✓",$R355=""),IF($Q355="",90000,$Q355)+ROW()/100000,"")</f>
        <v/>
      </c>
      <c r="Z355">
        <f>IF(OR($U355&lt;&gt;"",$D355&lt;&gt;"",$E355&lt;&gt;"",$N355&lt;&gt;""),1,"")</f>
        <v/>
      </c>
    </row>
    <row r="356">
      <c r="A356" s="13" t="inlineStr">
        <is>
          <t>P-0352</t>
        </is>
      </c>
      <c r="B356" s="14">
        <f>IF(AND($U356="",$C356=""),"",IFERROR(INDEX(EvID,MATCH(INDEX(FormData,$W356,f_Event),EvID,0)),IFERROR(INDEX(EvID,MATCH(INDEX(FormData,$W356,f_Event),EvName,0)),IFERROR(INDEX(EvID,MATCH(INT($C356),EvDate,0)),""))))</f>
        <v/>
      </c>
      <c r="C356" s="15">
        <f>IF($W356="","",INDEX(FormData,$W356,f_Time))</f>
        <v/>
      </c>
      <c r="D356" s="14">
        <f>IF($W356="","",IFERROR(UPPER(LEFT(TRIM(INDEX(FormData,$W356,f_Name)),1)&amp;IFERROR(MID(TRIM(INDEX(FormData,$W356,f_Name)),FIND("^",SUBSTITUTE(TRIM(INDEX(FormData,$W356,f_Name))," ","^",LEN(TRIM(INDEX(FormData,$W356,f_Name)))-LEN(SUBSTITUTE(TRIM(INDEX(FormData,$W356,f_Name))," ",""))))+1,1),"")),""))</f>
        <v/>
      </c>
      <c r="E356" s="16">
        <f>IF($W356="","",IFERROR(IF(SUMPRODUCT(MAX((WhoKW&lt;&gt;"")*ISNUMBER(SEARCH(WhoKW,INDEX(FormData,$W356,f_Who)&amp;""))*(ROW(WhoKW)-MIN(ROW(WhoKW))+1)))=0,"",INDEX(WhoVal,SUMPRODUCT(MAX((WhoKW&lt;&gt;"")*ISNUMBER(SEARCH(WhoKW,INDEX(FormData,$W356,f_Who)&amp;""))*(ROW(WhoKW)-MIN(ROW(WhoKW))+1))))),""))</f>
        <v/>
      </c>
      <c r="F356" s="17">
        <f>IF($W356="","",TRIM(IFERROR(INDEX(FormData,$W356,f_Org1)&amp;"","")&amp;" "&amp;IFERROR(INDEX(FormData,$W356,f_Org2)&amp;"","")))</f>
        <v/>
      </c>
      <c r="G356" s="16">
        <f>IF($W356="","",IFERROR(INDEX(FormData,$W356,f_Region)&amp;"",""))</f>
        <v/>
      </c>
      <c r="H356" s="16">
        <f>IF($W356="","",IFERROR(IF(SUMPRODUCT(MAX((SitKW&lt;&gt;"")*ISNUMBER(SEARCH(SitKW,INDEX(FormData,$W356,f_Sit)&amp;""))*(ROW(SitKW)-MIN(ROW(SitKW))+1)))=0,"",INDEX(SitVal,SUMPRODUCT(MAX((SitKW&lt;&gt;"")*ISNUMBER(SEARCH(SitKW,INDEX(FormData,$W356,f_Sit)&amp;""))*(ROW(SitKW)-MIN(ROW(SitKW))+1))))),""))</f>
        <v/>
      </c>
      <c r="I356" s="14">
        <f>IF($W356="","",IFERROR(INDEX(FormData,$W356,f_Appr)&amp;"",""))</f>
        <v/>
      </c>
      <c r="J356" s="16">
        <f>IF($W356="","",IFERROR(INDEX(FormData,$W356,f_Trade)&amp;"",""))</f>
        <v/>
      </c>
      <c r="K356" s="16" t="n"/>
      <c r="L356" s="17" t="n"/>
      <c r="M356" s="16" t="n"/>
      <c r="N356" s="17" t="n"/>
      <c r="O356" s="14" t="n"/>
      <c r="P356" s="14" t="n"/>
      <c r="Q356" s="18" t="n"/>
      <c r="R356" s="18" t="n"/>
      <c r="S356" s="13">
        <f>IF($P356&lt;&gt;"✓","",IF($R356&lt;&gt;"","Done",IF($Q356="","Open — no date",IF($Q356&lt;TODAY(),"Overdue",IF($Q356-TODAY()&lt;=DueSoon,"Due soon","Scheduled")))))</f>
        <v/>
      </c>
      <c r="T356" s="14">
        <f>IF($W356="","",IFERROR(IF(INDEX(FormData,$W356,f_Consent)&amp;""="","",IF(ISNUMBER(SEARCH("yes",INDEX(FormData,$W356,f_Consent))),"Yes","No")),""))</f>
        <v/>
      </c>
      <c r="U356" s="14" t="n"/>
      <c r="V356" s="13">
        <f>IF($U356="","",IF($W356="","not found","✓"))</f>
        <v/>
      </c>
      <c r="W356">
        <f>IF($U356="","",IFERROR(MATCH($U356,INDEX(FormData,0,f_Id),0),IFERROR(MATCH(--$U356,INDEX(FormData,0,f_Id),0),IFERROR(MATCH($U356&amp;"",INDEX(FormData,0,f_Id),0),""))))</f>
        <v/>
      </c>
      <c r="X356">
        <f>IF(AND($B356&lt;&gt;"",$B356='Event Report'!$C$3),ROW(),"")</f>
        <v/>
      </c>
      <c r="Y356">
        <f>IF(AND($P356="✓",$R356=""),IF($Q356="",90000,$Q356)+ROW()/100000,"")</f>
        <v/>
      </c>
      <c r="Z356">
        <f>IF(OR($U356&lt;&gt;"",$D356&lt;&gt;"",$E356&lt;&gt;"",$N356&lt;&gt;""),1,"")</f>
        <v/>
      </c>
    </row>
    <row r="357">
      <c r="A357" s="13" t="inlineStr">
        <is>
          <t>P-0353</t>
        </is>
      </c>
      <c r="B357" s="14">
        <f>IF(AND($U357="",$C357=""),"",IFERROR(INDEX(EvID,MATCH(INDEX(FormData,$W357,f_Event),EvID,0)),IFERROR(INDEX(EvID,MATCH(INDEX(FormData,$W357,f_Event),EvName,0)),IFERROR(INDEX(EvID,MATCH(INT($C357),EvDate,0)),""))))</f>
        <v/>
      </c>
      <c r="C357" s="15">
        <f>IF($W357="","",INDEX(FormData,$W357,f_Time))</f>
        <v/>
      </c>
      <c r="D357" s="14">
        <f>IF($W357="","",IFERROR(UPPER(LEFT(TRIM(INDEX(FormData,$W357,f_Name)),1)&amp;IFERROR(MID(TRIM(INDEX(FormData,$W357,f_Name)),FIND("^",SUBSTITUTE(TRIM(INDEX(FormData,$W357,f_Name))," ","^",LEN(TRIM(INDEX(FormData,$W357,f_Name)))-LEN(SUBSTITUTE(TRIM(INDEX(FormData,$W357,f_Name))," ",""))))+1,1),"")),""))</f>
        <v/>
      </c>
      <c r="E357" s="16">
        <f>IF($W357="","",IFERROR(IF(SUMPRODUCT(MAX((WhoKW&lt;&gt;"")*ISNUMBER(SEARCH(WhoKW,INDEX(FormData,$W357,f_Who)&amp;""))*(ROW(WhoKW)-MIN(ROW(WhoKW))+1)))=0,"",INDEX(WhoVal,SUMPRODUCT(MAX((WhoKW&lt;&gt;"")*ISNUMBER(SEARCH(WhoKW,INDEX(FormData,$W357,f_Who)&amp;""))*(ROW(WhoKW)-MIN(ROW(WhoKW))+1))))),""))</f>
        <v/>
      </c>
      <c r="F357" s="17">
        <f>IF($W357="","",TRIM(IFERROR(INDEX(FormData,$W357,f_Org1)&amp;"","")&amp;" "&amp;IFERROR(INDEX(FormData,$W357,f_Org2)&amp;"","")))</f>
        <v/>
      </c>
      <c r="G357" s="16">
        <f>IF($W357="","",IFERROR(INDEX(FormData,$W357,f_Region)&amp;"",""))</f>
        <v/>
      </c>
      <c r="H357" s="16">
        <f>IF($W357="","",IFERROR(IF(SUMPRODUCT(MAX((SitKW&lt;&gt;"")*ISNUMBER(SEARCH(SitKW,INDEX(FormData,$W357,f_Sit)&amp;""))*(ROW(SitKW)-MIN(ROW(SitKW))+1)))=0,"",INDEX(SitVal,SUMPRODUCT(MAX((SitKW&lt;&gt;"")*ISNUMBER(SEARCH(SitKW,INDEX(FormData,$W357,f_Sit)&amp;""))*(ROW(SitKW)-MIN(ROW(SitKW))+1))))),""))</f>
        <v/>
      </c>
      <c r="I357" s="14">
        <f>IF($W357="","",IFERROR(INDEX(FormData,$W357,f_Appr)&amp;"",""))</f>
        <v/>
      </c>
      <c r="J357" s="16">
        <f>IF($W357="","",IFERROR(INDEX(FormData,$W357,f_Trade)&amp;"",""))</f>
        <v/>
      </c>
      <c r="K357" s="16" t="n"/>
      <c r="L357" s="17" t="n"/>
      <c r="M357" s="16" t="n"/>
      <c r="N357" s="17" t="n"/>
      <c r="O357" s="14" t="n"/>
      <c r="P357" s="14" t="n"/>
      <c r="Q357" s="18" t="n"/>
      <c r="R357" s="18" t="n"/>
      <c r="S357" s="13">
        <f>IF($P357&lt;&gt;"✓","",IF($R357&lt;&gt;"","Done",IF($Q357="","Open — no date",IF($Q357&lt;TODAY(),"Overdue",IF($Q357-TODAY()&lt;=DueSoon,"Due soon","Scheduled")))))</f>
        <v/>
      </c>
      <c r="T357" s="14">
        <f>IF($W357="","",IFERROR(IF(INDEX(FormData,$W357,f_Consent)&amp;""="","",IF(ISNUMBER(SEARCH("yes",INDEX(FormData,$W357,f_Consent))),"Yes","No")),""))</f>
        <v/>
      </c>
      <c r="U357" s="14" t="n"/>
      <c r="V357" s="13">
        <f>IF($U357="","",IF($W357="","not found","✓"))</f>
        <v/>
      </c>
      <c r="W357">
        <f>IF($U357="","",IFERROR(MATCH($U357,INDEX(FormData,0,f_Id),0),IFERROR(MATCH(--$U357,INDEX(FormData,0,f_Id),0),IFERROR(MATCH($U357&amp;"",INDEX(FormData,0,f_Id),0),""))))</f>
        <v/>
      </c>
      <c r="X357">
        <f>IF(AND($B357&lt;&gt;"",$B357='Event Report'!$C$3),ROW(),"")</f>
        <v/>
      </c>
      <c r="Y357">
        <f>IF(AND($P357="✓",$R357=""),IF($Q357="",90000,$Q357)+ROW()/100000,"")</f>
        <v/>
      </c>
      <c r="Z357">
        <f>IF(OR($U357&lt;&gt;"",$D357&lt;&gt;"",$E357&lt;&gt;"",$N357&lt;&gt;""),1,"")</f>
        <v/>
      </c>
    </row>
    <row r="358">
      <c r="A358" s="13" t="inlineStr">
        <is>
          <t>P-0354</t>
        </is>
      </c>
      <c r="B358" s="14">
        <f>IF(AND($U358="",$C358=""),"",IFERROR(INDEX(EvID,MATCH(INDEX(FormData,$W358,f_Event),EvID,0)),IFERROR(INDEX(EvID,MATCH(INDEX(FormData,$W358,f_Event),EvName,0)),IFERROR(INDEX(EvID,MATCH(INT($C358),EvDate,0)),""))))</f>
        <v/>
      </c>
      <c r="C358" s="15">
        <f>IF($W358="","",INDEX(FormData,$W358,f_Time))</f>
        <v/>
      </c>
      <c r="D358" s="14">
        <f>IF($W358="","",IFERROR(UPPER(LEFT(TRIM(INDEX(FormData,$W358,f_Name)),1)&amp;IFERROR(MID(TRIM(INDEX(FormData,$W358,f_Name)),FIND("^",SUBSTITUTE(TRIM(INDEX(FormData,$W358,f_Name))," ","^",LEN(TRIM(INDEX(FormData,$W358,f_Name)))-LEN(SUBSTITUTE(TRIM(INDEX(FormData,$W358,f_Name))," ",""))))+1,1),"")),""))</f>
        <v/>
      </c>
      <c r="E358" s="16">
        <f>IF($W358="","",IFERROR(IF(SUMPRODUCT(MAX((WhoKW&lt;&gt;"")*ISNUMBER(SEARCH(WhoKW,INDEX(FormData,$W358,f_Who)&amp;""))*(ROW(WhoKW)-MIN(ROW(WhoKW))+1)))=0,"",INDEX(WhoVal,SUMPRODUCT(MAX((WhoKW&lt;&gt;"")*ISNUMBER(SEARCH(WhoKW,INDEX(FormData,$W358,f_Who)&amp;""))*(ROW(WhoKW)-MIN(ROW(WhoKW))+1))))),""))</f>
        <v/>
      </c>
      <c r="F358" s="17">
        <f>IF($W358="","",TRIM(IFERROR(INDEX(FormData,$W358,f_Org1)&amp;"","")&amp;" "&amp;IFERROR(INDEX(FormData,$W358,f_Org2)&amp;"","")))</f>
        <v/>
      </c>
      <c r="G358" s="16">
        <f>IF($W358="","",IFERROR(INDEX(FormData,$W358,f_Region)&amp;"",""))</f>
        <v/>
      </c>
      <c r="H358" s="16">
        <f>IF($W358="","",IFERROR(IF(SUMPRODUCT(MAX((SitKW&lt;&gt;"")*ISNUMBER(SEARCH(SitKW,INDEX(FormData,$W358,f_Sit)&amp;""))*(ROW(SitKW)-MIN(ROW(SitKW))+1)))=0,"",INDEX(SitVal,SUMPRODUCT(MAX((SitKW&lt;&gt;"")*ISNUMBER(SEARCH(SitKW,INDEX(FormData,$W358,f_Sit)&amp;""))*(ROW(SitKW)-MIN(ROW(SitKW))+1))))),""))</f>
        <v/>
      </c>
      <c r="I358" s="14">
        <f>IF($W358="","",IFERROR(INDEX(FormData,$W358,f_Appr)&amp;"",""))</f>
        <v/>
      </c>
      <c r="J358" s="16">
        <f>IF($W358="","",IFERROR(INDEX(FormData,$W358,f_Trade)&amp;"",""))</f>
        <v/>
      </c>
      <c r="K358" s="16" t="n"/>
      <c r="L358" s="17" t="n"/>
      <c r="M358" s="16" t="n"/>
      <c r="N358" s="17" t="n"/>
      <c r="O358" s="14" t="n"/>
      <c r="P358" s="14" t="n"/>
      <c r="Q358" s="18" t="n"/>
      <c r="R358" s="18" t="n"/>
      <c r="S358" s="13">
        <f>IF($P358&lt;&gt;"✓","",IF($R358&lt;&gt;"","Done",IF($Q358="","Open — no date",IF($Q358&lt;TODAY(),"Overdue",IF($Q358-TODAY()&lt;=DueSoon,"Due soon","Scheduled")))))</f>
        <v/>
      </c>
      <c r="T358" s="14">
        <f>IF($W358="","",IFERROR(IF(INDEX(FormData,$W358,f_Consent)&amp;""="","",IF(ISNUMBER(SEARCH("yes",INDEX(FormData,$W358,f_Consent))),"Yes","No")),""))</f>
        <v/>
      </c>
      <c r="U358" s="14" t="n"/>
      <c r="V358" s="13">
        <f>IF($U358="","",IF($W358="","not found","✓"))</f>
        <v/>
      </c>
      <c r="W358">
        <f>IF($U358="","",IFERROR(MATCH($U358,INDEX(FormData,0,f_Id),0),IFERROR(MATCH(--$U358,INDEX(FormData,0,f_Id),0),IFERROR(MATCH($U358&amp;"",INDEX(FormData,0,f_Id),0),""))))</f>
        <v/>
      </c>
      <c r="X358">
        <f>IF(AND($B358&lt;&gt;"",$B358='Event Report'!$C$3),ROW(),"")</f>
        <v/>
      </c>
      <c r="Y358">
        <f>IF(AND($P358="✓",$R358=""),IF($Q358="",90000,$Q358)+ROW()/100000,"")</f>
        <v/>
      </c>
      <c r="Z358">
        <f>IF(OR($U358&lt;&gt;"",$D358&lt;&gt;"",$E358&lt;&gt;"",$N358&lt;&gt;""),1,"")</f>
        <v/>
      </c>
    </row>
    <row r="359">
      <c r="A359" s="13" t="inlineStr">
        <is>
          <t>P-0355</t>
        </is>
      </c>
      <c r="B359" s="14">
        <f>IF(AND($U359="",$C359=""),"",IFERROR(INDEX(EvID,MATCH(INDEX(FormData,$W359,f_Event),EvID,0)),IFERROR(INDEX(EvID,MATCH(INDEX(FormData,$W359,f_Event),EvName,0)),IFERROR(INDEX(EvID,MATCH(INT($C359),EvDate,0)),""))))</f>
        <v/>
      </c>
      <c r="C359" s="15">
        <f>IF($W359="","",INDEX(FormData,$W359,f_Time))</f>
        <v/>
      </c>
      <c r="D359" s="14">
        <f>IF($W359="","",IFERROR(UPPER(LEFT(TRIM(INDEX(FormData,$W359,f_Name)),1)&amp;IFERROR(MID(TRIM(INDEX(FormData,$W359,f_Name)),FIND("^",SUBSTITUTE(TRIM(INDEX(FormData,$W359,f_Name))," ","^",LEN(TRIM(INDEX(FormData,$W359,f_Name)))-LEN(SUBSTITUTE(TRIM(INDEX(FormData,$W359,f_Name))," ",""))))+1,1),"")),""))</f>
        <v/>
      </c>
      <c r="E359" s="16">
        <f>IF($W359="","",IFERROR(IF(SUMPRODUCT(MAX((WhoKW&lt;&gt;"")*ISNUMBER(SEARCH(WhoKW,INDEX(FormData,$W359,f_Who)&amp;""))*(ROW(WhoKW)-MIN(ROW(WhoKW))+1)))=0,"",INDEX(WhoVal,SUMPRODUCT(MAX((WhoKW&lt;&gt;"")*ISNUMBER(SEARCH(WhoKW,INDEX(FormData,$W359,f_Who)&amp;""))*(ROW(WhoKW)-MIN(ROW(WhoKW))+1))))),""))</f>
        <v/>
      </c>
      <c r="F359" s="17">
        <f>IF($W359="","",TRIM(IFERROR(INDEX(FormData,$W359,f_Org1)&amp;"","")&amp;" "&amp;IFERROR(INDEX(FormData,$W359,f_Org2)&amp;"","")))</f>
        <v/>
      </c>
      <c r="G359" s="16">
        <f>IF($W359="","",IFERROR(INDEX(FormData,$W359,f_Region)&amp;"",""))</f>
        <v/>
      </c>
      <c r="H359" s="16">
        <f>IF($W359="","",IFERROR(IF(SUMPRODUCT(MAX((SitKW&lt;&gt;"")*ISNUMBER(SEARCH(SitKW,INDEX(FormData,$W359,f_Sit)&amp;""))*(ROW(SitKW)-MIN(ROW(SitKW))+1)))=0,"",INDEX(SitVal,SUMPRODUCT(MAX((SitKW&lt;&gt;"")*ISNUMBER(SEARCH(SitKW,INDEX(FormData,$W359,f_Sit)&amp;""))*(ROW(SitKW)-MIN(ROW(SitKW))+1))))),""))</f>
        <v/>
      </c>
      <c r="I359" s="14">
        <f>IF($W359="","",IFERROR(INDEX(FormData,$W359,f_Appr)&amp;"",""))</f>
        <v/>
      </c>
      <c r="J359" s="16">
        <f>IF($W359="","",IFERROR(INDEX(FormData,$W359,f_Trade)&amp;"",""))</f>
        <v/>
      </c>
      <c r="K359" s="16" t="n"/>
      <c r="L359" s="17" t="n"/>
      <c r="M359" s="16" t="n"/>
      <c r="N359" s="17" t="n"/>
      <c r="O359" s="14" t="n"/>
      <c r="P359" s="14" t="n"/>
      <c r="Q359" s="18" t="n"/>
      <c r="R359" s="18" t="n"/>
      <c r="S359" s="13">
        <f>IF($P359&lt;&gt;"✓","",IF($R359&lt;&gt;"","Done",IF($Q359="","Open — no date",IF($Q359&lt;TODAY(),"Overdue",IF($Q359-TODAY()&lt;=DueSoon,"Due soon","Scheduled")))))</f>
        <v/>
      </c>
      <c r="T359" s="14">
        <f>IF($W359="","",IFERROR(IF(INDEX(FormData,$W359,f_Consent)&amp;""="","",IF(ISNUMBER(SEARCH("yes",INDEX(FormData,$W359,f_Consent))),"Yes","No")),""))</f>
        <v/>
      </c>
      <c r="U359" s="14" t="n"/>
      <c r="V359" s="13">
        <f>IF($U359="","",IF($W359="","not found","✓"))</f>
        <v/>
      </c>
      <c r="W359">
        <f>IF($U359="","",IFERROR(MATCH($U359,INDEX(FormData,0,f_Id),0),IFERROR(MATCH(--$U359,INDEX(FormData,0,f_Id),0),IFERROR(MATCH($U359&amp;"",INDEX(FormData,0,f_Id),0),""))))</f>
        <v/>
      </c>
      <c r="X359">
        <f>IF(AND($B359&lt;&gt;"",$B359='Event Report'!$C$3),ROW(),"")</f>
        <v/>
      </c>
      <c r="Y359">
        <f>IF(AND($P359="✓",$R359=""),IF($Q359="",90000,$Q359)+ROW()/100000,"")</f>
        <v/>
      </c>
      <c r="Z359">
        <f>IF(OR($U359&lt;&gt;"",$D359&lt;&gt;"",$E359&lt;&gt;"",$N359&lt;&gt;""),1,"")</f>
        <v/>
      </c>
    </row>
    <row r="360">
      <c r="A360" s="13" t="inlineStr">
        <is>
          <t>P-0356</t>
        </is>
      </c>
      <c r="B360" s="14">
        <f>IF(AND($U360="",$C360=""),"",IFERROR(INDEX(EvID,MATCH(INDEX(FormData,$W360,f_Event),EvID,0)),IFERROR(INDEX(EvID,MATCH(INDEX(FormData,$W360,f_Event),EvName,0)),IFERROR(INDEX(EvID,MATCH(INT($C360),EvDate,0)),""))))</f>
        <v/>
      </c>
      <c r="C360" s="15">
        <f>IF($W360="","",INDEX(FormData,$W360,f_Time))</f>
        <v/>
      </c>
      <c r="D360" s="14">
        <f>IF($W360="","",IFERROR(UPPER(LEFT(TRIM(INDEX(FormData,$W360,f_Name)),1)&amp;IFERROR(MID(TRIM(INDEX(FormData,$W360,f_Name)),FIND("^",SUBSTITUTE(TRIM(INDEX(FormData,$W360,f_Name))," ","^",LEN(TRIM(INDEX(FormData,$W360,f_Name)))-LEN(SUBSTITUTE(TRIM(INDEX(FormData,$W360,f_Name))," ",""))))+1,1),"")),""))</f>
        <v/>
      </c>
      <c r="E360" s="16">
        <f>IF($W360="","",IFERROR(IF(SUMPRODUCT(MAX((WhoKW&lt;&gt;"")*ISNUMBER(SEARCH(WhoKW,INDEX(FormData,$W360,f_Who)&amp;""))*(ROW(WhoKW)-MIN(ROW(WhoKW))+1)))=0,"",INDEX(WhoVal,SUMPRODUCT(MAX((WhoKW&lt;&gt;"")*ISNUMBER(SEARCH(WhoKW,INDEX(FormData,$W360,f_Who)&amp;""))*(ROW(WhoKW)-MIN(ROW(WhoKW))+1))))),""))</f>
        <v/>
      </c>
      <c r="F360" s="17">
        <f>IF($W360="","",TRIM(IFERROR(INDEX(FormData,$W360,f_Org1)&amp;"","")&amp;" "&amp;IFERROR(INDEX(FormData,$W360,f_Org2)&amp;"","")))</f>
        <v/>
      </c>
      <c r="G360" s="16">
        <f>IF($W360="","",IFERROR(INDEX(FormData,$W360,f_Region)&amp;"",""))</f>
        <v/>
      </c>
      <c r="H360" s="16">
        <f>IF($W360="","",IFERROR(IF(SUMPRODUCT(MAX((SitKW&lt;&gt;"")*ISNUMBER(SEARCH(SitKW,INDEX(FormData,$W360,f_Sit)&amp;""))*(ROW(SitKW)-MIN(ROW(SitKW))+1)))=0,"",INDEX(SitVal,SUMPRODUCT(MAX((SitKW&lt;&gt;"")*ISNUMBER(SEARCH(SitKW,INDEX(FormData,$W360,f_Sit)&amp;""))*(ROW(SitKW)-MIN(ROW(SitKW))+1))))),""))</f>
        <v/>
      </c>
      <c r="I360" s="14">
        <f>IF($W360="","",IFERROR(INDEX(FormData,$W360,f_Appr)&amp;"",""))</f>
        <v/>
      </c>
      <c r="J360" s="16">
        <f>IF($W360="","",IFERROR(INDEX(FormData,$W360,f_Trade)&amp;"",""))</f>
        <v/>
      </c>
      <c r="K360" s="16" t="n"/>
      <c r="L360" s="17" t="n"/>
      <c r="M360" s="16" t="n"/>
      <c r="N360" s="17" t="n"/>
      <c r="O360" s="14" t="n"/>
      <c r="P360" s="14" t="n"/>
      <c r="Q360" s="18" t="n"/>
      <c r="R360" s="18" t="n"/>
      <c r="S360" s="13">
        <f>IF($P360&lt;&gt;"✓","",IF($R360&lt;&gt;"","Done",IF($Q360="","Open — no date",IF($Q360&lt;TODAY(),"Overdue",IF($Q360-TODAY()&lt;=DueSoon,"Due soon","Scheduled")))))</f>
        <v/>
      </c>
      <c r="T360" s="14">
        <f>IF($W360="","",IFERROR(IF(INDEX(FormData,$W360,f_Consent)&amp;""="","",IF(ISNUMBER(SEARCH("yes",INDEX(FormData,$W360,f_Consent))),"Yes","No")),""))</f>
        <v/>
      </c>
      <c r="U360" s="14" t="n"/>
      <c r="V360" s="13">
        <f>IF($U360="","",IF($W360="","not found","✓"))</f>
        <v/>
      </c>
      <c r="W360">
        <f>IF($U360="","",IFERROR(MATCH($U360,INDEX(FormData,0,f_Id),0),IFERROR(MATCH(--$U360,INDEX(FormData,0,f_Id),0),IFERROR(MATCH($U360&amp;"",INDEX(FormData,0,f_Id),0),""))))</f>
        <v/>
      </c>
      <c r="X360">
        <f>IF(AND($B360&lt;&gt;"",$B360='Event Report'!$C$3),ROW(),"")</f>
        <v/>
      </c>
      <c r="Y360">
        <f>IF(AND($P360="✓",$R360=""),IF($Q360="",90000,$Q360)+ROW()/100000,"")</f>
        <v/>
      </c>
      <c r="Z360">
        <f>IF(OR($U360&lt;&gt;"",$D360&lt;&gt;"",$E360&lt;&gt;"",$N360&lt;&gt;""),1,"")</f>
        <v/>
      </c>
    </row>
    <row r="361">
      <c r="A361" s="13" t="inlineStr">
        <is>
          <t>P-0357</t>
        </is>
      </c>
      <c r="B361" s="14">
        <f>IF(AND($U361="",$C361=""),"",IFERROR(INDEX(EvID,MATCH(INDEX(FormData,$W361,f_Event),EvID,0)),IFERROR(INDEX(EvID,MATCH(INDEX(FormData,$W361,f_Event),EvName,0)),IFERROR(INDEX(EvID,MATCH(INT($C361),EvDate,0)),""))))</f>
        <v/>
      </c>
      <c r="C361" s="15">
        <f>IF($W361="","",INDEX(FormData,$W361,f_Time))</f>
        <v/>
      </c>
      <c r="D361" s="14">
        <f>IF($W361="","",IFERROR(UPPER(LEFT(TRIM(INDEX(FormData,$W361,f_Name)),1)&amp;IFERROR(MID(TRIM(INDEX(FormData,$W361,f_Name)),FIND("^",SUBSTITUTE(TRIM(INDEX(FormData,$W361,f_Name))," ","^",LEN(TRIM(INDEX(FormData,$W361,f_Name)))-LEN(SUBSTITUTE(TRIM(INDEX(FormData,$W361,f_Name))," ",""))))+1,1),"")),""))</f>
        <v/>
      </c>
      <c r="E361" s="16">
        <f>IF($W361="","",IFERROR(IF(SUMPRODUCT(MAX((WhoKW&lt;&gt;"")*ISNUMBER(SEARCH(WhoKW,INDEX(FormData,$W361,f_Who)&amp;""))*(ROW(WhoKW)-MIN(ROW(WhoKW))+1)))=0,"",INDEX(WhoVal,SUMPRODUCT(MAX((WhoKW&lt;&gt;"")*ISNUMBER(SEARCH(WhoKW,INDEX(FormData,$W361,f_Who)&amp;""))*(ROW(WhoKW)-MIN(ROW(WhoKW))+1))))),""))</f>
        <v/>
      </c>
      <c r="F361" s="17">
        <f>IF($W361="","",TRIM(IFERROR(INDEX(FormData,$W361,f_Org1)&amp;"","")&amp;" "&amp;IFERROR(INDEX(FormData,$W361,f_Org2)&amp;"","")))</f>
        <v/>
      </c>
      <c r="G361" s="16">
        <f>IF($W361="","",IFERROR(INDEX(FormData,$W361,f_Region)&amp;"",""))</f>
        <v/>
      </c>
      <c r="H361" s="16">
        <f>IF($W361="","",IFERROR(IF(SUMPRODUCT(MAX((SitKW&lt;&gt;"")*ISNUMBER(SEARCH(SitKW,INDEX(FormData,$W361,f_Sit)&amp;""))*(ROW(SitKW)-MIN(ROW(SitKW))+1)))=0,"",INDEX(SitVal,SUMPRODUCT(MAX((SitKW&lt;&gt;"")*ISNUMBER(SEARCH(SitKW,INDEX(FormData,$W361,f_Sit)&amp;""))*(ROW(SitKW)-MIN(ROW(SitKW))+1))))),""))</f>
        <v/>
      </c>
      <c r="I361" s="14">
        <f>IF($W361="","",IFERROR(INDEX(FormData,$W361,f_Appr)&amp;"",""))</f>
        <v/>
      </c>
      <c r="J361" s="16">
        <f>IF($W361="","",IFERROR(INDEX(FormData,$W361,f_Trade)&amp;"",""))</f>
        <v/>
      </c>
      <c r="K361" s="16" t="n"/>
      <c r="L361" s="17" t="n"/>
      <c r="M361" s="16" t="n"/>
      <c r="N361" s="17" t="n"/>
      <c r="O361" s="14" t="n"/>
      <c r="P361" s="14" t="n"/>
      <c r="Q361" s="18" t="n"/>
      <c r="R361" s="18" t="n"/>
      <c r="S361" s="13">
        <f>IF($P361&lt;&gt;"✓","",IF($R361&lt;&gt;"","Done",IF($Q361="","Open — no date",IF($Q361&lt;TODAY(),"Overdue",IF($Q361-TODAY()&lt;=DueSoon,"Due soon","Scheduled")))))</f>
        <v/>
      </c>
      <c r="T361" s="14">
        <f>IF($W361="","",IFERROR(IF(INDEX(FormData,$W361,f_Consent)&amp;""="","",IF(ISNUMBER(SEARCH("yes",INDEX(FormData,$W361,f_Consent))),"Yes","No")),""))</f>
        <v/>
      </c>
      <c r="U361" s="14" t="n"/>
      <c r="V361" s="13">
        <f>IF($U361="","",IF($W361="","not found","✓"))</f>
        <v/>
      </c>
      <c r="W361">
        <f>IF($U361="","",IFERROR(MATCH($U361,INDEX(FormData,0,f_Id),0),IFERROR(MATCH(--$U361,INDEX(FormData,0,f_Id),0),IFERROR(MATCH($U361&amp;"",INDEX(FormData,0,f_Id),0),""))))</f>
        <v/>
      </c>
      <c r="X361">
        <f>IF(AND($B361&lt;&gt;"",$B361='Event Report'!$C$3),ROW(),"")</f>
        <v/>
      </c>
      <c r="Y361">
        <f>IF(AND($P361="✓",$R361=""),IF($Q361="",90000,$Q361)+ROW()/100000,"")</f>
        <v/>
      </c>
      <c r="Z361">
        <f>IF(OR($U361&lt;&gt;"",$D361&lt;&gt;"",$E361&lt;&gt;"",$N361&lt;&gt;""),1,"")</f>
        <v/>
      </c>
    </row>
    <row r="362">
      <c r="A362" s="13" t="inlineStr">
        <is>
          <t>P-0358</t>
        </is>
      </c>
      <c r="B362" s="14">
        <f>IF(AND($U362="",$C362=""),"",IFERROR(INDEX(EvID,MATCH(INDEX(FormData,$W362,f_Event),EvID,0)),IFERROR(INDEX(EvID,MATCH(INDEX(FormData,$W362,f_Event),EvName,0)),IFERROR(INDEX(EvID,MATCH(INT($C362),EvDate,0)),""))))</f>
        <v/>
      </c>
      <c r="C362" s="15">
        <f>IF($W362="","",INDEX(FormData,$W362,f_Time))</f>
        <v/>
      </c>
      <c r="D362" s="14">
        <f>IF($W362="","",IFERROR(UPPER(LEFT(TRIM(INDEX(FormData,$W362,f_Name)),1)&amp;IFERROR(MID(TRIM(INDEX(FormData,$W362,f_Name)),FIND("^",SUBSTITUTE(TRIM(INDEX(FormData,$W362,f_Name))," ","^",LEN(TRIM(INDEX(FormData,$W362,f_Name)))-LEN(SUBSTITUTE(TRIM(INDEX(FormData,$W362,f_Name))," ",""))))+1,1),"")),""))</f>
        <v/>
      </c>
      <c r="E362" s="16">
        <f>IF($W362="","",IFERROR(IF(SUMPRODUCT(MAX((WhoKW&lt;&gt;"")*ISNUMBER(SEARCH(WhoKW,INDEX(FormData,$W362,f_Who)&amp;""))*(ROW(WhoKW)-MIN(ROW(WhoKW))+1)))=0,"",INDEX(WhoVal,SUMPRODUCT(MAX((WhoKW&lt;&gt;"")*ISNUMBER(SEARCH(WhoKW,INDEX(FormData,$W362,f_Who)&amp;""))*(ROW(WhoKW)-MIN(ROW(WhoKW))+1))))),""))</f>
        <v/>
      </c>
      <c r="F362" s="17">
        <f>IF($W362="","",TRIM(IFERROR(INDEX(FormData,$W362,f_Org1)&amp;"","")&amp;" "&amp;IFERROR(INDEX(FormData,$W362,f_Org2)&amp;"","")))</f>
        <v/>
      </c>
      <c r="G362" s="16">
        <f>IF($W362="","",IFERROR(INDEX(FormData,$W362,f_Region)&amp;"",""))</f>
        <v/>
      </c>
      <c r="H362" s="16">
        <f>IF($W362="","",IFERROR(IF(SUMPRODUCT(MAX((SitKW&lt;&gt;"")*ISNUMBER(SEARCH(SitKW,INDEX(FormData,$W362,f_Sit)&amp;""))*(ROW(SitKW)-MIN(ROW(SitKW))+1)))=0,"",INDEX(SitVal,SUMPRODUCT(MAX((SitKW&lt;&gt;"")*ISNUMBER(SEARCH(SitKW,INDEX(FormData,$W362,f_Sit)&amp;""))*(ROW(SitKW)-MIN(ROW(SitKW))+1))))),""))</f>
        <v/>
      </c>
      <c r="I362" s="14">
        <f>IF($W362="","",IFERROR(INDEX(FormData,$W362,f_Appr)&amp;"",""))</f>
        <v/>
      </c>
      <c r="J362" s="16">
        <f>IF($W362="","",IFERROR(INDEX(FormData,$W362,f_Trade)&amp;"",""))</f>
        <v/>
      </c>
      <c r="K362" s="16" t="n"/>
      <c r="L362" s="17" t="n"/>
      <c r="M362" s="16" t="n"/>
      <c r="N362" s="17" t="n"/>
      <c r="O362" s="14" t="n"/>
      <c r="P362" s="14" t="n"/>
      <c r="Q362" s="18" t="n"/>
      <c r="R362" s="18" t="n"/>
      <c r="S362" s="13">
        <f>IF($P362&lt;&gt;"✓","",IF($R362&lt;&gt;"","Done",IF($Q362="","Open — no date",IF($Q362&lt;TODAY(),"Overdue",IF($Q362-TODAY()&lt;=DueSoon,"Due soon","Scheduled")))))</f>
        <v/>
      </c>
      <c r="T362" s="14">
        <f>IF($W362="","",IFERROR(IF(INDEX(FormData,$W362,f_Consent)&amp;""="","",IF(ISNUMBER(SEARCH("yes",INDEX(FormData,$W362,f_Consent))),"Yes","No")),""))</f>
        <v/>
      </c>
      <c r="U362" s="14" t="n"/>
      <c r="V362" s="13">
        <f>IF($U362="","",IF($W362="","not found","✓"))</f>
        <v/>
      </c>
      <c r="W362">
        <f>IF($U362="","",IFERROR(MATCH($U362,INDEX(FormData,0,f_Id),0),IFERROR(MATCH(--$U362,INDEX(FormData,0,f_Id),0),IFERROR(MATCH($U362&amp;"",INDEX(FormData,0,f_Id),0),""))))</f>
        <v/>
      </c>
      <c r="X362">
        <f>IF(AND($B362&lt;&gt;"",$B362='Event Report'!$C$3),ROW(),"")</f>
        <v/>
      </c>
      <c r="Y362">
        <f>IF(AND($P362="✓",$R362=""),IF($Q362="",90000,$Q362)+ROW()/100000,"")</f>
        <v/>
      </c>
      <c r="Z362">
        <f>IF(OR($U362&lt;&gt;"",$D362&lt;&gt;"",$E362&lt;&gt;"",$N362&lt;&gt;""),1,"")</f>
        <v/>
      </c>
    </row>
    <row r="363">
      <c r="A363" s="13" t="inlineStr">
        <is>
          <t>P-0359</t>
        </is>
      </c>
      <c r="B363" s="14">
        <f>IF(AND($U363="",$C363=""),"",IFERROR(INDEX(EvID,MATCH(INDEX(FormData,$W363,f_Event),EvID,0)),IFERROR(INDEX(EvID,MATCH(INDEX(FormData,$W363,f_Event),EvName,0)),IFERROR(INDEX(EvID,MATCH(INT($C363),EvDate,0)),""))))</f>
        <v/>
      </c>
      <c r="C363" s="15">
        <f>IF($W363="","",INDEX(FormData,$W363,f_Time))</f>
        <v/>
      </c>
      <c r="D363" s="14">
        <f>IF($W363="","",IFERROR(UPPER(LEFT(TRIM(INDEX(FormData,$W363,f_Name)),1)&amp;IFERROR(MID(TRIM(INDEX(FormData,$W363,f_Name)),FIND("^",SUBSTITUTE(TRIM(INDEX(FormData,$W363,f_Name))," ","^",LEN(TRIM(INDEX(FormData,$W363,f_Name)))-LEN(SUBSTITUTE(TRIM(INDEX(FormData,$W363,f_Name))," ",""))))+1,1),"")),""))</f>
        <v/>
      </c>
      <c r="E363" s="16">
        <f>IF($W363="","",IFERROR(IF(SUMPRODUCT(MAX((WhoKW&lt;&gt;"")*ISNUMBER(SEARCH(WhoKW,INDEX(FormData,$W363,f_Who)&amp;""))*(ROW(WhoKW)-MIN(ROW(WhoKW))+1)))=0,"",INDEX(WhoVal,SUMPRODUCT(MAX((WhoKW&lt;&gt;"")*ISNUMBER(SEARCH(WhoKW,INDEX(FormData,$W363,f_Who)&amp;""))*(ROW(WhoKW)-MIN(ROW(WhoKW))+1))))),""))</f>
        <v/>
      </c>
      <c r="F363" s="17">
        <f>IF($W363="","",TRIM(IFERROR(INDEX(FormData,$W363,f_Org1)&amp;"","")&amp;" "&amp;IFERROR(INDEX(FormData,$W363,f_Org2)&amp;"","")))</f>
        <v/>
      </c>
      <c r="G363" s="16">
        <f>IF($W363="","",IFERROR(INDEX(FormData,$W363,f_Region)&amp;"",""))</f>
        <v/>
      </c>
      <c r="H363" s="16">
        <f>IF($W363="","",IFERROR(IF(SUMPRODUCT(MAX((SitKW&lt;&gt;"")*ISNUMBER(SEARCH(SitKW,INDEX(FormData,$W363,f_Sit)&amp;""))*(ROW(SitKW)-MIN(ROW(SitKW))+1)))=0,"",INDEX(SitVal,SUMPRODUCT(MAX((SitKW&lt;&gt;"")*ISNUMBER(SEARCH(SitKW,INDEX(FormData,$W363,f_Sit)&amp;""))*(ROW(SitKW)-MIN(ROW(SitKW))+1))))),""))</f>
        <v/>
      </c>
      <c r="I363" s="14">
        <f>IF($W363="","",IFERROR(INDEX(FormData,$W363,f_Appr)&amp;"",""))</f>
        <v/>
      </c>
      <c r="J363" s="16">
        <f>IF($W363="","",IFERROR(INDEX(FormData,$W363,f_Trade)&amp;"",""))</f>
        <v/>
      </c>
      <c r="K363" s="16" t="n"/>
      <c r="L363" s="17" t="n"/>
      <c r="M363" s="16" t="n"/>
      <c r="N363" s="17" t="n"/>
      <c r="O363" s="14" t="n"/>
      <c r="P363" s="14" t="n"/>
      <c r="Q363" s="18" t="n"/>
      <c r="R363" s="18" t="n"/>
      <c r="S363" s="13">
        <f>IF($P363&lt;&gt;"✓","",IF($R363&lt;&gt;"","Done",IF($Q363="","Open — no date",IF($Q363&lt;TODAY(),"Overdue",IF($Q363-TODAY()&lt;=DueSoon,"Due soon","Scheduled")))))</f>
        <v/>
      </c>
      <c r="T363" s="14">
        <f>IF($W363="","",IFERROR(IF(INDEX(FormData,$W363,f_Consent)&amp;""="","",IF(ISNUMBER(SEARCH("yes",INDEX(FormData,$W363,f_Consent))),"Yes","No")),""))</f>
        <v/>
      </c>
      <c r="U363" s="14" t="n"/>
      <c r="V363" s="13">
        <f>IF($U363="","",IF($W363="","not found","✓"))</f>
        <v/>
      </c>
      <c r="W363">
        <f>IF($U363="","",IFERROR(MATCH($U363,INDEX(FormData,0,f_Id),0),IFERROR(MATCH(--$U363,INDEX(FormData,0,f_Id),0),IFERROR(MATCH($U363&amp;"",INDEX(FormData,0,f_Id),0),""))))</f>
        <v/>
      </c>
      <c r="X363">
        <f>IF(AND($B363&lt;&gt;"",$B363='Event Report'!$C$3),ROW(),"")</f>
        <v/>
      </c>
      <c r="Y363">
        <f>IF(AND($P363="✓",$R363=""),IF($Q363="",90000,$Q363)+ROW()/100000,"")</f>
        <v/>
      </c>
      <c r="Z363">
        <f>IF(OR($U363&lt;&gt;"",$D363&lt;&gt;"",$E363&lt;&gt;"",$N363&lt;&gt;""),1,"")</f>
        <v/>
      </c>
    </row>
    <row r="364">
      <c r="A364" s="13" t="inlineStr">
        <is>
          <t>P-0360</t>
        </is>
      </c>
      <c r="B364" s="14">
        <f>IF(AND($U364="",$C364=""),"",IFERROR(INDEX(EvID,MATCH(INDEX(FormData,$W364,f_Event),EvID,0)),IFERROR(INDEX(EvID,MATCH(INDEX(FormData,$W364,f_Event),EvName,0)),IFERROR(INDEX(EvID,MATCH(INT($C364),EvDate,0)),""))))</f>
        <v/>
      </c>
      <c r="C364" s="15">
        <f>IF($W364="","",INDEX(FormData,$W364,f_Time))</f>
        <v/>
      </c>
      <c r="D364" s="14">
        <f>IF($W364="","",IFERROR(UPPER(LEFT(TRIM(INDEX(FormData,$W364,f_Name)),1)&amp;IFERROR(MID(TRIM(INDEX(FormData,$W364,f_Name)),FIND("^",SUBSTITUTE(TRIM(INDEX(FormData,$W364,f_Name))," ","^",LEN(TRIM(INDEX(FormData,$W364,f_Name)))-LEN(SUBSTITUTE(TRIM(INDEX(FormData,$W364,f_Name))," ",""))))+1,1),"")),""))</f>
        <v/>
      </c>
      <c r="E364" s="16">
        <f>IF($W364="","",IFERROR(IF(SUMPRODUCT(MAX((WhoKW&lt;&gt;"")*ISNUMBER(SEARCH(WhoKW,INDEX(FormData,$W364,f_Who)&amp;""))*(ROW(WhoKW)-MIN(ROW(WhoKW))+1)))=0,"",INDEX(WhoVal,SUMPRODUCT(MAX((WhoKW&lt;&gt;"")*ISNUMBER(SEARCH(WhoKW,INDEX(FormData,$W364,f_Who)&amp;""))*(ROW(WhoKW)-MIN(ROW(WhoKW))+1))))),""))</f>
        <v/>
      </c>
      <c r="F364" s="17">
        <f>IF($W364="","",TRIM(IFERROR(INDEX(FormData,$W364,f_Org1)&amp;"","")&amp;" "&amp;IFERROR(INDEX(FormData,$W364,f_Org2)&amp;"","")))</f>
        <v/>
      </c>
      <c r="G364" s="16">
        <f>IF($W364="","",IFERROR(INDEX(FormData,$W364,f_Region)&amp;"",""))</f>
        <v/>
      </c>
      <c r="H364" s="16">
        <f>IF($W364="","",IFERROR(IF(SUMPRODUCT(MAX((SitKW&lt;&gt;"")*ISNUMBER(SEARCH(SitKW,INDEX(FormData,$W364,f_Sit)&amp;""))*(ROW(SitKW)-MIN(ROW(SitKW))+1)))=0,"",INDEX(SitVal,SUMPRODUCT(MAX((SitKW&lt;&gt;"")*ISNUMBER(SEARCH(SitKW,INDEX(FormData,$W364,f_Sit)&amp;""))*(ROW(SitKW)-MIN(ROW(SitKW))+1))))),""))</f>
        <v/>
      </c>
      <c r="I364" s="14">
        <f>IF($W364="","",IFERROR(INDEX(FormData,$W364,f_Appr)&amp;"",""))</f>
        <v/>
      </c>
      <c r="J364" s="16">
        <f>IF($W364="","",IFERROR(INDEX(FormData,$W364,f_Trade)&amp;"",""))</f>
        <v/>
      </c>
      <c r="K364" s="16" t="n"/>
      <c r="L364" s="17" t="n"/>
      <c r="M364" s="16" t="n"/>
      <c r="N364" s="17" t="n"/>
      <c r="O364" s="14" t="n"/>
      <c r="P364" s="14" t="n"/>
      <c r="Q364" s="18" t="n"/>
      <c r="R364" s="18" t="n"/>
      <c r="S364" s="13">
        <f>IF($P364&lt;&gt;"✓","",IF($R364&lt;&gt;"","Done",IF($Q364="","Open — no date",IF($Q364&lt;TODAY(),"Overdue",IF($Q364-TODAY()&lt;=DueSoon,"Due soon","Scheduled")))))</f>
        <v/>
      </c>
      <c r="T364" s="14">
        <f>IF($W364="","",IFERROR(IF(INDEX(FormData,$W364,f_Consent)&amp;""="","",IF(ISNUMBER(SEARCH("yes",INDEX(FormData,$W364,f_Consent))),"Yes","No")),""))</f>
        <v/>
      </c>
      <c r="U364" s="14" t="n"/>
      <c r="V364" s="13">
        <f>IF($U364="","",IF($W364="","not found","✓"))</f>
        <v/>
      </c>
      <c r="W364">
        <f>IF($U364="","",IFERROR(MATCH($U364,INDEX(FormData,0,f_Id),0),IFERROR(MATCH(--$U364,INDEX(FormData,0,f_Id),0),IFERROR(MATCH($U364&amp;"",INDEX(FormData,0,f_Id),0),""))))</f>
        <v/>
      </c>
      <c r="X364">
        <f>IF(AND($B364&lt;&gt;"",$B364='Event Report'!$C$3),ROW(),"")</f>
        <v/>
      </c>
      <c r="Y364">
        <f>IF(AND($P364="✓",$R364=""),IF($Q364="",90000,$Q364)+ROW()/100000,"")</f>
        <v/>
      </c>
      <c r="Z364">
        <f>IF(OR($U364&lt;&gt;"",$D364&lt;&gt;"",$E364&lt;&gt;"",$N364&lt;&gt;""),1,"")</f>
        <v/>
      </c>
    </row>
    <row r="365">
      <c r="A365" s="13" t="inlineStr">
        <is>
          <t>P-0361</t>
        </is>
      </c>
      <c r="B365" s="14">
        <f>IF(AND($U365="",$C365=""),"",IFERROR(INDEX(EvID,MATCH(INDEX(FormData,$W365,f_Event),EvID,0)),IFERROR(INDEX(EvID,MATCH(INDEX(FormData,$W365,f_Event),EvName,0)),IFERROR(INDEX(EvID,MATCH(INT($C365),EvDate,0)),""))))</f>
        <v/>
      </c>
      <c r="C365" s="15">
        <f>IF($W365="","",INDEX(FormData,$W365,f_Time))</f>
        <v/>
      </c>
      <c r="D365" s="14">
        <f>IF($W365="","",IFERROR(UPPER(LEFT(TRIM(INDEX(FormData,$W365,f_Name)),1)&amp;IFERROR(MID(TRIM(INDEX(FormData,$W365,f_Name)),FIND("^",SUBSTITUTE(TRIM(INDEX(FormData,$W365,f_Name))," ","^",LEN(TRIM(INDEX(FormData,$W365,f_Name)))-LEN(SUBSTITUTE(TRIM(INDEX(FormData,$W365,f_Name))," ",""))))+1,1),"")),""))</f>
        <v/>
      </c>
      <c r="E365" s="16">
        <f>IF($W365="","",IFERROR(IF(SUMPRODUCT(MAX((WhoKW&lt;&gt;"")*ISNUMBER(SEARCH(WhoKW,INDEX(FormData,$W365,f_Who)&amp;""))*(ROW(WhoKW)-MIN(ROW(WhoKW))+1)))=0,"",INDEX(WhoVal,SUMPRODUCT(MAX((WhoKW&lt;&gt;"")*ISNUMBER(SEARCH(WhoKW,INDEX(FormData,$W365,f_Who)&amp;""))*(ROW(WhoKW)-MIN(ROW(WhoKW))+1))))),""))</f>
        <v/>
      </c>
      <c r="F365" s="17">
        <f>IF($W365="","",TRIM(IFERROR(INDEX(FormData,$W365,f_Org1)&amp;"","")&amp;" "&amp;IFERROR(INDEX(FormData,$W365,f_Org2)&amp;"","")))</f>
        <v/>
      </c>
      <c r="G365" s="16">
        <f>IF($W365="","",IFERROR(INDEX(FormData,$W365,f_Region)&amp;"",""))</f>
        <v/>
      </c>
      <c r="H365" s="16">
        <f>IF($W365="","",IFERROR(IF(SUMPRODUCT(MAX((SitKW&lt;&gt;"")*ISNUMBER(SEARCH(SitKW,INDEX(FormData,$W365,f_Sit)&amp;""))*(ROW(SitKW)-MIN(ROW(SitKW))+1)))=0,"",INDEX(SitVal,SUMPRODUCT(MAX((SitKW&lt;&gt;"")*ISNUMBER(SEARCH(SitKW,INDEX(FormData,$W365,f_Sit)&amp;""))*(ROW(SitKW)-MIN(ROW(SitKW))+1))))),""))</f>
        <v/>
      </c>
      <c r="I365" s="14">
        <f>IF($W365="","",IFERROR(INDEX(FormData,$W365,f_Appr)&amp;"",""))</f>
        <v/>
      </c>
      <c r="J365" s="16">
        <f>IF($W365="","",IFERROR(INDEX(FormData,$W365,f_Trade)&amp;"",""))</f>
        <v/>
      </c>
      <c r="K365" s="16" t="n"/>
      <c r="L365" s="17" t="n"/>
      <c r="M365" s="16" t="n"/>
      <c r="N365" s="17" t="n"/>
      <c r="O365" s="14" t="n"/>
      <c r="P365" s="14" t="n"/>
      <c r="Q365" s="18" t="n"/>
      <c r="R365" s="18" t="n"/>
      <c r="S365" s="13">
        <f>IF($P365&lt;&gt;"✓","",IF($R365&lt;&gt;"","Done",IF($Q365="","Open — no date",IF($Q365&lt;TODAY(),"Overdue",IF($Q365-TODAY()&lt;=DueSoon,"Due soon","Scheduled")))))</f>
        <v/>
      </c>
      <c r="T365" s="14">
        <f>IF($W365="","",IFERROR(IF(INDEX(FormData,$W365,f_Consent)&amp;""="","",IF(ISNUMBER(SEARCH("yes",INDEX(FormData,$W365,f_Consent))),"Yes","No")),""))</f>
        <v/>
      </c>
      <c r="U365" s="14" t="n"/>
      <c r="V365" s="13">
        <f>IF($U365="","",IF($W365="","not found","✓"))</f>
        <v/>
      </c>
      <c r="W365">
        <f>IF($U365="","",IFERROR(MATCH($U365,INDEX(FormData,0,f_Id),0),IFERROR(MATCH(--$U365,INDEX(FormData,0,f_Id),0),IFERROR(MATCH($U365&amp;"",INDEX(FormData,0,f_Id),0),""))))</f>
        <v/>
      </c>
      <c r="X365">
        <f>IF(AND($B365&lt;&gt;"",$B365='Event Report'!$C$3),ROW(),"")</f>
        <v/>
      </c>
      <c r="Y365">
        <f>IF(AND($P365="✓",$R365=""),IF($Q365="",90000,$Q365)+ROW()/100000,"")</f>
        <v/>
      </c>
      <c r="Z365">
        <f>IF(OR($U365&lt;&gt;"",$D365&lt;&gt;"",$E365&lt;&gt;"",$N365&lt;&gt;""),1,"")</f>
        <v/>
      </c>
    </row>
    <row r="366">
      <c r="A366" s="13" t="inlineStr">
        <is>
          <t>P-0362</t>
        </is>
      </c>
      <c r="B366" s="14">
        <f>IF(AND($U366="",$C366=""),"",IFERROR(INDEX(EvID,MATCH(INDEX(FormData,$W366,f_Event),EvID,0)),IFERROR(INDEX(EvID,MATCH(INDEX(FormData,$W366,f_Event),EvName,0)),IFERROR(INDEX(EvID,MATCH(INT($C366),EvDate,0)),""))))</f>
        <v/>
      </c>
      <c r="C366" s="15">
        <f>IF($W366="","",INDEX(FormData,$W366,f_Time))</f>
        <v/>
      </c>
      <c r="D366" s="14">
        <f>IF($W366="","",IFERROR(UPPER(LEFT(TRIM(INDEX(FormData,$W366,f_Name)),1)&amp;IFERROR(MID(TRIM(INDEX(FormData,$W366,f_Name)),FIND("^",SUBSTITUTE(TRIM(INDEX(FormData,$W366,f_Name))," ","^",LEN(TRIM(INDEX(FormData,$W366,f_Name)))-LEN(SUBSTITUTE(TRIM(INDEX(FormData,$W366,f_Name))," ",""))))+1,1),"")),""))</f>
        <v/>
      </c>
      <c r="E366" s="16">
        <f>IF($W366="","",IFERROR(IF(SUMPRODUCT(MAX((WhoKW&lt;&gt;"")*ISNUMBER(SEARCH(WhoKW,INDEX(FormData,$W366,f_Who)&amp;""))*(ROW(WhoKW)-MIN(ROW(WhoKW))+1)))=0,"",INDEX(WhoVal,SUMPRODUCT(MAX((WhoKW&lt;&gt;"")*ISNUMBER(SEARCH(WhoKW,INDEX(FormData,$W366,f_Who)&amp;""))*(ROW(WhoKW)-MIN(ROW(WhoKW))+1))))),""))</f>
        <v/>
      </c>
      <c r="F366" s="17">
        <f>IF($W366="","",TRIM(IFERROR(INDEX(FormData,$W366,f_Org1)&amp;"","")&amp;" "&amp;IFERROR(INDEX(FormData,$W366,f_Org2)&amp;"","")))</f>
        <v/>
      </c>
      <c r="G366" s="16">
        <f>IF($W366="","",IFERROR(INDEX(FormData,$W366,f_Region)&amp;"",""))</f>
        <v/>
      </c>
      <c r="H366" s="16">
        <f>IF($W366="","",IFERROR(IF(SUMPRODUCT(MAX((SitKW&lt;&gt;"")*ISNUMBER(SEARCH(SitKW,INDEX(FormData,$W366,f_Sit)&amp;""))*(ROW(SitKW)-MIN(ROW(SitKW))+1)))=0,"",INDEX(SitVal,SUMPRODUCT(MAX((SitKW&lt;&gt;"")*ISNUMBER(SEARCH(SitKW,INDEX(FormData,$W366,f_Sit)&amp;""))*(ROW(SitKW)-MIN(ROW(SitKW))+1))))),""))</f>
        <v/>
      </c>
      <c r="I366" s="14">
        <f>IF($W366="","",IFERROR(INDEX(FormData,$W366,f_Appr)&amp;"",""))</f>
        <v/>
      </c>
      <c r="J366" s="16">
        <f>IF($W366="","",IFERROR(INDEX(FormData,$W366,f_Trade)&amp;"",""))</f>
        <v/>
      </c>
      <c r="K366" s="16" t="n"/>
      <c r="L366" s="17" t="n"/>
      <c r="M366" s="16" t="n"/>
      <c r="N366" s="17" t="n"/>
      <c r="O366" s="14" t="n"/>
      <c r="P366" s="14" t="n"/>
      <c r="Q366" s="18" t="n"/>
      <c r="R366" s="18" t="n"/>
      <c r="S366" s="13">
        <f>IF($P366&lt;&gt;"✓","",IF($R366&lt;&gt;"","Done",IF($Q366="","Open — no date",IF($Q366&lt;TODAY(),"Overdue",IF($Q366-TODAY()&lt;=DueSoon,"Due soon","Scheduled")))))</f>
        <v/>
      </c>
      <c r="T366" s="14">
        <f>IF($W366="","",IFERROR(IF(INDEX(FormData,$W366,f_Consent)&amp;""="","",IF(ISNUMBER(SEARCH("yes",INDEX(FormData,$W366,f_Consent))),"Yes","No")),""))</f>
        <v/>
      </c>
      <c r="U366" s="14" t="n"/>
      <c r="V366" s="13">
        <f>IF($U366="","",IF($W366="","not found","✓"))</f>
        <v/>
      </c>
      <c r="W366">
        <f>IF($U366="","",IFERROR(MATCH($U366,INDEX(FormData,0,f_Id),0),IFERROR(MATCH(--$U366,INDEX(FormData,0,f_Id),0),IFERROR(MATCH($U366&amp;"",INDEX(FormData,0,f_Id),0),""))))</f>
        <v/>
      </c>
      <c r="X366">
        <f>IF(AND($B366&lt;&gt;"",$B366='Event Report'!$C$3),ROW(),"")</f>
        <v/>
      </c>
      <c r="Y366">
        <f>IF(AND($P366="✓",$R366=""),IF($Q366="",90000,$Q366)+ROW()/100000,"")</f>
        <v/>
      </c>
      <c r="Z366">
        <f>IF(OR($U366&lt;&gt;"",$D366&lt;&gt;"",$E366&lt;&gt;"",$N366&lt;&gt;""),1,"")</f>
        <v/>
      </c>
    </row>
    <row r="367">
      <c r="A367" s="13" t="inlineStr">
        <is>
          <t>P-0363</t>
        </is>
      </c>
      <c r="B367" s="14">
        <f>IF(AND($U367="",$C367=""),"",IFERROR(INDEX(EvID,MATCH(INDEX(FormData,$W367,f_Event),EvID,0)),IFERROR(INDEX(EvID,MATCH(INDEX(FormData,$W367,f_Event),EvName,0)),IFERROR(INDEX(EvID,MATCH(INT($C367),EvDate,0)),""))))</f>
        <v/>
      </c>
      <c r="C367" s="15">
        <f>IF($W367="","",INDEX(FormData,$W367,f_Time))</f>
        <v/>
      </c>
      <c r="D367" s="14">
        <f>IF($W367="","",IFERROR(UPPER(LEFT(TRIM(INDEX(FormData,$W367,f_Name)),1)&amp;IFERROR(MID(TRIM(INDEX(FormData,$W367,f_Name)),FIND("^",SUBSTITUTE(TRIM(INDEX(FormData,$W367,f_Name))," ","^",LEN(TRIM(INDEX(FormData,$W367,f_Name)))-LEN(SUBSTITUTE(TRIM(INDEX(FormData,$W367,f_Name))," ",""))))+1,1),"")),""))</f>
        <v/>
      </c>
      <c r="E367" s="16">
        <f>IF($W367="","",IFERROR(IF(SUMPRODUCT(MAX((WhoKW&lt;&gt;"")*ISNUMBER(SEARCH(WhoKW,INDEX(FormData,$W367,f_Who)&amp;""))*(ROW(WhoKW)-MIN(ROW(WhoKW))+1)))=0,"",INDEX(WhoVal,SUMPRODUCT(MAX((WhoKW&lt;&gt;"")*ISNUMBER(SEARCH(WhoKW,INDEX(FormData,$W367,f_Who)&amp;""))*(ROW(WhoKW)-MIN(ROW(WhoKW))+1))))),""))</f>
        <v/>
      </c>
      <c r="F367" s="17">
        <f>IF($W367="","",TRIM(IFERROR(INDEX(FormData,$W367,f_Org1)&amp;"","")&amp;" "&amp;IFERROR(INDEX(FormData,$W367,f_Org2)&amp;"","")))</f>
        <v/>
      </c>
      <c r="G367" s="16">
        <f>IF($W367="","",IFERROR(INDEX(FormData,$W367,f_Region)&amp;"",""))</f>
        <v/>
      </c>
      <c r="H367" s="16">
        <f>IF($W367="","",IFERROR(IF(SUMPRODUCT(MAX((SitKW&lt;&gt;"")*ISNUMBER(SEARCH(SitKW,INDEX(FormData,$W367,f_Sit)&amp;""))*(ROW(SitKW)-MIN(ROW(SitKW))+1)))=0,"",INDEX(SitVal,SUMPRODUCT(MAX((SitKW&lt;&gt;"")*ISNUMBER(SEARCH(SitKW,INDEX(FormData,$W367,f_Sit)&amp;""))*(ROW(SitKW)-MIN(ROW(SitKW))+1))))),""))</f>
        <v/>
      </c>
      <c r="I367" s="14">
        <f>IF($W367="","",IFERROR(INDEX(FormData,$W367,f_Appr)&amp;"",""))</f>
        <v/>
      </c>
      <c r="J367" s="16">
        <f>IF($W367="","",IFERROR(INDEX(FormData,$W367,f_Trade)&amp;"",""))</f>
        <v/>
      </c>
      <c r="K367" s="16" t="n"/>
      <c r="L367" s="17" t="n"/>
      <c r="M367" s="16" t="n"/>
      <c r="N367" s="17" t="n"/>
      <c r="O367" s="14" t="n"/>
      <c r="P367" s="14" t="n"/>
      <c r="Q367" s="18" t="n"/>
      <c r="R367" s="18" t="n"/>
      <c r="S367" s="13">
        <f>IF($P367&lt;&gt;"✓","",IF($R367&lt;&gt;"","Done",IF($Q367="","Open — no date",IF($Q367&lt;TODAY(),"Overdue",IF($Q367-TODAY()&lt;=DueSoon,"Due soon","Scheduled")))))</f>
        <v/>
      </c>
      <c r="T367" s="14">
        <f>IF($W367="","",IFERROR(IF(INDEX(FormData,$W367,f_Consent)&amp;""="","",IF(ISNUMBER(SEARCH("yes",INDEX(FormData,$W367,f_Consent))),"Yes","No")),""))</f>
        <v/>
      </c>
      <c r="U367" s="14" t="n"/>
      <c r="V367" s="13">
        <f>IF($U367="","",IF($W367="","not found","✓"))</f>
        <v/>
      </c>
      <c r="W367">
        <f>IF($U367="","",IFERROR(MATCH($U367,INDEX(FormData,0,f_Id),0),IFERROR(MATCH(--$U367,INDEX(FormData,0,f_Id),0),IFERROR(MATCH($U367&amp;"",INDEX(FormData,0,f_Id),0),""))))</f>
        <v/>
      </c>
      <c r="X367">
        <f>IF(AND($B367&lt;&gt;"",$B367='Event Report'!$C$3),ROW(),"")</f>
        <v/>
      </c>
      <c r="Y367">
        <f>IF(AND($P367="✓",$R367=""),IF($Q367="",90000,$Q367)+ROW()/100000,"")</f>
        <v/>
      </c>
      <c r="Z367">
        <f>IF(OR($U367&lt;&gt;"",$D367&lt;&gt;"",$E367&lt;&gt;"",$N367&lt;&gt;""),1,"")</f>
        <v/>
      </c>
    </row>
    <row r="368">
      <c r="A368" s="13" t="inlineStr">
        <is>
          <t>P-0364</t>
        </is>
      </c>
      <c r="B368" s="14">
        <f>IF(AND($U368="",$C368=""),"",IFERROR(INDEX(EvID,MATCH(INDEX(FormData,$W368,f_Event),EvID,0)),IFERROR(INDEX(EvID,MATCH(INDEX(FormData,$W368,f_Event),EvName,0)),IFERROR(INDEX(EvID,MATCH(INT($C368),EvDate,0)),""))))</f>
        <v/>
      </c>
      <c r="C368" s="15">
        <f>IF($W368="","",INDEX(FormData,$W368,f_Time))</f>
        <v/>
      </c>
      <c r="D368" s="14">
        <f>IF($W368="","",IFERROR(UPPER(LEFT(TRIM(INDEX(FormData,$W368,f_Name)),1)&amp;IFERROR(MID(TRIM(INDEX(FormData,$W368,f_Name)),FIND("^",SUBSTITUTE(TRIM(INDEX(FormData,$W368,f_Name))," ","^",LEN(TRIM(INDEX(FormData,$W368,f_Name)))-LEN(SUBSTITUTE(TRIM(INDEX(FormData,$W368,f_Name))," ",""))))+1,1),"")),""))</f>
        <v/>
      </c>
      <c r="E368" s="16">
        <f>IF($W368="","",IFERROR(IF(SUMPRODUCT(MAX((WhoKW&lt;&gt;"")*ISNUMBER(SEARCH(WhoKW,INDEX(FormData,$W368,f_Who)&amp;""))*(ROW(WhoKW)-MIN(ROW(WhoKW))+1)))=0,"",INDEX(WhoVal,SUMPRODUCT(MAX((WhoKW&lt;&gt;"")*ISNUMBER(SEARCH(WhoKW,INDEX(FormData,$W368,f_Who)&amp;""))*(ROW(WhoKW)-MIN(ROW(WhoKW))+1))))),""))</f>
        <v/>
      </c>
      <c r="F368" s="17">
        <f>IF($W368="","",TRIM(IFERROR(INDEX(FormData,$W368,f_Org1)&amp;"","")&amp;" "&amp;IFERROR(INDEX(FormData,$W368,f_Org2)&amp;"","")))</f>
        <v/>
      </c>
      <c r="G368" s="16">
        <f>IF($W368="","",IFERROR(INDEX(FormData,$W368,f_Region)&amp;"",""))</f>
        <v/>
      </c>
      <c r="H368" s="16">
        <f>IF($W368="","",IFERROR(IF(SUMPRODUCT(MAX((SitKW&lt;&gt;"")*ISNUMBER(SEARCH(SitKW,INDEX(FormData,$W368,f_Sit)&amp;""))*(ROW(SitKW)-MIN(ROW(SitKW))+1)))=0,"",INDEX(SitVal,SUMPRODUCT(MAX((SitKW&lt;&gt;"")*ISNUMBER(SEARCH(SitKW,INDEX(FormData,$W368,f_Sit)&amp;""))*(ROW(SitKW)-MIN(ROW(SitKW))+1))))),""))</f>
        <v/>
      </c>
      <c r="I368" s="14">
        <f>IF($W368="","",IFERROR(INDEX(FormData,$W368,f_Appr)&amp;"",""))</f>
        <v/>
      </c>
      <c r="J368" s="16">
        <f>IF($W368="","",IFERROR(INDEX(FormData,$W368,f_Trade)&amp;"",""))</f>
        <v/>
      </c>
      <c r="K368" s="16" t="n"/>
      <c r="L368" s="17" t="n"/>
      <c r="M368" s="16" t="n"/>
      <c r="N368" s="17" t="n"/>
      <c r="O368" s="14" t="n"/>
      <c r="P368" s="14" t="n"/>
      <c r="Q368" s="18" t="n"/>
      <c r="R368" s="18" t="n"/>
      <c r="S368" s="13">
        <f>IF($P368&lt;&gt;"✓","",IF($R368&lt;&gt;"","Done",IF($Q368="","Open — no date",IF($Q368&lt;TODAY(),"Overdue",IF($Q368-TODAY()&lt;=DueSoon,"Due soon","Scheduled")))))</f>
        <v/>
      </c>
      <c r="T368" s="14">
        <f>IF($W368="","",IFERROR(IF(INDEX(FormData,$W368,f_Consent)&amp;""="","",IF(ISNUMBER(SEARCH("yes",INDEX(FormData,$W368,f_Consent))),"Yes","No")),""))</f>
        <v/>
      </c>
      <c r="U368" s="14" t="n"/>
      <c r="V368" s="13">
        <f>IF($U368="","",IF($W368="","not found","✓"))</f>
        <v/>
      </c>
      <c r="W368">
        <f>IF($U368="","",IFERROR(MATCH($U368,INDEX(FormData,0,f_Id),0),IFERROR(MATCH(--$U368,INDEX(FormData,0,f_Id),0),IFERROR(MATCH($U368&amp;"",INDEX(FormData,0,f_Id),0),""))))</f>
        <v/>
      </c>
      <c r="X368">
        <f>IF(AND($B368&lt;&gt;"",$B368='Event Report'!$C$3),ROW(),"")</f>
        <v/>
      </c>
      <c r="Y368">
        <f>IF(AND($P368="✓",$R368=""),IF($Q368="",90000,$Q368)+ROW()/100000,"")</f>
        <v/>
      </c>
      <c r="Z368">
        <f>IF(OR($U368&lt;&gt;"",$D368&lt;&gt;"",$E368&lt;&gt;"",$N368&lt;&gt;""),1,"")</f>
        <v/>
      </c>
    </row>
    <row r="369">
      <c r="A369" s="13" t="inlineStr">
        <is>
          <t>P-0365</t>
        </is>
      </c>
      <c r="B369" s="14">
        <f>IF(AND($U369="",$C369=""),"",IFERROR(INDEX(EvID,MATCH(INDEX(FormData,$W369,f_Event),EvID,0)),IFERROR(INDEX(EvID,MATCH(INDEX(FormData,$W369,f_Event),EvName,0)),IFERROR(INDEX(EvID,MATCH(INT($C369),EvDate,0)),""))))</f>
        <v/>
      </c>
      <c r="C369" s="15">
        <f>IF($W369="","",INDEX(FormData,$W369,f_Time))</f>
        <v/>
      </c>
      <c r="D369" s="14">
        <f>IF($W369="","",IFERROR(UPPER(LEFT(TRIM(INDEX(FormData,$W369,f_Name)),1)&amp;IFERROR(MID(TRIM(INDEX(FormData,$W369,f_Name)),FIND("^",SUBSTITUTE(TRIM(INDEX(FormData,$W369,f_Name))," ","^",LEN(TRIM(INDEX(FormData,$W369,f_Name)))-LEN(SUBSTITUTE(TRIM(INDEX(FormData,$W369,f_Name))," ",""))))+1,1),"")),""))</f>
        <v/>
      </c>
      <c r="E369" s="16">
        <f>IF($W369="","",IFERROR(IF(SUMPRODUCT(MAX((WhoKW&lt;&gt;"")*ISNUMBER(SEARCH(WhoKW,INDEX(FormData,$W369,f_Who)&amp;""))*(ROW(WhoKW)-MIN(ROW(WhoKW))+1)))=0,"",INDEX(WhoVal,SUMPRODUCT(MAX((WhoKW&lt;&gt;"")*ISNUMBER(SEARCH(WhoKW,INDEX(FormData,$W369,f_Who)&amp;""))*(ROW(WhoKW)-MIN(ROW(WhoKW))+1))))),""))</f>
        <v/>
      </c>
      <c r="F369" s="17">
        <f>IF($W369="","",TRIM(IFERROR(INDEX(FormData,$W369,f_Org1)&amp;"","")&amp;" "&amp;IFERROR(INDEX(FormData,$W369,f_Org2)&amp;"","")))</f>
        <v/>
      </c>
      <c r="G369" s="16">
        <f>IF($W369="","",IFERROR(INDEX(FormData,$W369,f_Region)&amp;"",""))</f>
        <v/>
      </c>
      <c r="H369" s="16">
        <f>IF($W369="","",IFERROR(IF(SUMPRODUCT(MAX((SitKW&lt;&gt;"")*ISNUMBER(SEARCH(SitKW,INDEX(FormData,$W369,f_Sit)&amp;""))*(ROW(SitKW)-MIN(ROW(SitKW))+1)))=0,"",INDEX(SitVal,SUMPRODUCT(MAX((SitKW&lt;&gt;"")*ISNUMBER(SEARCH(SitKW,INDEX(FormData,$W369,f_Sit)&amp;""))*(ROW(SitKW)-MIN(ROW(SitKW))+1))))),""))</f>
        <v/>
      </c>
      <c r="I369" s="14">
        <f>IF($W369="","",IFERROR(INDEX(FormData,$W369,f_Appr)&amp;"",""))</f>
        <v/>
      </c>
      <c r="J369" s="16">
        <f>IF($W369="","",IFERROR(INDEX(FormData,$W369,f_Trade)&amp;"",""))</f>
        <v/>
      </c>
      <c r="K369" s="16" t="n"/>
      <c r="L369" s="17" t="n"/>
      <c r="M369" s="16" t="n"/>
      <c r="N369" s="17" t="n"/>
      <c r="O369" s="14" t="n"/>
      <c r="P369" s="14" t="n"/>
      <c r="Q369" s="18" t="n"/>
      <c r="R369" s="18" t="n"/>
      <c r="S369" s="13">
        <f>IF($P369&lt;&gt;"✓","",IF($R369&lt;&gt;"","Done",IF($Q369="","Open — no date",IF($Q369&lt;TODAY(),"Overdue",IF($Q369-TODAY()&lt;=DueSoon,"Due soon","Scheduled")))))</f>
        <v/>
      </c>
      <c r="T369" s="14">
        <f>IF($W369="","",IFERROR(IF(INDEX(FormData,$W369,f_Consent)&amp;""="","",IF(ISNUMBER(SEARCH("yes",INDEX(FormData,$W369,f_Consent))),"Yes","No")),""))</f>
        <v/>
      </c>
      <c r="U369" s="14" t="n"/>
      <c r="V369" s="13">
        <f>IF($U369="","",IF($W369="","not found","✓"))</f>
        <v/>
      </c>
      <c r="W369">
        <f>IF($U369="","",IFERROR(MATCH($U369,INDEX(FormData,0,f_Id),0),IFERROR(MATCH(--$U369,INDEX(FormData,0,f_Id),0),IFERROR(MATCH($U369&amp;"",INDEX(FormData,0,f_Id),0),""))))</f>
        <v/>
      </c>
      <c r="X369">
        <f>IF(AND($B369&lt;&gt;"",$B369='Event Report'!$C$3),ROW(),"")</f>
        <v/>
      </c>
      <c r="Y369">
        <f>IF(AND($P369="✓",$R369=""),IF($Q369="",90000,$Q369)+ROW()/100000,"")</f>
        <v/>
      </c>
      <c r="Z369">
        <f>IF(OR($U369&lt;&gt;"",$D369&lt;&gt;"",$E369&lt;&gt;"",$N369&lt;&gt;""),1,"")</f>
        <v/>
      </c>
    </row>
    <row r="370">
      <c r="A370" s="13" t="inlineStr">
        <is>
          <t>P-0366</t>
        </is>
      </c>
      <c r="B370" s="14">
        <f>IF(AND($U370="",$C370=""),"",IFERROR(INDEX(EvID,MATCH(INDEX(FormData,$W370,f_Event),EvID,0)),IFERROR(INDEX(EvID,MATCH(INDEX(FormData,$W370,f_Event),EvName,0)),IFERROR(INDEX(EvID,MATCH(INT($C370),EvDate,0)),""))))</f>
        <v/>
      </c>
      <c r="C370" s="15">
        <f>IF($W370="","",INDEX(FormData,$W370,f_Time))</f>
        <v/>
      </c>
      <c r="D370" s="14">
        <f>IF($W370="","",IFERROR(UPPER(LEFT(TRIM(INDEX(FormData,$W370,f_Name)),1)&amp;IFERROR(MID(TRIM(INDEX(FormData,$W370,f_Name)),FIND("^",SUBSTITUTE(TRIM(INDEX(FormData,$W370,f_Name))," ","^",LEN(TRIM(INDEX(FormData,$W370,f_Name)))-LEN(SUBSTITUTE(TRIM(INDEX(FormData,$W370,f_Name))," ",""))))+1,1),"")),""))</f>
        <v/>
      </c>
      <c r="E370" s="16">
        <f>IF($W370="","",IFERROR(IF(SUMPRODUCT(MAX((WhoKW&lt;&gt;"")*ISNUMBER(SEARCH(WhoKW,INDEX(FormData,$W370,f_Who)&amp;""))*(ROW(WhoKW)-MIN(ROW(WhoKW))+1)))=0,"",INDEX(WhoVal,SUMPRODUCT(MAX((WhoKW&lt;&gt;"")*ISNUMBER(SEARCH(WhoKW,INDEX(FormData,$W370,f_Who)&amp;""))*(ROW(WhoKW)-MIN(ROW(WhoKW))+1))))),""))</f>
        <v/>
      </c>
      <c r="F370" s="17">
        <f>IF($W370="","",TRIM(IFERROR(INDEX(FormData,$W370,f_Org1)&amp;"","")&amp;" "&amp;IFERROR(INDEX(FormData,$W370,f_Org2)&amp;"","")))</f>
        <v/>
      </c>
      <c r="G370" s="16">
        <f>IF($W370="","",IFERROR(INDEX(FormData,$W370,f_Region)&amp;"",""))</f>
        <v/>
      </c>
      <c r="H370" s="16">
        <f>IF($W370="","",IFERROR(IF(SUMPRODUCT(MAX((SitKW&lt;&gt;"")*ISNUMBER(SEARCH(SitKW,INDEX(FormData,$W370,f_Sit)&amp;""))*(ROW(SitKW)-MIN(ROW(SitKW))+1)))=0,"",INDEX(SitVal,SUMPRODUCT(MAX((SitKW&lt;&gt;"")*ISNUMBER(SEARCH(SitKW,INDEX(FormData,$W370,f_Sit)&amp;""))*(ROW(SitKW)-MIN(ROW(SitKW))+1))))),""))</f>
        <v/>
      </c>
      <c r="I370" s="14">
        <f>IF($W370="","",IFERROR(INDEX(FormData,$W370,f_Appr)&amp;"",""))</f>
        <v/>
      </c>
      <c r="J370" s="16">
        <f>IF($W370="","",IFERROR(INDEX(FormData,$W370,f_Trade)&amp;"",""))</f>
        <v/>
      </c>
      <c r="K370" s="16" t="n"/>
      <c r="L370" s="17" t="n"/>
      <c r="M370" s="16" t="n"/>
      <c r="N370" s="17" t="n"/>
      <c r="O370" s="14" t="n"/>
      <c r="P370" s="14" t="n"/>
      <c r="Q370" s="18" t="n"/>
      <c r="R370" s="18" t="n"/>
      <c r="S370" s="13">
        <f>IF($P370&lt;&gt;"✓","",IF($R370&lt;&gt;"","Done",IF($Q370="","Open — no date",IF($Q370&lt;TODAY(),"Overdue",IF($Q370-TODAY()&lt;=DueSoon,"Due soon","Scheduled")))))</f>
        <v/>
      </c>
      <c r="T370" s="14">
        <f>IF($W370="","",IFERROR(IF(INDEX(FormData,$W370,f_Consent)&amp;""="","",IF(ISNUMBER(SEARCH("yes",INDEX(FormData,$W370,f_Consent))),"Yes","No")),""))</f>
        <v/>
      </c>
      <c r="U370" s="14" t="n"/>
      <c r="V370" s="13">
        <f>IF($U370="","",IF($W370="","not found","✓"))</f>
        <v/>
      </c>
      <c r="W370">
        <f>IF($U370="","",IFERROR(MATCH($U370,INDEX(FormData,0,f_Id),0),IFERROR(MATCH(--$U370,INDEX(FormData,0,f_Id),0),IFERROR(MATCH($U370&amp;"",INDEX(FormData,0,f_Id),0),""))))</f>
        <v/>
      </c>
      <c r="X370">
        <f>IF(AND($B370&lt;&gt;"",$B370='Event Report'!$C$3),ROW(),"")</f>
        <v/>
      </c>
      <c r="Y370">
        <f>IF(AND($P370="✓",$R370=""),IF($Q370="",90000,$Q370)+ROW()/100000,"")</f>
        <v/>
      </c>
      <c r="Z370">
        <f>IF(OR($U370&lt;&gt;"",$D370&lt;&gt;"",$E370&lt;&gt;"",$N370&lt;&gt;""),1,"")</f>
        <v/>
      </c>
    </row>
    <row r="371">
      <c r="A371" s="13" t="inlineStr">
        <is>
          <t>P-0367</t>
        </is>
      </c>
      <c r="B371" s="14">
        <f>IF(AND($U371="",$C371=""),"",IFERROR(INDEX(EvID,MATCH(INDEX(FormData,$W371,f_Event),EvID,0)),IFERROR(INDEX(EvID,MATCH(INDEX(FormData,$W371,f_Event),EvName,0)),IFERROR(INDEX(EvID,MATCH(INT($C371),EvDate,0)),""))))</f>
        <v/>
      </c>
      <c r="C371" s="15">
        <f>IF($W371="","",INDEX(FormData,$W371,f_Time))</f>
        <v/>
      </c>
      <c r="D371" s="14">
        <f>IF($W371="","",IFERROR(UPPER(LEFT(TRIM(INDEX(FormData,$W371,f_Name)),1)&amp;IFERROR(MID(TRIM(INDEX(FormData,$W371,f_Name)),FIND("^",SUBSTITUTE(TRIM(INDEX(FormData,$W371,f_Name))," ","^",LEN(TRIM(INDEX(FormData,$W371,f_Name)))-LEN(SUBSTITUTE(TRIM(INDEX(FormData,$W371,f_Name))," ",""))))+1,1),"")),""))</f>
        <v/>
      </c>
      <c r="E371" s="16">
        <f>IF($W371="","",IFERROR(IF(SUMPRODUCT(MAX((WhoKW&lt;&gt;"")*ISNUMBER(SEARCH(WhoKW,INDEX(FormData,$W371,f_Who)&amp;""))*(ROW(WhoKW)-MIN(ROW(WhoKW))+1)))=0,"",INDEX(WhoVal,SUMPRODUCT(MAX((WhoKW&lt;&gt;"")*ISNUMBER(SEARCH(WhoKW,INDEX(FormData,$W371,f_Who)&amp;""))*(ROW(WhoKW)-MIN(ROW(WhoKW))+1))))),""))</f>
        <v/>
      </c>
      <c r="F371" s="17">
        <f>IF($W371="","",TRIM(IFERROR(INDEX(FormData,$W371,f_Org1)&amp;"","")&amp;" "&amp;IFERROR(INDEX(FormData,$W371,f_Org2)&amp;"","")))</f>
        <v/>
      </c>
      <c r="G371" s="16">
        <f>IF($W371="","",IFERROR(INDEX(FormData,$W371,f_Region)&amp;"",""))</f>
        <v/>
      </c>
      <c r="H371" s="16">
        <f>IF($W371="","",IFERROR(IF(SUMPRODUCT(MAX((SitKW&lt;&gt;"")*ISNUMBER(SEARCH(SitKW,INDEX(FormData,$W371,f_Sit)&amp;""))*(ROW(SitKW)-MIN(ROW(SitKW))+1)))=0,"",INDEX(SitVal,SUMPRODUCT(MAX((SitKW&lt;&gt;"")*ISNUMBER(SEARCH(SitKW,INDEX(FormData,$W371,f_Sit)&amp;""))*(ROW(SitKW)-MIN(ROW(SitKW))+1))))),""))</f>
        <v/>
      </c>
      <c r="I371" s="14">
        <f>IF($W371="","",IFERROR(INDEX(FormData,$W371,f_Appr)&amp;"",""))</f>
        <v/>
      </c>
      <c r="J371" s="16">
        <f>IF($W371="","",IFERROR(INDEX(FormData,$W371,f_Trade)&amp;"",""))</f>
        <v/>
      </c>
      <c r="K371" s="16" t="n"/>
      <c r="L371" s="17" t="n"/>
      <c r="M371" s="16" t="n"/>
      <c r="N371" s="17" t="n"/>
      <c r="O371" s="14" t="n"/>
      <c r="P371" s="14" t="n"/>
      <c r="Q371" s="18" t="n"/>
      <c r="R371" s="18" t="n"/>
      <c r="S371" s="13">
        <f>IF($P371&lt;&gt;"✓","",IF($R371&lt;&gt;"","Done",IF($Q371="","Open — no date",IF($Q371&lt;TODAY(),"Overdue",IF($Q371-TODAY()&lt;=DueSoon,"Due soon","Scheduled")))))</f>
        <v/>
      </c>
      <c r="T371" s="14">
        <f>IF($W371="","",IFERROR(IF(INDEX(FormData,$W371,f_Consent)&amp;""="","",IF(ISNUMBER(SEARCH("yes",INDEX(FormData,$W371,f_Consent))),"Yes","No")),""))</f>
        <v/>
      </c>
      <c r="U371" s="14" t="n"/>
      <c r="V371" s="13">
        <f>IF($U371="","",IF($W371="","not found","✓"))</f>
        <v/>
      </c>
      <c r="W371">
        <f>IF($U371="","",IFERROR(MATCH($U371,INDEX(FormData,0,f_Id),0),IFERROR(MATCH(--$U371,INDEX(FormData,0,f_Id),0),IFERROR(MATCH($U371&amp;"",INDEX(FormData,0,f_Id),0),""))))</f>
        <v/>
      </c>
      <c r="X371">
        <f>IF(AND($B371&lt;&gt;"",$B371='Event Report'!$C$3),ROW(),"")</f>
        <v/>
      </c>
      <c r="Y371">
        <f>IF(AND($P371="✓",$R371=""),IF($Q371="",90000,$Q371)+ROW()/100000,"")</f>
        <v/>
      </c>
      <c r="Z371">
        <f>IF(OR($U371&lt;&gt;"",$D371&lt;&gt;"",$E371&lt;&gt;"",$N371&lt;&gt;""),1,"")</f>
        <v/>
      </c>
    </row>
    <row r="372">
      <c r="A372" s="13" t="inlineStr">
        <is>
          <t>P-0368</t>
        </is>
      </c>
      <c r="B372" s="14">
        <f>IF(AND($U372="",$C372=""),"",IFERROR(INDEX(EvID,MATCH(INDEX(FormData,$W372,f_Event),EvID,0)),IFERROR(INDEX(EvID,MATCH(INDEX(FormData,$W372,f_Event),EvName,0)),IFERROR(INDEX(EvID,MATCH(INT($C372),EvDate,0)),""))))</f>
        <v/>
      </c>
      <c r="C372" s="15">
        <f>IF($W372="","",INDEX(FormData,$W372,f_Time))</f>
        <v/>
      </c>
      <c r="D372" s="14">
        <f>IF($W372="","",IFERROR(UPPER(LEFT(TRIM(INDEX(FormData,$W372,f_Name)),1)&amp;IFERROR(MID(TRIM(INDEX(FormData,$W372,f_Name)),FIND("^",SUBSTITUTE(TRIM(INDEX(FormData,$W372,f_Name))," ","^",LEN(TRIM(INDEX(FormData,$W372,f_Name)))-LEN(SUBSTITUTE(TRIM(INDEX(FormData,$W372,f_Name))," ",""))))+1,1),"")),""))</f>
        <v/>
      </c>
      <c r="E372" s="16">
        <f>IF($W372="","",IFERROR(IF(SUMPRODUCT(MAX((WhoKW&lt;&gt;"")*ISNUMBER(SEARCH(WhoKW,INDEX(FormData,$W372,f_Who)&amp;""))*(ROW(WhoKW)-MIN(ROW(WhoKW))+1)))=0,"",INDEX(WhoVal,SUMPRODUCT(MAX((WhoKW&lt;&gt;"")*ISNUMBER(SEARCH(WhoKW,INDEX(FormData,$W372,f_Who)&amp;""))*(ROW(WhoKW)-MIN(ROW(WhoKW))+1))))),""))</f>
        <v/>
      </c>
      <c r="F372" s="17">
        <f>IF($W372="","",TRIM(IFERROR(INDEX(FormData,$W372,f_Org1)&amp;"","")&amp;" "&amp;IFERROR(INDEX(FormData,$W372,f_Org2)&amp;"","")))</f>
        <v/>
      </c>
      <c r="G372" s="16">
        <f>IF($W372="","",IFERROR(INDEX(FormData,$W372,f_Region)&amp;"",""))</f>
        <v/>
      </c>
      <c r="H372" s="16">
        <f>IF($W372="","",IFERROR(IF(SUMPRODUCT(MAX((SitKW&lt;&gt;"")*ISNUMBER(SEARCH(SitKW,INDEX(FormData,$W372,f_Sit)&amp;""))*(ROW(SitKW)-MIN(ROW(SitKW))+1)))=0,"",INDEX(SitVal,SUMPRODUCT(MAX((SitKW&lt;&gt;"")*ISNUMBER(SEARCH(SitKW,INDEX(FormData,$W372,f_Sit)&amp;""))*(ROW(SitKW)-MIN(ROW(SitKW))+1))))),""))</f>
        <v/>
      </c>
      <c r="I372" s="14">
        <f>IF($W372="","",IFERROR(INDEX(FormData,$W372,f_Appr)&amp;"",""))</f>
        <v/>
      </c>
      <c r="J372" s="16">
        <f>IF($W372="","",IFERROR(INDEX(FormData,$W372,f_Trade)&amp;"",""))</f>
        <v/>
      </c>
      <c r="K372" s="16" t="n"/>
      <c r="L372" s="17" t="n"/>
      <c r="M372" s="16" t="n"/>
      <c r="N372" s="17" t="n"/>
      <c r="O372" s="14" t="n"/>
      <c r="P372" s="14" t="n"/>
      <c r="Q372" s="18" t="n"/>
      <c r="R372" s="18" t="n"/>
      <c r="S372" s="13">
        <f>IF($P372&lt;&gt;"✓","",IF($R372&lt;&gt;"","Done",IF($Q372="","Open — no date",IF($Q372&lt;TODAY(),"Overdue",IF($Q372-TODAY()&lt;=DueSoon,"Due soon","Scheduled")))))</f>
        <v/>
      </c>
      <c r="T372" s="14">
        <f>IF($W372="","",IFERROR(IF(INDEX(FormData,$W372,f_Consent)&amp;""="","",IF(ISNUMBER(SEARCH("yes",INDEX(FormData,$W372,f_Consent))),"Yes","No")),""))</f>
        <v/>
      </c>
      <c r="U372" s="14" t="n"/>
      <c r="V372" s="13">
        <f>IF($U372="","",IF($W372="","not found","✓"))</f>
        <v/>
      </c>
      <c r="W372">
        <f>IF($U372="","",IFERROR(MATCH($U372,INDEX(FormData,0,f_Id),0),IFERROR(MATCH(--$U372,INDEX(FormData,0,f_Id),0),IFERROR(MATCH($U372&amp;"",INDEX(FormData,0,f_Id),0),""))))</f>
        <v/>
      </c>
      <c r="X372">
        <f>IF(AND($B372&lt;&gt;"",$B372='Event Report'!$C$3),ROW(),"")</f>
        <v/>
      </c>
      <c r="Y372">
        <f>IF(AND($P372="✓",$R372=""),IF($Q372="",90000,$Q372)+ROW()/100000,"")</f>
        <v/>
      </c>
      <c r="Z372">
        <f>IF(OR($U372&lt;&gt;"",$D372&lt;&gt;"",$E372&lt;&gt;"",$N372&lt;&gt;""),1,"")</f>
        <v/>
      </c>
    </row>
    <row r="373">
      <c r="A373" s="13" t="inlineStr">
        <is>
          <t>P-0369</t>
        </is>
      </c>
      <c r="B373" s="14">
        <f>IF(AND($U373="",$C373=""),"",IFERROR(INDEX(EvID,MATCH(INDEX(FormData,$W373,f_Event),EvID,0)),IFERROR(INDEX(EvID,MATCH(INDEX(FormData,$W373,f_Event),EvName,0)),IFERROR(INDEX(EvID,MATCH(INT($C373),EvDate,0)),""))))</f>
        <v/>
      </c>
      <c r="C373" s="15">
        <f>IF($W373="","",INDEX(FormData,$W373,f_Time))</f>
        <v/>
      </c>
      <c r="D373" s="14">
        <f>IF($W373="","",IFERROR(UPPER(LEFT(TRIM(INDEX(FormData,$W373,f_Name)),1)&amp;IFERROR(MID(TRIM(INDEX(FormData,$W373,f_Name)),FIND("^",SUBSTITUTE(TRIM(INDEX(FormData,$W373,f_Name))," ","^",LEN(TRIM(INDEX(FormData,$W373,f_Name)))-LEN(SUBSTITUTE(TRIM(INDEX(FormData,$W373,f_Name))," ",""))))+1,1),"")),""))</f>
        <v/>
      </c>
      <c r="E373" s="16">
        <f>IF($W373="","",IFERROR(IF(SUMPRODUCT(MAX((WhoKW&lt;&gt;"")*ISNUMBER(SEARCH(WhoKW,INDEX(FormData,$W373,f_Who)&amp;""))*(ROW(WhoKW)-MIN(ROW(WhoKW))+1)))=0,"",INDEX(WhoVal,SUMPRODUCT(MAX((WhoKW&lt;&gt;"")*ISNUMBER(SEARCH(WhoKW,INDEX(FormData,$W373,f_Who)&amp;""))*(ROW(WhoKW)-MIN(ROW(WhoKW))+1))))),""))</f>
        <v/>
      </c>
      <c r="F373" s="17">
        <f>IF($W373="","",TRIM(IFERROR(INDEX(FormData,$W373,f_Org1)&amp;"","")&amp;" "&amp;IFERROR(INDEX(FormData,$W373,f_Org2)&amp;"","")))</f>
        <v/>
      </c>
      <c r="G373" s="16">
        <f>IF($W373="","",IFERROR(INDEX(FormData,$W373,f_Region)&amp;"",""))</f>
        <v/>
      </c>
      <c r="H373" s="16">
        <f>IF($W373="","",IFERROR(IF(SUMPRODUCT(MAX((SitKW&lt;&gt;"")*ISNUMBER(SEARCH(SitKW,INDEX(FormData,$W373,f_Sit)&amp;""))*(ROW(SitKW)-MIN(ROW(SitKW))+1)))=0,"",INDEX(SitVal,SUMPRODUCT(MAX((SitKW&lt;&gt;"")*ISNUMBER(SEARCH(SitKW,INDEX(FormData,$W373,f_Sit)&amp;""))*(ROW(SitKW)-MIN(ROW(SitKW))+1))))),""))</f>
        <v/>
      </c>
      <c r="I373" s="14">
        <f>IF($W373="","",IFERROR(INDEX(FormData,$W373,f_Appr)&amp;"",""))</f>
        <v/>
      </c>
      <c r="J373" s="16">
        <f>IF($W373="","",IFERROR(INDEX(FormData,$W373,f_Trade)&amp;"",""))</f>
        <v/>
      </c>
      <c r="K373" s="16" t="n"/>
      <c r="L373" s="17" t="n"/>
      <c r="M373" s="16" t="n"/>
      <c r="N373" s="17" t="n"/>
      <c r="O373" s="14" t="n"/>
      <c r="P373" s="14" t="n"/>
      <c r="Q373" s="18" t="n"/>
      <c r="R373" s="18" t="n"/>
      <c r="S373" s="13">
        <f>IF($P373&lt;&gt;"✓","",IF($R373&lt;&gt;"","Done",IF($Q373="","Open — no date",IF($Q373&lt;TODAY(),"Overdue",IF($Q373-TODAY()&lt;=DueSoon,"Due soon","Scheduled")))))</f>
        <v/>
      </c>
      <c r="T373" s="14">
        <f>IF($W373="","",IFERROR(IF(INDEX(FormData,$W373,f_Consent)&amp;""="","",IF(ISNUMBER(SEARCH("yes",INDEX(FormData,$W373,f_Consent))),"Yes","No")),""))</f>
        <v/>
      </c>
      <c r="U373" s="14" t="n"/>
      <c r="V373" s="13">
        <f>IF($U373="","",IF($W373="","not found","✓"))</f>
        <v/>
      </c>
      <c r="W373">
        <f>IF($U373="","",IFERROR(MATCH($U373,INDEX(FormData,0,f_Id),0),IFERROR(MATCH(--$U373,INDEX(FormData,0,f_Id),0),IFERROR(MATCH($U373&amp;"",INDEX(FormData,0,f_Id),0),""))))</f>
        <v/>
      </c>
      <c r="X373">
        <f>IF(AND($B373&lt;&gt;"",$B373='Event Report'!$C$3),ROW(),"")</f>
        <v/>
      </c>
      <c r="Y373">
        <f>IF(AND($P373="✓",$R373=""),IF($Q373="",90000,$Q373)+ROW()/100000,"")</f>
        <v/>
      </c>
      <c r="Z373">
        <f>IF(OR($U373&lt;&gt;"",$D373&lt;&gt;"",$E373&lt;&gt;"",$N373&lt;&gt;""),1,"")</f>
        <v/>
      </c>
    </row>
    <row r="374">
      <c r="A374" s="13" t="inlineStr">
        <is>
          <t>P-0370</t>
        </is>
      </c>
      <c r="B374" s="14">
        <f>IF(AND($U374="",$C374=""),"",IFERROR(INDEX(EvID,MATCH(INDEX(FormData,$W374,f_Event),EvID,0)),IFERROR(INDEX(EvID,MATCH(INDEX(FormData,$W374,f_Event),EvName,0)),IFERROR(INDEX(EvID,MATCH(INT($C374),EvDate,0)),""))))</f>
        <v/>
      </c>
      <c r="C374" s="15">
        <f>IF($W374="","",INDEX(FormData,$W374,f_Time))</f>
        <v/>
      </c>
      <c r="D374" s="14">
        <f>IF($W374="","",IFERROR(UPPER(LEFT(TRIM(INDEX(FormData,$W374,f_Name)),1)&amp;IFERROR(MID(TRIM(INDEX(FormData,$W374,f_Name)),FIND("^",SUBSTITUTE(TRIM(INDEX(FormData,$W374,f_Name))," ","^",LEN(TRIM(INDEX(FormData,$W374,f_Name)))-LEN(SUBSTITUTE(TRIM(INDEX(FormData,$W374,f_Name))," ",""))))+1,1),"")),""))</f>
        <v/>
      </c>
      <c r="E374" s="16">
        <f>IF($W374="","",IFERROR(IF(SUMPRODUCT(MAX((WhoKW&lt;&gt;"")*ISNUMBER(SEARCH(WhoKW,INDEX(FormData,$W374,f_Who)&amp;""))*(ROW(WhoKW)-MIN(ROW(WhoKW))+1)))=0,"",INDEX(WhoVal,SUMPRODUCT(MAX((WhoKW&lt;&gt;"")*ISNUMBER(SEARCH(WhoKW,INDEX(FormData,$W374,f_Who)&amp;""))*(ROW(WhoKW)-MIN(ROW(WhoKW))+1))))),""))</f>
        <v/>
      </c>
      <c r="F374" s="17">
        <f>IF($W374="","",TRIM(IFERROR(INDEX(FormData,$W374,f_Org1)&amp;"","")&amp;" "&amp;IFERROR(INDEX(FormData,$W374,f_Org2)&amp;"","")))</f>
        <v/>
      </c>
      <c r="G374" s="16">
        <f>IF($W374="","",IFERROR(INDEX(FormData,$W374,f_Region)&amp;"",""))</f>
        <v/>
      </c>
      <c r="H374" s="16">
        <f>IF($W374="","",IFERROR(IF(SUMPRODUCT(MAX((SitKW&lt;&gt;"")*ISNUMBER(SEARCH(SitKW,INDEX(FormData,$W374,f_Sit)&amp;""))*(ROW(SitKW)-MIN(ROW(SitKW))+1)))=0,"",INDEX(SitVal,SUMPRODUCT(MAX((SitKW&lt;&gt;"")*ISNUMBER(SEARCH(SitKW,INDEX(FormData,$W374,f_Sit)&amp;""))*(ROW(SitKW)-MIN(ROW(SitKW))+1))))),""))</f>
        <v/>
      </c>
      <c r="I374" s="14">
        <f>IF($W374="","",IFERROR(INDEX(FormData,$W374,f_Appr)&amp;"",""))</f>
        <v/>
      </c>
      <c r="J374" s="16">
        <f>IF($W374="","",IFERROR(INDEX(FormData,$W374,f_Trade)&amp;"",""))</f>
        <v/>
      </c>
      <c r="K374" s="16" t="n"/>
      <c r="L374" s="17" t="n"/>
      <c r="M374" s="16" t="n"/>
      <c r="N374" s="17" t="n"/>
      <c r="O374" s="14" t="n"/>
      <c r="P374" s="14" t="n"/>
      <c r="Q374" s="18" t="n"/>
      <c r="R374" s="18" t="n"/>
      <c r="S374" s="13">
        <f>IF($P374&lt;&gt;"✓","",IF($R374&lt;&gt;"","Done",IF($Q374="","Open — no date",IF($Q374&lt;TODAY(),"Overdue",IF($Q374-TODAY()&lt;=DueSoon,"Due soon","Scheduled")))))</f>
        <v/>
      </c>
      <c r="T374" s="14">
        <f>IF($W374="","",IFERROR(IF(INDEX(FormData,$W374,f_Consent)&amp;""="","",IF(ISNUMBER(SEARCH("yes",INDEX(FormData,$W374,f_Consent))),"Yes","No")),""))</f>
        <v/>
      </c>
      <c r="U374" s="14" t="n"/>
      <c r="V374" s="13">
        <f>IF($U374="","",IF($W374="","not found","✓"))</f>
        <v/>
      </c>
      <c r="W374">
        <f>IF($U374="","",IFERROR(MATCH($U374,INDEX(FormData,0,f_Id),0),IFERROR(MATCH(--$U374,INDEX(FormData,0,f_Id),0),IFERROR(MATCH($U374&amp;"",INDEX(FormData,0,f_Id),0),""))))</f>
        <v/>
      </c>
      <c r="X374">
        <f>IF(AND($B374&lt;&gt;"",$B374='Event Report'!$C$3),ROW(),"")</f>
        <v/>
      </c>
      <c r="Y374">
        <f>IF(AND($P374="✓",$R374=""),IF($Q374="",90000,$Q374)+ROW()/100000,"")</f>
        <v/>
      </c>
      <c r="Z374">
        <f>IF(OR($U374&lt;&gt;"",$D374&lt;&gt;"",$E374&lt;&gt;"",$N374&lt;&gt;""),1,"")</f>
        <v/>
      </c>
    </row>
    <row r="375">
      <c r="A375" s="13" t="inlineStr">
        <is>
          <t>P-0371</t>
        </is>
      </c>
      <c r="B375" s="14">
        <f>IF(AND($U375="",$C375=""),"",IFERROR(INDEX(EvID,MATCH(INDEX(FormData,$W375,f_Event),EvID,0)),IFERROR(INDEX(EvID,MATCH(INDEX(FormData,$W375,f_Event),EvName,0)),IFERROR(INDEX(EvID,MATCH(INT($C375),EvDate,0)),""))))</f>
        <v/>
      </c>
      <c r="C375" s="15">
        <f>IF($W375="","",INDEX(FormData,$W375,f_Time))</f>
        <v/>
      </c>
      <c r="D375" s="14">
        <f>IF($W375="","",IFERROR(UPPER(LEFT(TRIM(INDEX(FormData,$W375,f_Name)),1)&amp;IFERROR(MID(TRIM(INDEX(FormData,$W375,f_Name)),FIND("^",SUBSTITUTE(TRIM(INDEX(FormData,$W375,f_Name))," ","^",LEN(TRIM(INDEX(FormData,$W375,f_Name)))-LEN(SUBSTITUTE(TRIM(INDEX(FormData,$W375,f_Name))," ",""))))+1,1),"")),""))</f>
        <v/>
      </c>
      <c r="E375" s="16">
        <f>IF($W375="","",IFERROR(IF(SUMPRODUCT(MAX((WhoKW&lt;&gt;"")*ISNUMBER(SEARCH(WhoKW,INDEX(FormData,$W375,f_Who)&amp;""))*(ROW(WhoKW)-MIN(ROW(WhoKW))+1)))=0,"",INDEX(WhoVal,SUMPRODUCT(MAX((WhoKW&lt;&gt;"")*ISNUMBER(SEARCH(WhoKW,INDEX(FormData,$W375,f_Who)&amp;""))*(ROW(WhoKW)-MIN(ROW(WhoKW))+1))))),""))</f>
        <v/>
      </c>
      <c r="F375" s="17">
        <f>IF($W375="","",TRIM(IFERROR(INDEX(FormData,$W375,f_Org1)&amp;"","")&amp;" "&amp;IFERROR(INDEX(FormData,$W375,f_Org2)&amp;"","")))</f>
        <v/>
      </c>
      <c r="G375" s="16">
        <f>IF($W375="","",IFERROR(INDEX(FormData,$W375,f_Region)&amp;"",""))</f>
        <v/>
      </c>
      <c r="H375" s="16">
        <f>IF($W375="","",IFERROR(IF(SUMPRODUCT(MAX((SitKW&lt;&gt;"")*ISNUMBER(SEARCH(SitKW,INDEX(FormData,$W375,f_Sit)&amp;""))*(ROW(SitKW)-MIN(ROW(SitKW))+1)))=0,"",INDEX(SitVal,SUMPRODUCT(MAX((SitKW&lt;&gt;"")*ISNUMBER(SEARCH(SitKW,INDEX(FormData,$W375,f_Sit)&amp;""))*(ROW(SitKW)-MIN(ROW(SitKW))+1))))),""))</f>
        <v/>
      </c>
      <c r="I375" s="14">
        <f>IF($W375="","",IFERROR(INDEX(FormData,$W375,f_Appr)&amp;"",""))</f>
        <v/>
      </c>
      <c r="J375" s="16">
        <f>IF($W375="","",IFERROR(INDEX(FormData,$W375,f_Trade)&amp;"",""))</f>
        <v/>
      </c>
      <c r="K375" s="16" t="n"/>
      <c r="L375" s="17" t="n"/>
      <c r="M375" s="16" t="n"/>
      <c r="N375" s="17" t="n"/>
      <c r="O375" s="14" t="n"/>
      <c r="P375" s="14" t="n"/>
      <c r="Q375" s="18" t="n"/>
      <c r="R375" s="18" t="n"/>
      <c r="S375" s="13">
        <f>IF($P375&lt;&gt;"✓","",IF($R375&lt;&gt;"","Done",IF($Q375="","Open — no date",IF($Q375&lt;TODAY(),"Overdue",IF($Q375-TODAY()&lt;=DueSoon,"Due soon","Scheduled")))))</f>
        <v/>
      </c>
      <c r="T375" s="14">
        <f>IF($W375="","",IFERROR(IF(INDEX(FormData,$W375,f_Consent)&amp;""="","",IF(ISNUMBER(SEARCH("yes",INDEX(FormData,$W375,f_Consent))),"Yes","No")),""))</f>
        <v/>
      </c>
      <c r="U375" s="14" t="n"/>
      <c r="V375" s="13">
        <f>IF($U375="","",IF($W375="","not found","✓"))</f>
        <v/>
      </c>
      <c r="W375">
        <f>IF($U375="","",IFERROR(MATCH($U375,INDEX(FormData,0,f_Id),0),IFERROR(MATCH(--$U375,INDEX(FormData,0,f_Id),0),IFERROR(MATCH($U375&amp;"",INDEX(FormData,0,f_Id),0),""))))</f>
        <v/>
      </c>
      <c r="X375">
        <f>IF(AND($B375&lt;&gt;"",$B375='Event Report'!$C$3),ROW(),"")</f>
        <v/>
      </c>
      <c r="Y375">
        <f>IF(AND($P375="✓",$R375=""),IF($Q375="",90000,$Q375)+ROW()/100000,"")</f>
        <v/>
      </c>
      <c r="Z375">
        <f>IF(OR($U375&lt;&gt;"",$D375&lt;&gt;"",$E375&lt;&gt;"",$N375&lt;&gt;""),1,"")</f>
        <v/>
      </c>
    </row>
    <row r="376">
      <c r="A376" s="13" t="inlineStr">
        <is>
          <t>P-0372</t>
        </is>
      </c>
      <c r="B376" s="14">
        <f>IF(AND($U376="",$C376=""),"",IFERROR(INDEX(EvID,MATCH(INDEX(FormData,$W376,f_Event),EvID,0)),IFERROR(INDEX(EvID,MATCH(INDEX(FormData,$W376,f_Event),EvName,0)),IFERROR(INDEX(EvID,MATCH(INT($C376),EvDate,0)),""))))</f>
        <v/>
      </c>
      <c r="C376" s="15">
        <f>IF($W376="","",INDEX(FormData,$W376,f_Time))</f>
        <v/>
      </c>
      <c r="D376" s="14">
        <f>IF($W376="","",IFERROR(UPPER(LEFT(TRIM(INDEX(FormData,$W376,f_Name)),1)&amp;IFERROR(MID(TRIM(INDEX(FormData,$W376,f_Name)),FIND("^",SUBSTITUTE(TRIM(INDEX(FormData,$W376,f_Name))," ","^",LEN(TRIM(INDEX(FormData,$W376,f_Name)))-LEN(SUBSTITUTE(TRIM(INDEX(FormData,$W376,f_Name))," ",""))))+1,1),"")),""))</f>
        <v/>
      </c>
      <c r="E376" s="16">
        <f>IF($W376="","",IFERROR(IF(SUMPRODUCT(MAX((WhoKW&lt;&gt;"")*ISNUMBER(SEARCH(WhoKW,INDEX(FormData,$W376,f_Who)&amp;""))*(ROW(WhoKW)-MIN(ROW(WhoKW))+1)))=0,"",INDEX(WhoVal,SUMPRODUCT(MAX((WhoKW&lt;&gt;"")*ISNUMBER(SEARCH(WhoKW,INDEX(FormData,$W376,f_Who)&amp;""))*(ROW(WhoKW)-MIN(ROW(WhoKW))+1))))),""))</f>
        <v/>
      </c>
      <c r="F376" s="17">
        <f>IF($W376="","",TRIM(IFERROR(INDEX(FormData,$W376,f_Org1)&amp;"","")&amp;" "&amp;IFERROR(INDEX(FormData,$W376,f_Org2)&amp;"","")))</f>
        <v/>
      </c>
      <c r="G376" s="16">
        <f>IF($W376="","",IFERROR(INDEX(FormData,$W376,f_Region)&amp;"",""))</f>
        <v/>
      </c>
      <c r="H376" s="16">
        <f>IF($W376="","",IFERROR(IF(SUMPRODUCT(MAX((SitKW&lt;&gt;"")*ISNUMBER(SEARCH(SitKW,INDEX(FormData,$W376,f_Sit)&amp;""))*(ROW(SitKW)-MIN(ROW(SitKW))+1)))=0,"",INDEX(SitVal,SUMPRODUCT(MAX((SitKW&lt;&gt;"")*ISNUMBER(SEARCH(SitKW,INDEX(FormData,$W376,f_Sit)&amp;""))*(ROW(SitKW)-MIN(ROW(SitKW))+1))))),""))</f>
        <v/>
      </c>
      <c r="I376" s="14">
        <f>IF($W376="","",IFERROR(INDEX(FormData,$W376,f_Appr)&amp;"",""))</f>
        <v/>
      </c>
      <c r="J376" s="16">
        <f>IF($W376="","",IFERROR(INDEX(FormData,$W376,f_Trade)&amp;"",""))</f>
        <v/>
      </c>
      <c r="K376" s="16" t="n"/>
      <c r="L376" s="17" t="n"/>
      <c r="M376" s="16" t="n"/>
      <c r="N376" s="17" t="n"/>
      <c r="O376" s="14" t="n"/>
      <c r="P376" s="14" t="n"/>
      <c r="Q376" s="18" t="n"/>
      <c r="R376" s="18" t="n"/>
      <c r="S376" s="13">
        <f>IF($P376&lt;&gt;"✓","",IF($R376&lt;&gt;"","Done",IF($Q376="","Open — no date",IF($Q376&lt;TODAY(),"Overdue",IF($Q376-TODAY()&lt;=DueSoon,"Due soon","Scheduled")))))</f>
        <v/>
      </c>
      <c r="T376" s="14">
        <f>IF($W376="","",IFERROR(IF(INDEX(FormData,$W376,f_Consent)&amp;""="","",IF(ISNUMBER(SEARCH("yes",INDEX(FormData,$W376,f_Consent))),"Yes","No")),""))</f>
        <v/>
      </c>
      <c r="U376" s="14" t="n"/>
      <c r="V376" s="13">
        <f>IF($U376="","",IF($W376="","not found","✓"))</f>
        <v/>
      </c>
      <c r="W376">
        <f>IF($U376="","",IFERROR(MATCH($U376,INDEX(FormData,0,f_Id),0),IFERROR(MATCH(--$U376,INDEX(FormData,0,f_Id),0),IFERROR(MATCH($U376&amp;"",INDEX(FormData,0,f_Id),0),""))))</f>
        <v/>
      </c>
      <c r="X376">
        <f>IF(AND($B376&lt;&gt;"",$B376='Event Report'!$C$3),ROW(),"")</f>
        <v/>
      </c>
      <c r="Y376">
        <f>IF(AND($P376="✓",$R376=""),IF($Q376="",90000,$Q376)+ROW()/100000,"")</f>
        <v/>
      </c>
      <c r="Z376">
        <f>IF(OR($U376&lt;&gt;"",$D376&lt;&gt;"",$E376&lt;&gt;"",$N376&lt;&gt;""),1,"")</f>
        <v/>
      </c>
    </row>
    <row r="377">
      <c r="A377" s="13" t="inlineStr">
        <is>
          <t>P-0373</t>
        </is>
      </c>
      <c r="B377" s="14">
        <f>IF(AND($U377="",$C377=""),"",IFERROR(INDEX(EvID,MATCH(INDEX(FormData,$W377,f_Event),EvID,0)),IFERROR(INDEX(EvID,MATCH(INDEX(FormData,$W377,f_Event),EvName,0)),IFERROR(INDEX(EvID,MATCH(INT($C377),EvDate,0)),""))))</f>
        <v/>
      </c>
      <c r="C377" s="15">
        <f>IF($W377="","",INDEX(FormData,$W377,f_Time))</f>
        <v/>
      </c>
      <c r="D377" s="14">
        <f>IF($W377="","",IFERROR(UPPER(LEFT(TRIM(INDEX(FormData,$W377,f_Name)),1)&amp;IFERROR(MID(TRIM(INDEX(FormData,$W377,f_Name)),FIND("^",SUBSTITUTE(TRIM(INDEX(FormData,$W377,f_Name))," ","^",LEN(TRIM(INDEX(FormData,$W377,f_Name)))-LEN(SUBSTITUTE(TRIM(INDEX(FormData,$W377,f_Name))," ",""))))+1,1),"")),""))</f>
        <v/>
      </c>
      <c r="E377" s="16">
        <f>IF($W377="","",IFERROR(IF(SUMPRODUCT(MAX((WhoKW&lt;&gt;"")*ISNUMBER(SEARCH(WhoKW,INDEX(FormData,$W377,f_Who)&amp;""))*(ROW(WhoKW)-MIN(ROW(WhoKW))+1)))=0,"",INDEX(WhoVal,SUMPRODUCT(MAX((WhoKW&lt;&gt;"")*ISNUMBER(SEARCH(WhoKW,INDEX(FormData,$W377,f_Who)&amp;""))*(ROW(WhoKW)-MIN(ROW(WhoKW))+1))))),""))</f>
        <v/>
      </c>
      <c r="F377" s="17">
        <f>IF($W377="","",TRIM(IFERROR(INDEX(FormData,$W377,f_Org1)&amp;"","")&amp;" "&amp;IFERROR(INDEX(FormData,$W377,f_Org2)&amp;"","")))</f>
        <v/>
      </c>
      <c r="G377" s="16">
        <f>IF($W377="","",IFERROR(INDEX(FormData,$W377,f_Region)&amp;"",""))</f>
        <v/>
      </c>
      <c r="H377" s="16">
        <f>IF($W377="","",IFERROR(IF(SUMPRODUCT(MAX((SitKW&lt;&gt;"")*ISNUMBER(SEARCH(SitKW,INDEX(FormData,$W377,f_Sit)&amp;""))*(ROW(SitKW)-MIN(ROW(SitKW))+1)))=0,"",INDEX(SitVal,SUMPRODUCT(MAX((SitKW&lt;&gt;"")*ISNUMBER(SEARCH(SitKW,INDEX(FormData,$W377,f_Sit)&amp;""))*(ROW(SitKW)-MIN(ROW(SitKW))+1))))),""))</f>
        <v/>
      </c>
      <c r="I377" s="14">
        <f>IF($W377="","",IFERROR(INDEX(FormData,$W377,f_Appr)&amp;"",""))</f>
        <v/>
      </c>
      <c r="J377" s="16">
        <f>IF($W377="","",IFERROR(INDEX(FormData,$W377,f_Trade)&amp;"",""))</f>
        <v/>
      </c>
      <c r="K377" s="16" t="n"/>
      <c r="L377" s="17" t="n"/>
      <c r="M377" s="16" t="n"/>
      <c r="N377" s="17" t="n"/>
      <c r="O377" s="14" t="n"/>
      <c r="P377" s="14" t="n"/>
      <c r="Q377" s="18" t="n"/>
      <c r="R377" s="18" t="n"/>
      <c r="S377" s="13">
        <f>IF($P377&lt;&gt;"✓","",IF($R377&lt;&gt;"","Done",IF($Q377="","Open — no date",IF($Q377&lt;TODAY(),"Overdue",IF($Q377-TODAY()&lt;=DueSoon,"Due soon","Scheduled")))))</f>
        <v/>
      </c>
      <c r="T377" s="14">
        <f>IF($W377="","",IFERROR(IF(INDEX(FormData,$W377,f_Consent)&amp;""="","",IF(ISNUMBER(SEARCH("yes",INDEX(FormData,$W377,f_Consent))),"Yes","No")),""))</f>
        <v/>
      </c>
      <c r="U377" s="14" t="n"/>
      <c r="V377" s="13">
        <f>IF($U377="","",IF($W377="","not found","✓"))</f>
        <v/>
      </c>
      <c r="W377">
        <f>IF($U377="","",IFERROR(MATCH($U377,INDEX(FormData,0,f_Id),0),IFERROR(MATCH(--$U377,INDEX(FormData,0,f_Id),0),IFERROR(MATCH($U377&amp;"",INDEX(FormData,0,f_Id),0),""))))</f>
        <v/>
      </c>
      <c r="X377">
        <f>IF(AND($B377&lt;&gt;"",$B377='Event Report'!$C$3),ROW(),"")</f>
        <v/>
      </c>
      <c r="Y377">
        <f>IF(AND($P377="✓",$R377=""),IF($Q377="",90000,$Q377)+ROW()/100000,"")</f>
        <v/>
      </c>
      <c r="Z377">
        <f>IF(OR($U377&lt;&gt;"",$D377&lt;&gt;"",$E377&lt;&gt;"",$N377&lt;&gt;""),1,"")</f>
        <v/>
      </c>
    </row>
    <row r="378">
      <c r="A378" s="13" t="inlineStr">
        <is>
          <t>P-0374</t>
        </is>
      </c>
      <c r="B378" s="14">
        <f>IF(AND($U378="",$C378=""),"",IFERROR(INDEX(EvID,MATCH(INDEX(FormData,$W378,f_Event),EvID,0)),IFERROR(INDEX(EvID,MATCH(INDEX(FormData,$W378,f_Event),EvName,0)),IFERROR(INDEX(EvID,MATCH(INT($C378),EvDate,0)),""))))</f>
        <v/>
      </c>
      <c r="C378" s="15">
        <f>IF($W378="","",INDEX(FormData,$W378,f_Time))</f>
        <v/>
      </c>
      <c r="D378" s="14">
        <f>IF($W378="","",IFERROR(UPPER(LEFT(TRIM(INDEX(FormData,$W378,f_Name)),1)&amp;IFERROR(MID(TRIM(INDEX(FormData,$W378,f_Name)),FIND("^",SUBSTITUTE(TRIM(INDEX(FormData,$W378,f_Name))," ","^",LEN(TRIM(INDEX(FormData,$W378,f_Name)))-LEN(SUBSTITUTE(TRIM(INDEX(FormData,$W378,f_Name))," ",""))))+1,1),"")),""))</f>
        <v/>
      </c>
      <c r="E378" s="16">
        <f>IF($W378="","",IFERROR(IF(SUMPRODUCT(MAX((WhoKW&lt;&gt;"")*ISNUMBER(SEARCH(WhoKW,INDEX(FormData,$W378,f_Who)&amp;""))*(ROW(WhoKW)-MIN(ROW(WhoKW))+1)))=0,"",INDEX(WhoVal,SUMPRODUCT(MAX((WhoKW&lt;&gt;"")*ISNUMBER(SEARCH(WhoKW,INDEX(FormData,$W378,f_Who)&amp;""))*(ROW(WhoKW)-MIN(ROW(WhoKW))+1))))),""))</f>
        <v/>
      </c>
      <c r="F378" s="17">
        <f>IF($W378="","",TRIM(IFERROR(INDEX(FormData,$W378,f_Org1)&amp;"","")&amp;" "&amp;IFERROR(INDEX(FormData,$W378,f_Org2)&amp;"","")))</f>
        <v/>
      </c>
      <c r="G378" s="16">
        <f>IF($W378="","",IFERROR(INDEX(FormData,$W378,f_Region)&amp;"",""))</f>
        <v/>
      </c>
      <c r="H378" s="16">
        <f>IF($W378="","",IFERROR(IF(SUMPRODUCT(MAX((SitKW&lt;&gt;"")*ISNUMBER(SEARCH(SitKW,INDEX(FormData,$W378,f_Sit)&amp;""))*(ROW(SitKW)-MIN(ROW(SitKW))+1)))=0,"",INDEX(SitVal,SUMPRODUCT(MAX((SitKW&lt;&gt;"")*ISNUMBER(SEARCH(SitKW,INDEX(FormData,$W378,f_Sit)&amp;""))*(ROW(SitKW)-MIN(ROW(SitKW))+1))))),""))</f>
        <v/>
      </c>
      <c r="I378" s="14">
        <f>IF($W378="","",IFERROR(INDEX(FormData,$W378,f_Appr)&amp;"",""))</f>
        <v/>
      </c>
      <c r="J378" s="16">
        <f>IF($W378="","",IFERROR(INDEX(FormData,$W378,f_Trade)&amp;"",""))</f>
        <v/>
      </c>
      <c r="K378" s="16" t="n"/>
      <c r="L378" s="17" t="n"/>
      <c r="M378" s="16" t="n"/>
      <c r="N378" s="17" t="n"/>
      <c r="O378" s="14" t="n"/>
      <c r="P378" s="14" t="n"/>
      <c r="Q378" s="18" t="n"/>
      <c r="R378" s="18" t="n"/>
      <c r="S378" s="13">
        <f>IF($P378&lt;&gt;"✓","",IF($R378&lt;&gt;"","Done",IF($Q378="","Open — no date",IF($Q378&lt;TODAY(),"Overdue",IF($Q378-TODAY()&lt;=DueSoon,"Due soon","Scheduled")))))</f>
        <v/>
      </c>
      <c r="T378" s="14">
        <f>IF($W378="","",IFERROR(IF(INDEX(FormData,$W378,f_Consent)&amp;""="","",IF(ISNUMBER(SEARCH("yes",INDEX(FormData,$W378,f_Consent))),"Yes","No")),""))</f>
        <v/>
      </c>
      <c r="U378" s="14" t="n"/>
      <c r="V378" s="13">
        <f>IF($U378="","",IF($W378="","not found","✓"))</f>
        <v/>
      </c>
      <c r="W378">
        <f>IF($U378="","",IFERROR(MATCH($U378,INDEX(FormData,0,f_Id),0),IFERROR(MATCH(--$U378,INDEX(FormData,0,f_Id),0),IFERROR(MATCH($U378&amp;"",INDEX(FormData,0,f_Id),0),""))))</f>
        <v/>
      </c>
      <c r="X378">
        <f>IF(AND($B378&lt;&gt;"",$B378='Event Report'!$C$3),ROW(),"")</f>
        <v/>
      </c>
      <c r="Y378">
        <f>IF(AND($P378="✓",$R378=""),IF($Q378="",90000,$Q378)+ROW()/100000,"")</f>
        <v/>
      </c>
      <c r="Z378">
        <f>IF(OR($U378&lt;&gt;"",$D378&lt;&gt;"",$E378&lt;&gt;"",$N378&lt;&gt;""),1,"")</f>
        <v/>
      </c>
    </row>
    <row r="379">
      <c r="A379" s="13" t="inlineStr">
        <is>
          <t>P-0375</t>
        </is>
      </c>
      <c r="B379" s="14">
        <f>IF(AND($U379="",$C379=""),"",IFERROR(INDEX(EvID,MATCH(INDEX(FormData,$W379,f_Event),EvID,0)),IFERROR(INDEX(EvID,MATCH(INDEX(FormData,$W379,f_Event),EvName,0)),IFERROR(INDEX(EvID,MATCH(INT($C379),EvDate,0)),""))))</f>
        <v/>
      </c>
      <c r="C379" s="15">
        <f>IF($W379="","",INDEX(FormData,$W379,f_Time))</f>
        <v/>
      </c>
      <c r="D379" s="14">
        <f>IF($W379="","",IFERROR(UPPER(LEFT(TRIM(INDEX(FormData,$W379,f_Name)),1)&amp;IFERROR(MID(TRIM(INDEX(FormData,$W379,f_Name)),FIND("^",SUBSTITUTE(TRIM(INDEX(FormData,$W379,f_Name))," ","^",LEN(TRIM(INDEX(FormData,$W379,f_Name)))-LEN(SUBSTITUTE(TRIM(INDEX(FormData,$W379,f_Name))," ",""))))+1,1),"")),""))</f>
        <v/>
      </c>
      <c r="E379" s="16">
        <f>IF($W379="","",IFERROR(IF(SUMPRODUCT(MAX((WhoKW&lt;&gt;"")*ISNUMBER(SEARCH(WhoKW,INDEX(FormData,$W379,f_Who)&amp;""))*(ROW(WhoKW)-MIN(ROW(WhoKW))+1)))=0,"",INDEX(WhoVal,SUMPRODUCT(MAX((WhoKW&lt;&gt;"")*ISNUMBER(SEARCH(WhoKW,INDEX(FormData,$W379,f_Who)&amp;""))*(ROW(WhoKW)-MIN(ROW(WhoKW))+1))))),""))</f>
        <v/>
      </c>
      <c r="F379" s="17">
        <f>IF($W379="","",TRIM(IFERROR(INDEX(FormData,$W379,f_Org1)&amp;"","")&amp;" "&amp;IFERROR(INDEX(FormData,$W379,f_Org2)&amp;"","")))</f>
        <v/>
      </c>
      <c r="G379" s="16">
        <f>IF($W379="","",IFERROR(INDEX(FormData,$W379,f_Region)&amp;"",""))</f>
        <v/>
      </c>
      <c r="H379" s="16">
        <f>IF($W379="","",IFERROR(IF(SUMPRODUCT(MAX((SitKW&lt;&gt;"")*ISNUMBER(SEARCH(SitKW,INDEX(FormData,$W379,f_Sit)&amp;""))*(ROW(SitKW)-MIN(ROW(SitKW))+1)))=0,"",INDEX(SitVal,SUMPRODUCT(MAX((SitKW&lt;&gt;"")*ISNUMBER(SEARCH(SitKW,INDEX(FormData,$W379,f_Sit)&amp;""))*(ROW(SitKW)-MIN(ROW(SitKW))+1))))),""))</f>
        <v/>
      </c>
      <c r="I379" s="14">
        <f>IF($W379="","",IFERROR(INDEX(FormData,$W379,f_Appr)&amp;"",""))</f>
        <v/>
      </c>
      <c r="J379" s="16">
        <f>IF($W379="","",IFERROR(INDEX(FormData,$W379,f_Trade)&amp;"",""))</f>
        <v/>
      </c>
      <c r="K379" s="16" t="n"/>
      <c r="L379" s="17" t="n"/>
      <c r="M379" s="16" t="n"/>
      <c r="N379" s="17" t="n"/>
      <c r="O379" s="14" t="n"/>
      <c r="P379" s="14" t="n"/>
      <c r="Q379" s="18" t="n"/>
      <c r="R379" s="18" t="n"/>
      <c r="S379" s="13">
        <f>IF($P379&lt;&gt;"✓","",IF($R379&lt;&gt;"","Done",IF($Q379="","Open — no date",IF($Q379&lt;TODAY(),"Overdue",IF($Q379-TODAY()&lt;=DueSoon,"Due soon","Scheduled")))))</f>
        <v/>
      </c>
      <c r="T379" s="14">
        <f>IF($W379="","",IFERROR(IF(INDEX(FormData,$W379,f_Consent)&amp;""="","",IF(ISNUMBER(SEARCH("yes",INDEX(FormData,$W379,f_Consent))),"Yes","No")),""))</f>
        <v/>
      </c>
      <c r="U379" s="14" t="n"/>
      <c r="V379" s="13">
        <f>IF($U379="","",IF($W379="","not found","✓"))</f>
        <v/>
      </c>
      <c r="W379">
        <f>IF($U379="","",IFERROR(MATCH($U379,INDEX(FormData,0,f_Id),0),IFERROR(MATCH(--$U379,INDEX(FormData,0,f_Id),0),IFERROR(MATCH($U379&amp;"",INDEX(FormData,0,f_Id),0),""))))</f>
        <v/>
      </c>
      <c r="X379">
        <f>IF(AND($B379&lt;&gt;"",$B379='Event Report'!$C$3),ROW(),"")</f>
        <v/>
      </c>
      <c r="Y379">
        <f>IF(AND($P379="✓",$R379=""),IF($Q379="",90000,$Q379)+ROW()/100000,"")</f>
        <v/>
      </c>
      <c r="Z379">
        <f>IF(OR($U379&lt;&gt;"",$D379&lt;&gt;"",$E379&lt;&gt;"",$N379&lt;&gt;""),1,"")</f>
        <v/>
      </c>
    </row>
    <row r="380">
      <c r="A380" s="13" t="inlineStr">
        <is>
          <t>P-0376</t>
        </is>
      </c>
      <c r="B380" s="14">
        <f>IF(AND($U380="",$C380=""),"",IFERROR(INDEX(EvID,MATCH(INDEX(FormData,$W380,f_Event),EvID,0)),IFERROR(INDEX(EvID,MATCH(INDEX(FormData,$W380,f_Event),EvName,0)),IFERROR(INDEX(EvID,MATCH(INT($C380),EvDate,0)),""))))</f>
        <v/>
      </c>
      <c r="C380" s="15">
        <f>IF($W380="","",INDEX(FormData,$W380,f_Time))</f>
        <v/>
      </c>
      <c r="D380" s="14">
        <f>IF($W380="","",IFERROR(UPPER(LEFT(TRIM(INDEX(FormData,$W380,f_Name)),1)&amp;IFERROR(MID(TRIM(INDEX(FormData,$W380,f_Name)),FIND("^",SUBSTITUTE(TRIM(INDEX(FormData,$W380,f_Name))," ","^",LEN(TRIM(INDEX(FormData,$W380,f_Name)))-LEN(SUBSTITUTE(TRIM(INDEX(FormData,$W380,f_Name))," ",""))))+1,1),"")),""))</f>
        <v/>
      </c>
      <c r="E380" s="16">
        <f>IF($W380="","",IFERROR(IF(SUMPRODUCT(MAX((WhoKW&lt;&gt;"")*ISNUMBER(SEARCH(WhoKW,INDEX(FormData,$W380,f_Who)&amp;""))*(ROW(WhoKW)-MIN(ROW(WhoKW))+1)))=0,"",INDEX(WhoVal,SUMPRODUCT(MAX((WhoKW&lt;&gt;"")*ISNUMBER(SEARCH(WhoKW,INDEX(FormData,$W380,f_Who)&amp;""))*(ROW(WhoKW)-MIN(ROW(WhoKW))+1))))),""))</f>
        <v/>
      </c>
      <c r="F380" s="17">
        <f>IF($W380="","",TRIM(IFERROR(INDEX(FormData,$W380,f_Org1)&amp;"","")&amp;" "&amp;IFERROR(INDEX(FormData,$W380,f_Org2)&amp;"","")))</f>
        <v/>
      </c>
      <c r="G380" s="16">
        <f>IF($W380="","",IFERROR(INDEX(FormData,$W380,f_Region)&amp;"",""))</f>
        <v/>
      </c>
      <c r="H380" s="16">
        <f>IF($W380="","",IFERROR(IF(SUMPRODUCT(MAX((SitKW&lt;&gt;"")*ISNUMBER(SEARCH(SitKW,INDEX(FormData,$W380,f_Sit)&amp;""))*(ROW(SitKW)-MIN(ROW(SitKW))+1)))=0,"",INDEX(SitVal,SUMPRODUCT(MAX((SitKW&lt;&gt;"")*ISNUMBER(SEARCH(SitKW,INDEX(FormData,$W380,f_Sit)&amp;""))*(ROW(SitKW)-MIN(ROW(SitKW))+1))))),""))</f>
        <v/>
      </c>
      <c r="I380" s="14">
        <f>IF($W380="","",IFERROR(INDEX(FormData,$W380,f_Appr)&amp;"",""))</f>
        <v/>
      </c>
      <c r="J380" s="16">
        <f>IF($W380="","",IFERROR(INDEX(FormData,$W380,f_Trade)&amp;"",""))</f>
        <v/>
      </c>
      <c r="K380" s="16" t="n"/>
      <c r="L380" s="17" t="n"/>
      <c r="M380" s="16" t="n"/>
      <c r="N380" s="17" t="n"/>
      <c r="O380" s="14" t="n"/>
      <c r="P380" s="14" t="n"/>
      <c r="Q380" s="18" t="n"/>
      <c r="R380" s="18" t="n"/>
      <c r="S380" s="13">
        <f>IF($P380&lt;&gt;"✓","",IF($R380&lt;&gt;"","Done",IF($Q380="","Open — no date",IF($Q380&lt;TODAY(),"Overdue",IF($Q380-TODAY()&lt;=DueSoon,"Due soon","Scheduled")))))</f>
        <v/>
      </c>
      <c r="T380" s="14">
        <f>IF($W380="","",IFERROR(IF(INDEX(FormData,$W380,f_Consent)&amp;""="","",IF(ISNUMBER(SEARCH("yes",INDEX(FormData,$W380,f_Consent))),"Yes","No")),""))</f>
        <v/>
      </c>
      <c r="U380" s="14" t="n"/>
      <c r="V380" s="13">
        <f>IF($U380="","",IF($W380="","not found","✓"))</f>
        <v/>
      </c>
      <c r="W380">
        <f>IF($U380="","",IFERROR(MATCH($U380,INDEX(FormData,0,f_Id),0),IFERROR(MATCH(--$U380,INDEX(FormData,0,f_Id),0),IFERROR(MATCH($U380&amp;"",INDEX(FormData,0,f_Id),0),""))))</f>
        <v/>
      </c>
      <c r="X380">
        <f>IF(AND($B380&lt;&gt;"",$B380='Event Report'!$C$3),ROW(),"")</f>
        <v/>
      </c>
      <c r="Y380">
        <f>IF(AND($P380="✓",$R380=""),IF($Q380="",90000,$Q380)+ROW()/100000,"")</f>
        <v/>
      </c>
      <c r="Z380">
        <f>IF(OR($U380&lt;&gt;"",$D380&lt;&gt;"",$E380&lt;&gt;"",$N380&lt;&gt;""),1,"")</f>
        <v/>
      </c>
    </row>
    <row r="381">
      <c r="A381" s="13" t="inlineStr">
        <is>
          <t>P-0377</t>
        </is>
      </c>
      <c r="B381" s="14">
        <f>IF(AND($U381="",$C381=""),"",IFERROR(INDEX(EvID,MATCH(INDEX(FormData,$W381,f_Event),EvID,0)),IFERROR(INDEX(EvID,MATCH(INDEX(FormData,$W381,f_Event),EvName,0)),IFERROR(INDEX(EvID,MATCH(INT($C381),EvDate,0)),""))))</f>
        <v/>
      </c>
      <c r="C381" s="15">
        <f>IF($W381="","",INDEX(FormData,$W381,f_Time))</f>
        <v/>
      </c>
      <c r="D381" s="14">
        <f>IF($W381="","",IFERROR(UPPER(LEFT(TRIM(INDEX(FormData,$W381,f_Name)),1)&amp;IFERROR(MID(TRIM(INDEX(FormData,$W381,f_Name)),FIND("^",SUBSTITUTE(TRIM(INDEX(FormData,$W381,f_Name))," ","^",LEN(TRIM(INDEX(FormData,$W381,f_Name)))-LEN(SUBSTITUTE(TRIM(INDEX(FormData,$W381,f_Name))," ",""))))+1,1),"")),""))</f>
        <v/>
      </c>
      <c r="E381" s="16">
        <f>IF($W381="","",IFERROR(IF(SUMPRODUCT(MAX((WhoKW&lt;&gt;"")*ISNUMBER(SEARCH(WhoKW,INDEX(FormData,$W381,f_Who)&amp;""))*(ROW(WhoKW)-MIN(ROW(WhoKW))+1)))=0,"",INDEX(WhoVal,SUMPRODUCT(MAX((WhoKW&lt;&gt;"")*ISNUMBER(SEARCH(WhoKW,INDEX(FormData,$W381,f_Who)&amp;""))*(ROW(WhoKW)-MIN(ROW(WhoKW))+1))))),""))</f>
        <v/>
      </c>
      <c r="F381" s="17">
        <f>IF($W381="","",TRIM(IFERROR(INDEX(FormData,$W381,f_Org1)&amp;"","")&amp;" "&amp;IFERROR(INDEX(FormData,$W381,f_Org2)&amp;"","")))</f>
        <v/>
      </c>
      <c r="G381" s="16">
        <f>IF($W381="","",IFERROR(INDEX(FormData,$W381,f_Region)&amp;"",""))</f>
        <v/>
      </c>
      <c r="H381" s="16">
        <f>IF($W381="","",IFERROR(IF(SUMPRODUCT(MAX((SitKW&lt;&gt;"")*ISNUMBER(SEARCH(SitKW,INDEX(FormData,$W381,f_Sit)&amp;""))*(ROW(SitKW)-MIN(ROW(SitKW))+1)))=0,"",INDEX(SitVal,SUMPRODUCT(MAX((SitKW&lt;&gt;"")*ISNUMBER(SEARCH(SitKW,INDEX(FormData,$W381,f_Sit)&amp;""))*(ROW(SitKW)-MIN(ROW(SitKW))+1))))),""))</f>
        <v/>
      </c>
      <c r="I381" s="14">
        <f>IF($W381="","",IFERROR(INDEX(FormData,$W381,f_Appr)&amp;"",""))</f>
        <v/>
      </c>
      <c r="J381" s="16">
        <f>IF($W381="","",IFERROR(INDEX(FormData,$W381,f_Trade)&amp;"",""))</f>
        <v/>
      </c>
      <c r="K381" s="16" t="n"/>
      <c r="L381" s="17" t="n"/>
      <c r="M381" s="16" t="n"/>
      <c r="N381" s="17" t="n"/>
      <c r="O381" s="14" t="n"/>
      <c r="P381" s="14" t="n"/>
      <c r="Q381" s="18" t="n"/>
      <c r="R381" s="18" t="n"/>
      <c r="S381" s="13">
        <f>IF($P381&lt;&gt;"✓","",IF($R381&lt;&gt;"","Done",IF($Q381="","Open — no date",IF($Q381&lt;TODAY(),"Overdue",IF($Q381-TODAY()&lt;=DueSoon,"Due soon","Scheduled")))))</f>
        <v/>
      </c>
      <c r="T381" s="14">
        <f>IF($W381="","",IFERROR(IF(INDEX(FormData,$W381,f_Consent)&amp;""="","",IF(ISNUMBER(SEARCH("yes",INDEX(FormData,$W381,f_Consent))),"Yes","No")),""))</f>
        <v/>
      </c>
      <c r="U381" s="14" t="n"/>
      <c r="V381" s="13">
        <f>IF($U381="","",IF($W381="","not found","✓"))</f>
        <v/>
      </c>
      <c r="W381">
        <f>IF($U381="","",IFERROR(MATCH($U381,INDEX(FormData,0,f_Id),0),IFERROR(MATCH(--$U381,INDEX(FormData,0,f_Id),0),IFERROR(MATCH($U381&amp;"",INDEX(FormData,0,f_Id),0),""))))</f>
        <v/>
      </c>
      <c r="X381">
        <f>IF(AND($B381&lt;&gt;"",$B381='Event Report'!$C$3),ROW(),"")</f>
        <v/>
      </c>
      <c r="Y381">
        <f>IF(AND($P381="✓",$R381=""),IF($Q381="",90000,$Q381)+ROW()/100000,"")</f>
        <v/>
      </c>
      <c r="Z381">
        <f>IF(OR($U381&lt;&gt;"",$D381&lt;&gt;"",$E381&lt;&gt;"",$N381&lt;&gt;""),1,"")</f>
        <v/>
      </c>
    </row>
    <row r="382">
      <c r="A382" s="13" t="inlineStr">
        <is>
          <t>P-0378</t>
        </is>
      </c>
      <c r="B382" s="14">
        <f>IF(AND($U382="",$C382=""),"",IFERROR(INDEX(EvID,MATCH(INDEX(FormData,$W382,f_Event),EvID,0)),IFERROR(INDEX(EvID,MATCH(INDEX(FormData,$W382,f_Event),EvName,0)),IFERROR(INDEX(EvID,MATCH(INT($C382),EvDate,0)),""))))</f>
        <v/>
      </c>
      <c r="C382" s="15">
        <f>IF($W382="","",INDEX(FormData,$W382,f_Time))</f>
        <v/>
      </c>
      <c r="D382" s="14">
        <f>IF($W382="","",IFERROR(UPPER(LEFT(TRIM(INDEX(FormData,$W382,f_Name)),1)&amp;IFERROR(MID(TRIM(INDEX(FormData,$W382,f_Name)),FIND("^",SUBSTITUTE(TRIM(INDEX(FormData,$W382,f_Name))," ","^",LEN(TRIM(INDEX(FormData,$W382,f_Name)))-LEN(SUBSTITUTE(TRIM(INDEX(FormData,$W382,f_Name))," ",""))))+1,1),"")),""))</f>
        <v/>
      </c>
      <c r="E382" s="16">
        <f>IF($W382="","",IFERROR(IF(SUMPRODUCT(MAX((WhoKW&lt;&gt;"")*ISNUMBER(SEARCH(WhoKW,INDEX(FormData,$W382,f_Who)&amp;""))*(ROW(WhoKW)-MIN(ROW(WhoKW))+1)))=0,"",INDEX(WhoVal,SUMPRODUCT(MAX((WhoKW&lt;&gt;"")*ISNUMBER(SEARCH(WhoKW,INDEX(FormData,$W382,f_Who)&amp;""))*(ROW(WhoKW)-MIN(ROW(WhoKW))+1))))),""))</f>
        <v/>
      </c>
      <c r="F382" s="17">
        <f>IF($W382="","",TRIM(IFERROR(INDEX(FormData,$W382,f_Org1)&amp;"","")&amp;" "&amp;IFERROR(INDEX(FormData,$W382,f_Org2)&amp;"","")))</f>
        <v/>
      </c>
      <c r="G382" s="16">
        <f>IF($W382="","",IFERROR(INDEX(FormData,$W382,f_Region)&amp;"",""))</f>
        <v/>
      </c>
      <c r="H382" s="16">
        <f>IF($W382="","",IFERROR(IF(SUMPRODUCT(MAX((SitKW&lt;&gt;"")*ISNUMBER(SEARCH(SitKW,INDEX(FormData,$W382,f_Sit)&amp;""))*(ROW(SitKW)-MIN(ROW(SitKW))+1)))=0,"",INDEX(SitVal,SUMPRODUCT(MAX((SitKW&lt;&gt;"")*ISNUMBER(SEARCH(SitKW,INDEX(FormData,$W382,f_Sit)&amp;""))*(ROW(SitKW)-MIN(ROW(SitKW))+1))))),""))</f>
        <v/>
      </c>
      <c r="I382" s="14">
        <f>IF($W382="","",IFERROR(INDEX(FormData,$W382,f_Appr)&amp;"",""))</f>
        <v/>
      </c>
      <c r="J382" s="16">
        <f>IF($W382="","",IFERROR(INDEX(FormData,$W382,f_Trade)&amp;"",""))</f>
        <v/>
      </c>
      <c r="K382" s="16" t="n"/>
      <c r="L382" s="17" t="n"/>
      <c r="M382" s="16" t="n"/>
      <c r="N382" s="17" t="n"/>
      <c r="O382" s="14" t="n"/>
      <c r="P382" s="14" t="n"/>
      <c r="Q382" s="18" t="n"/>
      <c r="R382" s="18" t="n"/>
      <c r="S382" s="13">
        <f>IF($P382&lt;&gt;"✓","",IF($R382&lt;&gt;"","Done",IF($Q382="","Open — no date",IF($Q382&lt;TODAY(),"Overdue",IF($Q382-TODAY()&lt;=DueSoon,"Due soon","Scheduled")))))</f>
        <v/>
      </c>
      <c r="T382" s="14">
        <f>IF($W382="","",IFERROR(IF(INDEX(FormData,$W382,f_Consent)&amp;""="","",IF(ISNUMBER(SEARCH("yes",INDEX(FormData,$W382,f_Consent))),"Yes","No")),""))</f>
        <v/>
      </c>
      <c r="U382" s="14" t="n"/>
      <c r="V382" s="13">
        <f>IF($U382="","",IF($W382="","not found","✓"))</f>
        <v/>
      </c>
      <c r="W382">
        <f>IF($U382="","",IFERROR(MATCH($U382,INDEX(FormData,0,f_Id),0),IFERROR(MATCH(--$U382,INDEX(FormData,0,f_Id),0),IFERROR(MATCH($U382&amp;"",INDEX(FormData,0,f_Id),0),""))))</f>
        <v/>
      </c>
      <c r="X382">
        <f>IF(AND($B382&lt;&gt;"",$B382='Event Report'!$C$3),ROW(),"")</f>
        <v/>
      </c>
      <c r="Y382">
        <f>IF(AND($P382="✓",$R382=""),IF($Q382="",90000,$Q382)+ROW()/100000,"")</f>
        <v/>
      </c>
      <c r="Z382">
        <f>IF(OR($U382&lt;&gt;"",$D382&lt;&gt;"",$E382&lt;&gt;"",$N382&lt;&gt;""),1,"")</f>
        <v/>
      </c>
    </row>
    <row r="383">
      <c r="A383" s="13" t="inlineStr">
        <is>
          <t>P-0379</t>
        </is>
      </c>
      <c r="B383" s="14">
        <f>IF(AND($U383="",$C383=""),"",IFERROR(INDEX(EvID,MATCH(INDEX(FormData,$W383,f_Event),EvID,0)),IFERROR(INDEX(EvID,MATCH(INDEX(FormData,$W383,f_Event),EvName,0)),IFERROR(INDEX(EvID,MATCH(INT($C383),EvDate,0)),""))))</f>
        <v/>
      </c>
      <c r="C383" s="15">
        <f>IF($W383="","",INDEX(FormData,$W383,f_Time))</f>
        <v/>
      </c>
      <c r="D383" s="14">
        <f>IF($W383="","",IFERROR(UPPER(LEFT(TRIM(INDEX(FormData,$W383,f_Name)),1)&amp;IFERROR(MID(TRIM(INDEX(FormData,$W383,f_Name)),FIND("^",SUBSTITUTE(TRIM(INDEX(FormData,$W383,f_Name))," ","^",LEN(TRIM(INDEX(FormData,$W383,f_Name)))-LEN(SUBSTITUTE(TRIM(INDEX(FormData,$W383,f_Name))," ",""))))+1,1),"")),""))</f>
        <v/>
      </c>
      <c r="E383" s="16">
        <f>IF($W383="","",IFERROR(IF(SUMPRODUCT(MAX((WhoKW&lt;&gt;"")*ISNUMBER(SEARCH(WhoKW,INDEX(FormData,$W383,f_Who)&amp;""))*(ROW(WhoKW)-MIN(ROW(WhoKW))+1)))=0,"",INDEX(WhoVal,SUMPRODUCT(MAX((WhoKW&lt;&gt;"")*ISNUMBER(SEARCH(WhoKW,INDEX(FormData,$W383,f_Who)&amp;""))*(ROW(WhoKW)-MIN(ROW(WhoKW))+1))))),""))</f>
        <v/>
      </c>
      <c r="F383" s="17">
        <f>IF($W383="","",TRIM(IFERROR(INDEX(FormData,$W383,f_Org1)&amp;"","")&amp;" "&amp;IFERROR(INDEX(FormData,$W383,f_Org2)&amp;"","")))</f>
        <v/>
      </c>
      <c r="G383" s="16">
        <f>IF($W383="","",IFERROR(INDEX(FormData,$W383,f_Region)&amp;"",""))</f>
        <v/>
      </c>
      <c r="H383" s="16">
        <f>IF($W383="","",IFERROR(IF(SUMPRODUCT(MAX((SitKW&lt;&gt;"")*ISNUMBER(SEARCH(SitKW,INDEX(FormData,$W383,f_Sit)&amp;""))*(ROW(SitKW)-MIN(ROW(SitKW))+1)))=0,"",INDEX(SitVal,SUMPRODUCT(MAX((SitKW&lt;&gt;"")*ISNUMBER(SEARCH(SitKW,INDEX(FormData,$W383,f_Sit)&amp;""))*(ROW(SitKW)-MIN(ROW(SitKW))+1))))),""))</f>
        <v/>
      </c>
      <c r="I383" s="14">
        <f>IF($W383="","",IFERROR(INDEX(FormData,$W383,f_Appr)&amp;"",""))</f>
        <v/>
      </c>
      <c r="J383" s="16">
        <f>IF($W383="","",IFERROR(INDEX(FormData,$W383,f_Trade)&amp;"",""))</f>
        <v/>
      </c>
      <c r="K383" s="16" t="n"/>
      <c r="L383" s="17" t="n"/>
      <c r="M383" s="16" t="n"/>
      <c r="N383" s="17" t="n"/>
      <c r="O383" s="14" t="n"/>
      <c r="P383" s="14" t="n"/>
      <c r="Q383" s="18" t="n"/>
      <c r="R383" s="18" t="n"/>
      <c r="S383" s="13">
        <f>IF($P383&lt;&gt;"✓","",IF($R383&lt;&gt;"","Done",IF($Q383="","Open — no date",IF($Q383&lt;TODAY(),"Overdue",IF($Q383-TODAY()&lt;=DueSoon,"Due soon","Scheduled")))))</f>
        <v/>
      </c>
      <c r="T383" s="14">
        <f>IF($W383="","",IFERROR(IF(INDEX(FormData,$W383,f_Consent)&amp;""="","",IF(ISNUMBER(SEARCH("yes",INDEX(FormData,$W383,f_Consent))),"Yes","No")),""))</f>
        <v/>
      </c>
      <c r="U383" s="14" t="n"/>
      <c r="V383" s="13">
        <f>IF($U383="","",IF($W383="","not found","✓"))</f>
        <v/>
      </c>
      <c r="W383">
        <f>IF($U383="","",IFERROR(MATCH($U383,INDEX(FormData,0,f_Id),0),IFERROR(MATCH(--$U383,INDEX(FormData,0,f_Id),0),IFERROR(MATCH($U383&amp;"",INDEX(FormData,0,f_Id),0),""))))</f>
        <v/>
      </c>
      <c r="X383">
        <f>IF(AND($B383&lt;&gt;"",$B383='Event Report'!$C$3),ROW(),"")</f>
        <v/>
      </c>
      <c r="Y383">
        <f>IF(AND($P383="✓",$R383=""),IF($Q383="",90000,$Q383)+ROW()/100000,"")</f>
        <v/>
      </c>
      <c r="Z383">
        <f>IF(OR($U383&lt;&gt;"",$D383&lt;&gt;"",$E383&lt;&gt;"",$N383&lt;&gt;""),1,"")</f>
        <v/>
      </c>
    </row>
    <row r="384">
      <c r="A384" s="13" t="inlineStr">
        <is>
          <t>P-0380</t>
        </is>
      </c>
      <c r="B384" s="14">
        <f>IF(AND($U384="",$C384=""),"",IFERROR(INDEX(EvID,MATCH(INDEX(FormData,$W384,f_Event),EvID,0)),IFERROR(INDEX(EvID,MATCH(INDEX(FormData,$W384,f_Event),EvName,0)),IFERROR(INDEX(EvID,MATCH(INT($C384),EvDate,0)),""))))</f>
        <v/>
      </c>
      <c r="C384" s="15">
        <f>IF($W384="","",INDEX(FormData,$W384,f_Time))</f>
        <v/>
      </c>
      <c r="D384" s="14">
        <f>IF($W384="","",IFERROR(UPPER(LEFT(TRIM(INDEX(FormData,$W384,f_Name)),1)&amp;IFERROR(MID(TRIM(INDEX(FormData,$W384,f_Name)),FIND("^",SUBSTITUTE(TRIM(INDEX(FormData,$W384,f_Name))," ","^",LEN(TRIM(INDEX(FormData,$W384,f_Name)))-LEN(SUBSTITUTE(TRIM(INDEX(FormData,$W384,f_Name))," ",""))))+1,1),"")),""))</f>
        <v/>
      </c>
      <c r="E384" s="16">
        <f>IF($W384="","",IFERROR(IF(SUMPRODUCT(MAX((WhoKW&lt;&gt;"")*ISNUMBER(SEARCH(WhoKW,INDEX(FormData,$W384,f_Who)&amp;""))*(ROW(WhoKW)-MIN(ROW(WhoKW))+1)))=0,"",INDEX(WhoVal,SUMPRODUCT(MAX((WhoKW&lt;&gt;"")*ISNUMBER(SEARCH(WhoKW,INDEX(FormData,$W384,f_Who)&amp;""))*(ROW(WhoKW)-MIN(ROW(WhoKW))+1))))),""))</f>
        <v/>
      </c>
      <c r="F384" s="17">
        <f>IF($W384="","",TRIM(IFERROR(INDEX(FormData,$W384,f_Org1)&amp;"","")&amp;" "&amp;IFERROR(INDEX(FormData,$W384,f_Org2)&amp;"","")))</f>
        <v/>
      </c>
      <c r="G384" s="16">
        <f>IF($W384="","",IFERROR(INDEX(FormData,$W384,f_Region)&amp;"",""))</f>
        <v/>
      </c>
      <c r="H384" s="16">
        <f>IF($W384="","",IFERROR(IF(SUMPRODUCT(MAX((SitKW&lt;&gt;"")*ISNUMBER(SEARCH(SitKW,INDEX(FormData,$W384,f_Sit)&amp;""))*(ROW(SitKW)-MIN(ROW(SitKW))+1)))=0,"",INDEX(SitVal,SUMPRODUCT(MAX((SitKW&lt;&gt;"")*ISNUMBER(SEARCH(SitKW,INDEX(FormData,$W384,f_Sit)&amp;""))*(ROW(SitKW)-MIN(ROW(SitKW))+1))))),""))</f>
        <v/>
      </c>
      <c r="I384" s="14">
        <f>IF($W384="","",IFERROR(INDEX(FormData,$W384,f_Appr)&amp;"",""))</f>
        <v/>
      </c>
      <c r="J384" s="16">
        <f>IF($W384="","",IFERROR(INDEX(FormData,$W384,f_Trade)&amp;"",""))</f>
        <v/>
      </c>
      <c r="K384" s="16" t="n"/>
      <c r="L384" s="17" t="n"/>
      <c r="M384" s="16" t="n"/>
      <c r="N384" s="17" t="n"/>
      <c r="O384" s="14" t="n"/>
      <c r="P384" s="14" t="n"/>
      <c r="Q384" s="18" t="n"/>
      <c r="R384" s="18" t="n"/>
      <c r="S384" s="13">
        <f>IF($P384&lt;&gt;"✓","",IF($R384&lt;&gt;"","Done",IF($Q384="","Open — no date",IF($Q384&lt;TODAY(),"Overdue",IF($Q384-TODAY()&lt;=DueSoon,"Due soon","Scheduled")))))</f>
        <v/>
      </c>
      <c r="T384" s="14">
        <f>IF($W384="","",IFERROR(IF(INDEX(FormData,$W384,f_Consent)&amp;""="","",IF(ISNUMBER(SEARCH("yes",INDEX(FormData,$W384,f_Consent))),"Yes","No")),""))</f>
        <v/>
      </c>
      <c r="U384" s="14" t="n"/>
      <c r="V384" s="13">
        <f>IF($U384="","",IF($W384="","not found","✓"))</f>
        <v/>
      </c>
      <c r="W384">
        <f>IF($U384="","",IFERROR(MATCH($U384,INDEX(FormData,0,f_Id),0),IFERROR(MATCH(--$U384,INDEX(FormData,0,f_Id),0),IFERROR(MATCH($U384&amp;"",INDEX(FormData,0,f_Id),0),""))))</f>
        <v/>
      </c>
      <c r="X384">
        <f>IF(AND($B384&lt;&gt;"",$B384='Event Report'!$C$3),ROW(),"")</f>
        <v/>
      </c>
      <c r="Y384">
        <f>IF(AND($P384="✓",$R384=""),IF($Q384="",90000,$Q384)+ROW()/100000,"")</f>
        <v/>
      </c>
      <c r="Z384">
        <f>IF(OR($U384&lt;&gt;"",$D384&lt;&gt;"",$E384&lt;&gt;"",$N384&lt;&gt;""),1,"")</f>
        <v/>
      </c>
    </row>
    <row r="385">
      <c r="A385" s="13" t="inlineStr">
        <is>
          <t>P-0381</t>
        </is>
      </c>
      <c r="B385" s="14">
        <f>IF(AND($U385="",$C385=""),"",IFERROR(INDEX(EvID,MATCH(INDEX(FormData,$W385,f_Event),EvID,0)),IFERROR(INDEX(EvID,MATCH(INDEX(FormData,$W385,f_Event),EvName,0)),IFERROR(INDEX(EvID,MATCH(INT($C385),EvDate,0)),""))))</f>
        <v/>
      </c>
      <c r="C385" s="15">
        <f>IF($W385="","",INDEX(FormData,$W385,f_Time))</f>
        <v/>
      </c>
      <c r="D385" s="14">
        <f>IF($W385="","",IFERROR(UPPER(LEFT(TRIM(INDEX(FormData,$W385,f_Name)),1)&amp;IFERROR(MID(TRIM(INDEX(FormData,$W385,f_Name)),FIND("^",SUBSTITUTE(TRIM(INDEX(FormData,$W385,f_Name))," ","^",LEN(TRIM(INDEX(FormData,$W385,f_Name)))-LEN(SUBSTITUTE(TRIM(INDEX(FormData,$W385,f_Name))," ",""))))+1,1),"")),""))</f>
        <v/>
      </c>
      <c r="E385" s="16">
        <f>IF($W385="","",IFERROR(IF(SUMPRODUCT(MAX((WhoKW&lt;&gt;"")*ISNUMBER(SEARCH(WhoKW,INDEX(FormData,$W385,f_Who)&amp;""))*(ROW(WhoKW)-MIN(ROW(WhoKW))+1)))=0,"",INDEX(WhoVal,SUMPRODUCT(MAX((WhoKW&lt;&gt;"")*ISNUMBER(SEARCH(WhoKW,INDEX(FormData,$W385,f_Who)&amp;""))*(ROW(WhoKW)-MIN(ROW(WhoKW))+1))))),""))</f>
        <v/>
      </c>
      <c r="F385" s="17">
        <f>IF($W385="","",TRIM(IFERROR(INDEX(FormData,$W385,f_Org1)&amp;"","")&amp;" "&amp;IFERROR(INDEX(FormData,$W385,f_Org2)&amp;"","")))</f>
        <v/>
      </c>
      <c r="G385" s="16">
        <f>IF($W385="","",IFERROR(INDEX(FormData,$W385,f_Region)&amp;"",""))</f>
        <v/>
      </c>
      <c r="H385" s="16">
        <f>IF($W385="","",IFERROR(IF(SUMPRODUCT(MAX((SitKW&lt;&gt;"")*ISNUMBER(SEARCH(SitKW,INDEX(FormData,$W385,f_Sit)&amp;""))*(ROW(SitKW)-MIN(ROW(SitKW))+1)))=0,"",INDEX(SitVal,SUMPRODUCT(MAX((SitKW&lt;&gt;"")*ISNUMBER(SEARCH(SitKW,INDEX(FormData,$W385,f_Sit)&amp;""))*(ROW(SitKW)-MIN(ROW(SitKW))+1))))),""))</f>
        <v/>
      </c>
      <c r="I385" s="14">
        <f>IF($W385="","",IFERROR(INDEX(FormData,$W385,f_Appr)&amp;"",""))</f>
        <v/>
      </c>
      <c r="J385" s="16">
        <f>IF($W385="","",IFERROR(INDEX(FormData,$W385,f_Trade)&amp;"",""))</f>
        <v/>
      </c>
      <c r="K385" s="16" t="n"/>
      <c r="L385" s="17" t="n"/>
      <c r="M385" s="16" t="n"/>
      <c r="N385" s="17" t="n"/>
      <c r="O385" s="14" t="n"/>
      <c r="P385" s="14" t="n"/>
      <c r="Q385" s="18" t="n"/>
      <c r="R385" s="18" t="n"/>
      <c r="S385" s="13">
        <f>IF($P385&lt;&gt;"✓","",IF($R385&lt;&gt;"","Done",IF($Q385="","Open — no date",IF($Q385&lt;TODAY(),"Overdue",IF($Q385-TODAY()&lt;=DueSoon,"Due soon","Scheduled")))))</f>
        <v/>
      </c>
      <c r="T385" s="14">
        <f>IF($W385="","",IFERROR(IF(INDEX(FormData,$W385,f_Consent)&amp;""="","",IF(ISNUMBER(SEARCH("yes",INDEX(FormData,$W385,f_Consent))),"Yes","No")),""))</f>
        <v/>
      </c>
      <c r="U385" s="14" t="n"/>
      <c r="V385" s="13">
        <f>IF($U385="","",IF($W385="","not found","✓"))</f>
        <v/>
      </c>
      <c r="W385">
        <f>IF($U385="","",IFERROR(MATCH($U385,INDEX(FormData,0,f_Id),0),IFERROR(MATCH(--$U385,INDEX(FormData,0,f_Id),0),IFERROR(MATCH($U385&amp;"",INDEX(FormData,0,f_Id),0),""))))</f>
        <v/>
      </c>
      <c r="X385">
        <f>IF(AND($B385&lt;&gt;"",$B385='Event Report'!$C$3),ROW(),"")</f>
        <v/>
      </c>
      <c r="Y385">
        <f>IF(AND($P385="✓",$R385=""),IF($Q385="",90000,$Q385)+ROW()/100000,"")</f>
        <v/>
      </c>
      <c r="Z385">
        <f>IF(OR($U385&lt;&gt;"",$D385&lt;&gt;"",$E385&lt;&gt;"",$N385&lt;&gt;""),1,"")</f>
        <v/>
      </c>
    </row>
    <row r="386">
      <c r="A386" s="13" t="inlineStr">
        <is>
          <t>P-0382</t>
        </is>
      </c>
      <c r="B386" s="14">
        <f>IF(AND($U386="",$C386=""),"",IFERROR(INDEX(EvID,MATCH(INDEX(FormData,$W386,f_Event),EvID,0)),IFERROR(INDEX(EvID,MATCH(INDEX(FormData,$W386,f_Event),EvName,0)),IFERROR(INDEX(EvID,MATCH(INT($C386),EvDate,0)),""))))</f>
        <v/>
      </c>
      <c r="C386" s="15">
        <f>IF($W386="","",INDEX(FormData,$W386,f_Time))</f>
        <v/>
      </c>
      <c r="D386" s="14">
        <f>IF($W386="","",IFERROR(UPPER(LEFT(TRIM(INDEX(FormData,$W386,f_Name)),1)&amp;IFERROR(MID(TRIM(INDEX(FormData,$W386,f_Name)),FIND("^",SUBSTITUTE(TRIM(INDEX(FormData,$W386,f_Name))," ","^",LEN(TRIM(INDEX(FormData,$W386,f_Name)))-LEN(SUBSTITUTE(TRIM(INDEX(FormData,$W386,f_Name))," ",""))))+1,1),"")),""))</f>
        <v/>
      </c>
      <c r="E386" s="16">
        <f>IF($W386="","",IFERROR(IF(SUMPRODUCT(MAX((WhoKW&lt;&gt;"")*ISNUMBER(SEARCH(WhoKW,INDEX(FormData,$W386,f_Who)&amp;""))*(ROW(WhoKW)-MIN(ROW(WhoKW))+1)))=0,"",INDEX(WhoVal,SUMPRODUCT(MAX((WhoKW&lt;&gt;"")*ISNUMBER(SEARCH(WhoKW,INDEX(FormData,$W386,f_Who)&amp;""))*(ROW(WhoKW)-MIN(ROW(WhoKW))+1))))),""))</f>
        <v/>
      </c>
      <c r="F386" s="17">
        <f>IF($W386="","",TRIM(IFERROR(INDEX(FormData,$W386,f_Org1)&amp;"","")&amp;" "&amp;IFERROR(INDEX(FormData,$W386,f_Org2)&amp;"","")))</f>
        <v/>
      </c>
      <c r="G386" s="16">
        <f>IF($W386="","",IFERROR(INDEX(FormData,$W386,f_Region)&amp;"",""))</f>
        <v/>
      </c>
      <c r="H386" s="16">
        <f>IF($W386="","",IFERROR(IF(SUMPRODUCT(MAX((SitKW&lt;&gt;"")*ISNUMBER(SEARCH(SitKW,INDEX(FormData,$W386,f_Sit)&amp;""))*(ROW(SitKW)-MIN(ROW(SitKW))+1)))=0,"",INDEX(SitVal,SUMPRODUCT(MAX((SitKW&lt;&gt;"")*ISNUMBER(SEARCH(SitKW,INDEX(FormData,$W386,f_Sit)&amp;""))*(ROW(SitKW)-MIN(ROW(SitKW))+1))))),""))</f>
        <v/>
      </c>
      <c r="I386" s="14">
        <f>IF($W386="","",IFERROR(INDEX(FormData,$W386,f_Appr)&amp;"",""))</f>
        <v/>
      </c>
      <c r="J386" s="16">
        <f>IF($W386="","",IFERROR(INDEX(FormData,$W386,f_Trade)&amp;"",""))</f>
        <v/>
      </c>
      <c r="K386" s="16" t="n"/>
      <c r="L386" s="17" t="n"/>
      <c r="M386" s="16" t="n"/>
      <c r="N386" s="17" t="n"/>
      <c r="O386" s="14" t="n"/>
      <c r="P386" s="14" t="n"/>
      <c r="Q386" s="18" t="n"/>
      <c r="R386" s="18" t="n"/>
      <c r="S386" s="13">
        <f>IF($P386&lt;&gt;"✓","",IF($R386&lt;&gt;"","Done",IF($Q386="","Open — no date",IF($Q386&lt;TODAY(),"Overdue",IF($Q386-TODAY()&lt;=DueSoon,"Due soon","Scheduled")))))</f>
        <v/>
      </c>
      <c r="T386" s="14">
        <f>IF($W386="","",IFERROR(IF(INDEX(FormData,$W386,f_Consent)&amp;""="","",IF(ISNUMBER(SEARCH("yes",INDEX(FormData,$W386,f_Consent))),"Yes","No")),""))</f>
        <v/>
      </c>
      <c r="U386" s="14" t="n"/>
      <c r="V386" s="13">
        <f>IF($U386="","",IF($W386="","not found","✓"))</f>
        <v/>
      </c>
      <c r="W386">
        <f>IF($U386="","",IFERROR(MATCH($U386,INDEX(FormData,0,f_Id),0),IFERROR(MATCH(--$U386,INDEX(FormData,0,f_Id),0),IFERROR(MATCH($U386&amp;"",INDEX(FormData,0,f_Id),0),""))))</f>
        <v/>
      </c>
      <c r="X386">
        <f>IF(AND($B386&lt;&gt;"",$B386='Event Report'!$C$3),ROW(),"")</f>
        <v/>
      </c>
      <c r="Y386">
        <f>IF(AND($P386="✓",$R386=""),IF($Q386="",90000,$Q386)+ROW()/100000,"")</f>
        <v/>
      </c>
      <c r="Z386">
        <f>IF(OR($U386&lt;&gt;"",$D386&lt;&gt;"",$E386&lt;&gt;"",$N386&lt;&gt;""),1,"")</f>
        <v/>
      </c>
    </row>
    <row r="387">
      <c r="A387" s="13" t="inlineStr">
        <is>
          <t>P-0383</t>
        </is>
      </c>
      <c r="B387" s="14">
        <f>IF(AND($U387="",$C387=""),"",IFERROR(INDEX(EvID,MATCH(INDEX(FormData,$W387,f_Event),EvID,0)),IFERROR(INDEX(EvID,MATCH(INDEX(FormData,$W387,f_Event),EvName,0)),IFERROR(INDEX(EvID,MATCH(INT($C387),EvDate,0)),""))))</f>
        <v/>
      </c>
      <c r="C387" s="15">
        <f>IF($W387="","",INDEX(FormData,$W387,f_Time))</f>
        <v/>
      </c>
      <c r="D387" s="14">
        <f>IF($W387="","",IFERROR(UPPER(LEFT(TRIM(INDEX(FormData,$W387,f_Name)),1)&amp;IFERROR(MID(TRIM(INDEX(FormData,$W387,f_Name)),FIND("^",SUBSTITUTE(TRIM(INDEX(FormData,$W387,f_Name))," ","^",LEN(TRIM(INDEX(FormData,$W387,f_Name)))-LEN(SUBSTITUTE(TRIM(INDEX(FormData,$W387,f_Name))," ",""))))+1,1),"")),""))</f>
        <v/>
      </c>
      <c r="E387" s="16">
        <f>IF($W387="","",IFERROR(IF(SUMPRODUCT(MAX((WhoKW&lt;&gt;"")*ISNUMBER(SEARCH(WhoKW,INDEX(FormData,$W387,f_Who)&amp;""))*(ROW(WhoKW)-MIN(ROW(WhoKW))+1)))=0,"",INDEX(WhoVal,SUMPRODUCT(MAX((WhoKW&lt;&gt;"")*ISNUMBER(SEARCH(WhoKW,INDEX(FormData,$W387,f_Who)&amp;""))*(ROW(WhoKW)-MIN(ROW(WhoKW))+1))))),""))</f>
        <v/>
      </c>
      <c r="F387" s="17">
        <f>IF($W387="","",TRIM(IFERROR(INDEX(FormData,$W387,f_Org1)&amp;"","")&amp;" "&amp;IFERROR(INDEX(FormData,$W387,f_Org2)&amp;"","")))</f>
        <v/>
      </c>
      <c r="G387" s="16">
        <f>IF($W387="","",IFERROR(INDEX(FormData,$W387,f_Region)&amp;"",""))</f>
        <v/>
      </c>
      <c r="H387" s="16">
        <f>IF($W387="","",IFERROR(IF(SUMPRODUCT(MAX((SitKW&lt;&gt;"")*ISNUMBER(SEARCH(SitKW,INDEX(FormData,$W387,f_Sit)&amp;""))*(ROW(SitKW)-MIN(ROW(SitKW))+1)))=0,"",INDEX(SitVal,SUMPRODUCT(MAX((SitKW&lt;&gt;"")*ISNUMBER(SEARCH(SitKW,INDEX(FormData,$W387,f_Sit)&amp;""))*(ROW(SitKW)-MIN(ROW(SitKW))+1))))),""))</f>
        <v/>
      </c>
      <c r="I387" s="14">
        <f>IF($W387="","",IFERROR(INDEX(FormData,$W387,f_Appr)&amp;"",""))</f>
        <v/>
      </c>
      <c r="J387" s="16">
        <f>IF($W387="","",IFERROR(INDEX(FormData,$W387,f_Trade)&amp;"",""))</f>
        <v/>
      </c>
      <c r="K387" s="16" t="n"/>
      <c r="L387" s="17" t="n"/>
      <c r="M387" s="16" t="n"/>
      <c r="N387" s="17" t="n"/>
      <c r="O387" s="14" t="n"/>
      <c r="P387" s="14" t="n"/>
      <c r="Q387" s="18" t="n"/>
      <c r="R387" s="18" t="n"/>
      <c r="S387" s="13">
        <f>IF($P387&lt;&gt;"✓","",IF($R387&lt;&gt;"","Done",IF($Q387="","Open — no date",IF($Q387&lt;TODAY(),"Overdue",IF($Q387-TODAY()&lt;=DueSoon,"Due soon","Scheduled")))))</f>
        <v/>
      </c>
      <c r="T387" s="14">
        <f>IF($W387="","",IFERROR(IF(INDEX(FormData,$W387,f_Consent)&amp;""="","",IF(ISNUMBER(SEARCH("yes",INDEX(FormData,$W387,f_Consent))),"Yes","No")),""))</f>
        <v/>
      </c>
      <c r="U387" s="14" t="n"/>
      <c r="V387" s="13">
        <f>IF($U387="","",IF($W387="","not found","✓"))</f>
        <v/>
      </c>
      <c r="W387">
        <f>IF($U387="","",IFERROR(MATCH($U387,INDEX(FormData,0,f_Id),0),IFERROR(MATCH(--$U387,INDEX(FormData,0,f_Id),0),IFERROR(MATCH($U387&amp;"",INDEX(FormData,0,f_Id),0),""))))</f>
        <v/>
      </c>
      <c r="X387">
        <f>IF(AND($B387&lt;&gt;"",$B387='Event Report'!$C$3),ROW(),"")</f>
        <v/>
      </c>
      <c r="Y387">
        <f>IF(AND($P387="✓",$R387=""),IF($Q387="",90000,$Q387)+ROW()/100000,"")</f>
        <v/>
      </c>
      <c r="Z387">
        <f>IF(OR($U387&lt;&gt;"",$D387&lt;&gt;"",$E387&lt;&gt;"",$N387&lt;&gt;""),1,"")</f>
        <v/>
      </c>
    </row>
    <row r="388">
      <c r="A388" s="13" t="inlineStr">
        <is>
          <t>P-0384</t>
        </is>
      </c>
      <c r="B388" s="14">
        <f>IF(AND($U388="",$C388=""),"",IFERROR(INDEX(EvID,MATCH(INDEX(FormData,$W388,f_Event),EvID,0)),IFERROR(INDEX(EvID,MATCH(INDEX(FormData,$W388,f_Event),EvName,0)),IFERROR(INDEX(EvID,MATCH(INT($C388),EvDate,0)),""))))</f>
        <v/>
      </c>
      <c r="C388" s="15">
        <f>IF($W388="","",INDEX(FormData,$W388,f_Time))</f>
        <v/>
      </c>
      <c r="D388" s="14">
        <f>IF($W388="","",IFERROR(UPPER(LEFT(TRIM(INDEX(FormData,$W388,f_Name)),1)&amp;IFERROR(MID(TRIM(INDEX(FormData,$W388,f_Name)),FIND("^",SUBSTITUTE(TRIM(INDEX(FormData,$W388,f_Name))," ","^",LEN(TRIM(INDEX(FormData,$W388,f_Name)))-LEN(SUBSTITUTE(TRIM(INDEX(FormData,$W388,f_Name))," ",""))))+1,1),"")),""))</f>
        <v/>
      </c>
      <c r="E388" s="16">
        <f>IF($W388="","",IFERROR(IF(SUMPRODUCT(MAX((WhoKW&lt;&gt;"")*ISNUMBER(SEARCH(WhoKW,INDEX(FormData,$W388,f_Who)&amp;""))*(ROW(WhoKW)-MIN(ROW(WhoKW))+1)))=0,"",INDEX(WhoVal,SUMPRODUCT(MAX((WhoKW&lt;&gt;"")*ISNUMBER(SEARCH(WhoKW,INDEX(FormData,$W388,f_Who)&amp;""))*(ROW(WhoKW)-MIN(ROW(WhoKW))+1))))),""))</f>
        <v/>
      </c>
      <c r="F388" s="17">
        <f>IF($W388="","",TRIM(IFERROR(INDEX(FormData,$W388,f_Org1)&amp;"","")&amp;" "&amp;IFERROR(INDEX(FormData,$W388,f_Org2)&amp;"","")))</f>
        <v/>
      </c>
      <c r="G388" s="16">
        <f>IF($W388="","",IFERROR(INDEX(FormData,$W388,f_Region)&amp;"",""))</f>
        <v/>
      </c>
      <c r="H388" s="16">
        <f>IF($W388="","",IFERROR(IF(SUMPRODUCT(MAX((SitKW&lt;&gt;"")*ISNUMBER(SEARCH(SitKW,INDEX(FormData,$W388,f_Sit)&amp;""))*(ROW(SitKW)-MIN(ROW(SitKW))+1)))=0,"",INDEX(SitVal,SUMPRODUCT(MAX((SitKW&lt;&gt;"")*ISNUMBER(SEARCH(SitKW,INDEX(FormData,$W388,f_Sit)&amp;""))*(ROW(SitKW)-MIN(ROW(SitKW))+1))))),""))</f>
        <v/>
      </c>
      <c r="I388" s="14">
        <f>IF($W388="","",IFERROR(INDEX(FormData,$W388,f_Appr)&amp;"",""))</f>
        <v/>
      </c>
      <c r="J388" s="16">
        <f>IF($W388="","",IFERROR(INDEX(FormData,$W388,f_Trade)&amp;"",""))</f>
        <v/>
      </c>
      <c r="K388" s="16" t="n"/>
      <c r="L388" s="17" t="n"/>
      <c r="M388" s="16" t="n"/>
      <c r="N388" s="17" t="n"/>
      <c r="O388" s="14" t="n"/>
      <c r="P388" s="14" t="n"/>
      <c r="Q388" s="18" t="n"/>
      <c r="R388" s="18" t="n"/>
      <c r="S388" s="13">
        <f>IF($P388&lt;&gt;"✓","",IF($R388&lt;&gt;"","Done",IF($Q388="","Open — no date",IF($Q388&lt;TODAY(),"Overdue",IF($Q388-TODAY()&lt;=DueSoon,"Due soon","Scheduled")))))</f>
        <v/>
      </c>
      <c r="T388" s="14">
        <f>IF($W388="","",IFERROR(IF(INDEX(FormData,$W388,f_Consent)&amp;""="","",IF(ISNUMBER(SEARCH("yes",INDEX(FormData,$W388,f_Consent))),"Yes","No")),""))</f>
        <v/>
      </c>
      <c r="U388" s="14" t="n"/>
      <c r="V388" s="13">
        <f>IF($U388="","",IF($W388="","not found","✓"))</f>
        <v/>
      </c>
      <c r="W388">
        <f>IF($U388="","",IFERROR(MATCH($U388,INDEX(FormData,0,f_Id),0),IFERROR(MATCH(--$U388,INDEX(FormData,0,f_Id),0),IFERROR(MATCH($U388&amp;"",INDEX(FormData,0,f_Id),0),""))))</f>
        <v/>
      </c>
      <c r="X388">
        <f>IF(AND($B388&lt;&gt;"",$B388='Event Report'!$C$3),ROW(),"")</f>
        <v/>
      </c>
      <c r="Y388">
        <f>IF(AND($P388="✓",$R388=""),IF($Q388="",90000,$Q388)+ROW()/100000,"")</f>
        <v/>
      </c>
      <c r="Z388">
        <f>IF(OR($U388&lt;&gt;"",$D388&lt;&gt;"",$E388&lt;&gt;"",$N388&lt;&gt;""),1,"")</f>
        <v/>
      </c>
    </row>
    <row r="389">
      <c r="A389" s="13" t="inlineStr">
        <is>
          <t>P-0385</t>
        </is>
      </c>
      <c r="B389" s="14">
        <f>IF(AND($U389="",$C389=""),"",IFERROR(INDEX(EvID,MATCH(INDEX(FormData,$W389,f_Event),EvID,0)),IFERROR(INDEX(EvID,MATCH(INDEX(FormData,$W389,f_Event),EvName,0)),IFERROR(INDEX(EvID,MATCH(INT($C389),EvDate,0)),""))))</f>
        <v/>
      </c>
      <c r="C389" s="15">
        <f>IF($W389="","",INDEX(FormData,$W389,f_Time))</f>
        <v/>
      </c>
      <c r="D389" s="14">
        <f>IF($W389="","",IFERROR(UPPER(LEFT(TRIM(INDEX(FormData,$W389,f_Name)),1)&amp;IFERROR(MID(TRIM(INDEX(FormData,$W389,f_Name)),FIND("^",SUBSTITUTE(TRIM(INDEX(FormData,$W389,f_Name))," ","^",LEN(TRIM(INDEX(FormData,$W389,f_Name)))-LEN(SUBSTITUTE(TRIM(INDEX(FormData,$W389,f_Name))," ",""))))+1,1),"")),""))</f>
        <v/>
      </c>
      <c r="E389" s="16">
        <f>IF($W389="","",IFERROR(IF(SUMPRODUCT(MAX((WhoKW&lt;&gt;"")*ISNUMBER(SEARCH(WhoKW,INDEX(FormData,$W389,f_Who)&amp;""))*(ROW(WhoKW)-MIN(ROW(WhoKW))+1)))=0,"",INDEX(WhoVal,SUMPRODUCT(MAX((WhoKW&lt;&gt;"")*ISNUMBER(SEARCH(WhoKW,INDEX(FormData,$W389,f_Who)&amp;""))*(ROW(WhoKW)-MIN(ROW(WhoKW))+1))))),""))</f>
        <v/>
      </c>
      <c r="F389" s="17">
        <f>IF($W389="","",TRIM(IFERROR(INDEX(FormData,$W389,f_Org1)&amp;"","")&amp;" "&amp;IFERROR(INDEX(FormData,$W389,f_Org2)&amp;"","")))</f>
        <v/>
      </c>
      <c r="G389" s="16">
        <f>IF($W389="","",IFERROR(INDEX(FormData,$W389,f_Region)&amp;"",""))</f>
        <v/>
      </c>
      <c r="H389" s="16">
        <f>IF($W389="","",IFERROR(IF(SUMPRODUCT(MAX((SitKW&lt;&gt;"")*ISNUMBER(SEARCH(SitKW,INDEX(FormData,$W389,f_Sit)&amp;""))*(ROW(SitKW)-MIN(ROW(SitKW))+1)))=0,"",INDEX(SitVal,SUMPRODUCT(MAX((SitKW&lt;&gt;"")*ISNUMBER(SEARCH(SitKW,INDEX(FormData,$W389,f_Sit)&amp;""))*(ROW(SitKW)-MIN(ROW(SitKW))+1))))),""))</f>
        <v/>
      </c>
      <c r="I389" s="14">
        <f>IF($W389="","",IFERROR(INDEX(FormData,$W389,f_Appr)&amp;"",""))</f>
        <v/>
      </c>
      <c r="J389" s="16">
        <f>IF($W389="","",IFERROR(INDEX(FormData,$W389,f_Trade)&amp;"",""))</f>
        <v/>
      </c>
      <c r="K389" s="16" t="n"/>
      <c r="L389" s="17" t="n"/>
      <c r="M389" s="16" t="n"/>
      <c r="N389" s="17" t="n"/>
      <c r="O389" s="14" t="n"/>
      <c r="P389" s="14" t="n"/>
      <c r="Q389" s="18" t="n"/>
      <c r="R389" s="18" t="n"/>
      <c r="S389" s="13">
        <f>IF($P389&lt;&gt;"✓","",IF($R389&lt;&gt;"","Done",IF($Q389="","Open — no date",IF($Q389&lt;TODAY(),"Overdue",IF($Q389-TODAY()&lt;=DueSoon,"Due soon","Scheduled")))))</f>
        <v/>
      </c>
      <c r="T389" s="14">
        <f>IF($W389="","",IFERROR(IF(INDEX(FormData,$W389,f_Consent)&amp;""="","",IF(ISNUMBER(SEARCH("yes",INDEX(FormData,$W389,f_Consent))),"Yes","No")),""))</f>
        <v/>
      </c>
      <c r="U389" s="14" t="n"/>
      <c r="V389" s="13">
        <f>IF($U389="","",IF($W389="","not found","✓"))</f>
        <v/>
      </c>
      <c r="W389">
        <f>IF($U389="","",IFERROR(MATCH($U389,INDEX(FormData,0,f_Id),0),IFERROR(MATCH(--$U389,INDEX(FormData,0,f_Id),0),IFERROR(MATCH($U389&amp;"",INDEX(FormData,0,f_Id),0),""))))</f>
        <v/>
      </c>
      <c r="X389">
        <f>IF(AND($B389&lt;&gt;"",$B389='Event Report'!$C$3),ROW(),"")</f>
        <v/>
      </c>
      <c r="Y389">
        <f>IF(AND($P389="✓",$R389=""),IF($Q389="",90000,$Q389)+ROW()/100000,"")</f>
        <v/>
      </c>
      <c r="Z389">
        <f>IF(OR($U389&lt;&gt;"",$D389&lt;&gt;"",$E389&lt;&gt;"",$N389&lt;&gt;""),1,"")</f>
        <v/>
      </c>
    </row>
    <row r="390">
      <c r="A390" s="13" t="inlineStr">
        <is>
          <t>P-0386</t>
        </is>
      </c>
      <c r="B390" s="14">
        <f>IF(AND($U390="",$C390=""),"",IFERROR(INDEX(EvID,MATCH(INDEX(FormData,$W390,f_Event),EvID,0)),IFERROR(INDEX(EvID,MATCH(INDEX(FormData,$W390,f_Event),EvName,0)),IFERROR(INDEX(EvID,MATCH(INT($C390),EvDate,0)),""))))</f>
        <v/>
      </c>
      <c r="C390" s="15">
        <f>IF($W390="","",INDEX(FormData,$W390,f_Time))</f>
        <v/>
      </c>
      <c r="D390" s="14">
        <f>IF($W390="","",IFERROR(UPPER(LEFT(TRIM(INDEX(FormData,$W390,f_Name)),1)&amp;IFERROR(MID(TRIM(INDEX(FormData,$W390,f_Name)),FIND("^",SUBSTITUTE(TRIM(INDEX(FormData,$W390,f_Name))," ","^",LEN(TRIM(INDEX(FormData,$W390,f_Name)))-LEN(SUBSTITUTE(TRIM(INDEX(FormData,$W390,f_Name))," ",""))))+1,1),"")),""))</f>
        <v/>
      </c>
      <c r="E390" s="16">
        <f>IF($W390="","",IFERROR(IF(SUMPRODUCT(MAX((WhoKW&lt;&gt;"")*ISNUMBER(SEARCH(WhoKW,INDEX(FormData,$W390,f_Who)&amp;""))*(ROW(WhoKW)-MIN(ROW(WhoKW))+1)))=0,"",INDEX(WhoVal,SUMPRODUCT(MAX((WhoKW&lt;&gt;"")*ISNUMBER(SEARCH(WhoKW,INDEX(FormData,$W390,f_Who)&amp;""))*(ROW(WhoKW)-MIN(ROW(WhoKW))+1))))),""))</f>
        <v/>
      </c>
      <c r="F390" s="17">
        <f>IF($W390="","",TRIM(IFERROR(INDEX(FormData,$W390,f_Org1)&amp;"","")&amp;" "&amp;IFERROR(INDEX(FormData,$W390,f_Org2)&amp;"","")))</f>
        <v/>
      </c>
      <c r="G390" s="16">
        <f>IF($W390="","",IFERROR(INDEX(FormData,$W390,f_Region)&amp;"",""))</f>
        <v/>
      </c>
      <c r="H390" s="16">
        <f>IF($W390="","",IFERROR(IF(SUMPRODUCT(MAX((SitKW&lt;&gt;"")*ISNUMBER(SEARCH(SitKW,INDEX(FormData,$W390,f_Sit)&amp;""))*(ROW(SitKW)-MIN(ROW(SitKW))+1)))=0,"",INDEX(SitVal,SUMPRODUCT(MAX((SitKW&lt;&gt;"")*ISNUMBER(SEARCH(SitKW,INDEX(FormData,$W390,f_Sit)&amp;""))*(ROW(SitKW)-MIN(ROW(SitKW))+1))))),""))</f>
        <v/>
      </c>
      <c r="I390" s="14">
        <f>IF($W390="","",IFERROR(INDEX(FormData,$W390,f_Appr)&amp;"",""))</f>
        <v/>
      </c>
      <c r="J390" s="16">
        <f>IF($W390="","",IFERROR(INDEX(FormData,$W390,f_Trade)&amp;"",""))</f>
        <v/>
      </c>
      <c r="K390" s="16" t="n"/>
      <c r="L390" s="17" t="n"/>
      <c r="M390" s="16" t="n"/>
      <c r="N390" s="17" t="n"/>
      <c r="O390" s="14" t="n"/>
      <c r="P390" s="14" t="n"/>
      <c r="Q390" s="18" t="n"/>
      <c r="R390" s="18" t="n"/>
      <c r="S390" s="13">
        <f>IF($P390&lt;&gt;"✓","",IF($R390&lt;&gt;"","Done",IF($Q390="","Open — no date",IF($Q390&lt;TODAY(),"Overdue",IF($Q390-TODAY()&lt;=DueSoon,"Due soon","Scheduled")))))</f>
        <v/>
      </c>
      <c r="T390" s="14">
        <f>IF($W390="","",IFERROR(IF(INDEX(FormData,$W390,f_Consent)&amp;""="","",IF(ISNUMBER(SEARCH("yes",INDEX(FormData,$W390,f_Consent))),"Yes","No")),""))</f>
        <v/>
      </c>
      <c r="U390" s="14" t="n"/>
      <c r="V390" s="13">
        <f>IF($U390="","",IF($W390="","not found","✓"))</f>
        <v/>
      </c>
      <c r="W390">
        <f>IF($U390="","",IFERROR(MATCH($U390,INDEX(FormData,0,f_Id),0),IFERROR(MATCH(--$U390,INDEX(FormData,0,f_Id),0),IFERROR(MATCH($U390&amp;"",INDEX(FormData,0,f_Id),0),""))))</f>
        <v/>
      </c>
      <c r="X390">
        <f>IF(AND($B390&lt;&gt;"",$B390='Event Report'!$C$3),ROW(),"")</f>
        <v/>
      </c>
      <c r="Y390">
        <f>IF(AND($P390="✓",$R390=""),IF($Q390="",90000,$Q390)+ROW()/100000,"")</f>
        <v/>
      </c>
      <c r="Z390">
        <f>IF(OR($U390&lt;&gt;"",$D390&lt;&gt;"",$E390&lt;&gt;"",$N390&lt;&gt;""),1,"")</f>
        <v/>
      </c>
    </row>
    <row r="391">
      <c r="A391" s="13" t="inlineStr">
        <is>
          <t>P-0387</t>
        </is>
      </c>
      <c r="B391" s="14">
        <f>IF(AND($U391="",$C391=""),"",IFERROR(INDEX(EvID,MATCH(INDEX(FormData,$W391,f_Event),EvID,0)),IFERROR(INDEX(EvID,MATCH(INDEX(FormData,$W391,f_Event),EvName,0)),IFERROR(INDEX(EvID,MATCH(INT($C391),EvDate,0)),""))))</f>
        <v/>
      </c>
      <c r="C391" s="15">
        <f>IF($W391="","",INDEX(FormData,$W391,f_Time))</f>
        <v/>
      </c>
      <c r="D391" s="14">
        <f>IF($W391="","",IFERROR(UPPER(LEFT(TRIM(INDEX(FormData,$W391,f_Name)),1)&amp;IFERROR(MID(TRIM(INDEX(FormData,$W391,f_Name)),FIND("^",SUBSTITUTE(TRIM(INDEX(FormData,$W391,f_Name))," ","^",LEN(TRIM(INDEX(FormData,$W391,f_Name)))-LEN(SUBSTITUTE(TRIM(INDEX(FormData,$W391,f_Name))," ",""))))+1,1),"")),""))</f>
        <v/>
      </c>
      <c r="E391" s="16">
        <f>IF($W391="","",IFERROR(IF(SUMPRODUCT(MAX((WhoKW&lt;&gt;"")*ISNUMBER(SEARCH(WhoKW,INDEX(FormData,$W391,f_Who)&amp;""))*(ROW(WhoKW)-MIN(ROW(WhoKW))+1)))=0,"",INDEX(WhoVal,SUMPRODUCT(MAX((WhoKW&lt;&gt;"")*ISNUMBER(SEARCH(WhoKW,INDEX(FormData,$W391,f_Who)&amp;""))*(ROW(WhoKW)-MIN(ROW(WhoKW))+1))))),""))</f>
        <v/>
      </c>
      <c r="F391" s="17">
        <f>IF($W391="","",TRIM(IFERROR(INDEX(FormData,$W391,f_Org1)&amp;"","")&amp;" "&amp;IFERROR(INDEX(FormData,$W391,f_Org2)&amp;"","")))</f>
        <v/>
      </c>
      <c r="G391" s="16">
        <f>IF($W391="","",IFERROR(INDEX(FormData,$W391,f_Region)&amp;"",""))</f>
        <v/>
      </c>
      <c r="H391" s="16">
        <f>IF($W391="","",IFERROR(IF(SUMPRODUCT(MAX((SitKW&lt;&gt;"")*ISNUMBER(SEARCH(SitKW,INDEX(FormData,$W391,f_Sit)&amp;""))*(ROW(SitKW)-MIN(ROW(SitKW))+1)))=0,"",INDEX(SitVal,SUMPRODUCT(MAX((SitKW&lt;&gt;"")*ISNUMBER(SEARCH(SitKW,INDEX(FormData,$W391,f_Sit)&amp;""))*(ROW(SitKW)-MIN(ROW(SitKW))+1))))),""))</f>
        <v/>
      </c>
      <c r="I391" s="14">
        <f>IF($W391="","",IFERROR(INDEX(FormData,$W391,f_Appr)&amp;"",""))</f>
        <v/>
      </c>
      <c r="J391" s="16">
        <f>IF($W391="","",IFERROR(INDEX(FormData,$W391,f_Trade)&amp;"",""))</f>
        <v/>
      </c>
      <c r="K391" s="16" t="n"/>
      <c r="L391" s="17" t="n"/>
      <c r="M391" s="16" t="n"/>
      <c r="N391" s="17" t="n"/>
      <c r="O391" s="14" t="n"/>
      <c r="P391" s="14" t="n"/>
      <c r="Q391" s="18" t="n"/>
      <c r="R391" s="18" t="n"/>
      <c r="S391" s="13">
        <f>IF($P391&lt;&gt;"✓","",IF($R391&lt;&gt;"","Done",IF($Q391="","Open — no date",IF($Q391&lt;TODAY(),"Overdue",IF($Q391-TODAY()&lt;=DueSoon,"Due soon","Scheduled")))))</f>
        <v/>
      </c>
      <c r="T391" s="14">
        <f>IF($W391="","",IFERROR(IF(INDEX(FormData,$W391,f_Consent)&amp;""="","",IF(ISNUMBER(SEARCH("yes",INDEX(FormData,$W391,f_Consent))),"Yes","No")),""))</f>
        <v/>
      </c>
      <c r="U391" s="14" t="n"/>
      <c r="V391" s="13">
        <f>IF($U391="","",IF($W391="","not found","✓"))</f>
        <v/>
      </c>
      <c r="W391">
        <f>IF($U391="","",IFERROR(MATCH($U391,INDEX(FormData,0,f_Id),0),IFERROR(MATCH(--$U391,INDEX(FormData,0,f_Id),0),IFERROR(MATCH($U391&amp;"",INDEX(FormData,0,f_Id),0),""))))</f>
        <v/>
      </c>
      <c r="X391">
        <f>IF(AND($B391&lt;&gt;"",$B391='Event Report'!$C$3),ROW(),"")</f>
        <v/>
      </c>
      <c r="Y391">
        <f>IF(AND($P391="✓",$R391=""),IF($Q391="",90000,$Q391)+ROW()/100000,"")</f>
        <v/>
      </c>
      <c r="Z391">
        <f>IF(OR($U391&lt;&gt;"",$D391&lt;&gt;"",$E391&lt;&gt;"",$N391&lt;&gt;""),1,"")</f>
        <v/>
      </c>
    </row>
    <row r="392">
      <c r="A392" s="13" t="inlineStr">
        <is>
          <t>P-0388</t>
        </is>
      </c>
      <c r="B392" s="14">
        <f>IF(AND($U392="",$C392=""),"",IFERROR(INDEX(EvID,MATCH(INDEX(FormData,$W392,f_Event),EvID,0)),IFERROR(INDEX(EvID,MATCH(INDEX(FormData,$W392,f_Event),EvName,0)),IFERROR(INDEX(EvID,MATCH(INT($C392),EvDate,0)),""))))</f>
        <v/>
      </c>
      <c r="C392" s="15">
        <f>IF($W392="","",INDEX(FormData,$W392,f_Time))</f>
        <v/>
      </c>
      <c r="D392" s="14">
        <f>IF($W392="","",IFERROR(UPPER(LEFT(TRIM(INDEX(FormData,$W392,f_Name)),1)&amp;IFERROR(MID(TRIM(INDEX(FormData,$W392,f_Name)),FIND("^",SUBSTITUTE(TRIM(INDEX(FormData,$W392,f_Name))," ","^",LEN(TRIM(INDEX(FormData,$W392,f_Name)))-LEN(SUBSTITUTE(TRIM(INDEX(FormData,$W392,f_Name))," ",""))))+1,1),"")),""))</f>
        <v/>
      </c>
      <c r="E392" s="16">
        <f>IF($W392="","",IFERROR(IF(SUMPRODUCT(MAX((WhoKW&lt;&gt;"")*ISNUMBER(SEARCH(WhoKW,INDEX(FormData,$W392,f_Who)&amp;""))*(ROW(WhoKW)-MIN(ROW(WhoKW))+1)))=0,"",INDEX(WhoVal,SUMPRODUCT(MAX((WhoKW&lt;&gt;"")*ISNUMBER(SEARCH(WhoKW,INDEX(FormData,$W392,f_Who)&amp;""))*(ROW(WhoKW)-MIN(ROW(WhoKW))+1))))),""))</f>
        <v/>
      </c>
      <c r="F392" s="17">
        <f>IF($W392="","",TRIM(IFERROR(INDEX(FormData,$W392,f_Org1)&amp;"","")&amp;" "&amp;IFERROR(INDEX(FormData,$W392,f_Org2)&amp;"","")))</f>
        <v/>
      </c>
      <c r="G392" s="16">
        <f>IF($W392="","",IFERROR(INDEX(FormData,$W392,f_Region)&amp;"",""))</f>
        <v/>
      </c>
      <c r="H392" s="16">
        <f>IF($W392="","",IFERROR(IF(SUMPRODUCT(MAX((SitKW&lt;&gt;"")*ISNUMBER(SEARCH(SitKW,INDEX(FormData,$W392,f_Sit)&amp;""))*(ROW(SitKW)-MIN(ROW(SitKW))+1)))=0,"",INDEX(SitVal,SUMPRODUCT(MAX((SitKW&lt;&gt;"")*ISNUMBER(SEARCH(SitKW,INDEX(FormData,$W392,f_Sit)&amp;""))*(ROW(SitKW)-MIN(ROW(SitKW))+1))))),""))</f>
        <v/>
      </c>
      <c r="I392" s="14">
        <f>IF($W392="","",IFERROR(INDEX(FormData,$W392,f_Appr)&amp;"",""))</f>
        <v/>
      </c>
      <c r="J392" s="16">
        <f>IF($W392="","",IFERROR(INDEX(FormData,$W392,f_Trade)&amp;"",""))</f>
        <v/>
      </c>
      <c r="K392" s="16" t="n"/>
      <c r="L392" s="17" t="n"/>
      <c r="M392" s="16" t="n"/>
      <c r="N392" s="17" t="n"/>
      <c r="O392" s="14" t="n"/>
      <c r="P392" s="14" t="n"/>
      <c r="Q392" s="18" t="n"/>
      <c r="R392" s="18" t="n"/>
      <c r="S392" s="13">
        <f>IF($P392&lt;&gt;"✓","",IF($R392&lt;&gt;"","Done",IF($Q392="","Open — no date",IF($Q392&lt;TODAY(),"Overdue",IF($Q392-TODAY()&lt;=DueSoon,"Due soon","Scheduled")))))</f>
        <v/>
      </c>
      <c r="T392" s="14">
        <f>IF($W392="","",IFERROR(IF(INDEX(FormData,$W392,f_Consent)&amp;""="","",IF(ISNUMBER(SEARCH("yes",INDEX(FormData,$W392,f_Consent))),"Yes","No")),""))</f>
        <v/>
      </c>
      <c r="U392" s="14" t="n"/>
      <c r="V392" s="13">
        <f>IF($U392="","",IF($W392="","not found","✓"))</f>
        <v/>
      </c>
      <c r="W392">
        <f>IF($U392="","",IFERROR(MATCH($U392,INDEX(FormData,0,f_Id),0),IFERROR(MATCH(--$U392,INDEX(FormData,0,f_Id),0),IFERROR(MATCH($U392&amp;"",INDEX(FormData,0,f_Id),0),""))))</f>
        <v/>
      </c>
      <c r="X392">
        <f>IF(AND($B392&lt;&gt;"",$B392='Event Report'!$C$3),ROW(),"")</f>
        <v/>
      </c>
      <c r="Y392">
        <f>IF(AND($P392="✓",$R392=""),IF($Q392="",90000,$Q392)+ROW()/100000,"")</f>
        <v/>
      </c>
      <c r="Z392">
        <f>IF(OR($U392&lt;&gt;"",$D392&lt;&gt;"",$E392&lt;&gt;"",$N392&lt;&gt;""),1,"")</f>
        <v/>
      </c>
    </row>
    <row r="393">
      <c r="A393" s="13" t="inlineStr">
        <is>
          <t>P-0389</t>
        </is>
      </c>
      <c r="B393" s="14">
        <f>IF(AND($U393="",$C393=""),"",IFERROR(INDEX(EvID,MATCH(INDEX(FormData,$W393,f_Event),EvID,0)),IFERROR(INDEX(EvID,MATCH(INDEX(FormData,$W393,f_Event),EvName,0)),IFERROR(INDEX(EvID,MATCH(INT($C393),EvDate,0)),""))))</f>
        <v/>
      </c>
      <c r="C393" s="15">
        <f>IF($W393="","",INDEX(FormData,$W393,f_Time))</f>
        <v/>
      </c>
      <c r="D393" s="14">
        <f>IF($W393="","",IFERROR(UPPER(LEFT(TRIM(INDEX(FormData,$W393,f_Name)),1)&amp;IFERROR(MID(TRIM(INDEX(FormData,$W393,f_Name)),FIND("^",SUBSTITUTE(TRIM(INDEX(FormData,$W393,f_Name))," ","^",LEN(TRIM(INDEX(FormData,$W393,f_Name)))-LEN(SUBSTITUTE(TRIM(INDEX(FormData,$W393,f_Name))," ",""))))+1,1),"")),""))</f>
        <v/>
      </c>
      <c r="E393" s="16">
        <f>IF($W393="","",IFERROR(IF(SUMPRODUCT(MAX((WhoKW&lt;&gt;"")*ISNUMBER(SEARCH(WhoKW,INDEX(FormData,$W393,f_Who)&amp;""))*(ROW(WhoKW)-MIN(ROW(WhoKW))+1)))=0,"",INDEX(WhoVal,SUMPRODUCT(MAX((WhoKW&lt;&gt;"")*ISNUMBER(SEARCH(WhoKW,INDEX(FormData,$W393,f_Who)&amp;""))*(ROW(WhoKW)-MIN(ROW(WhoKW))+1))))),""))</f>
        <v/>
      </c>
      <c r="F393" s="17">
        <f>IF($W393="","",TRIM(IFERROR(INDEX(FormData,$W393,f_Org1)&amp;"","")&amp;" "&amp;IFERROR(INDEX(FormData,$W393,f_Org2)&amp;"","")))</f>
        <v/>
      </c>
      <c r="G393" s="16">
        <f>IF($W393="","",IFERROR(INDEX(FormData,$W393,f_Region)&amp;"",""))</f>
        <v/>
      </c>
      <c r="H393" s="16">
        <f>IF($W393="","",IFERROR(IF(SUMPRODUCT(MAX((SitKW&lt;&gt;"")*ISNUMBER(SEARCH(SitKW,INDEX(FormData,$W393,f_Sit)&amp;""))*(ROW(SitKW)-MIN(ROW(SitKW))+1)))=0,"",INDEX(SitVal,SUMPRODUCT(MAX((SitKW&lt;&gt;"")*ISNUMBER(SEARCH(SitKW,INDEX(FormData,$W393,f_Sit)&amp;""))*(ROW(SitKW)-MIN(ROW(SitKW))+1))))),""))</f>
        <v/>
      </c>
      <c r="I393" s="14">
        <f>IF($W393="","",IFERROR(INDEX(FormData,$W393,f_Appr)&amp;"",""))</f>
        <v/>
      </c>
      <c r="J393" s="16">
        <f>IF($W393="","",IFERROR(INDEX(FormData,$W393,f_Trade)&amp;"",""))</f>
        <v/>
      </c>
      <c r="K393" s="16" t="n"/>
      <c r="L393" s="17" t="n"/>
      <c r="M393" s="16" t="n"/>
      <c r="N393" s="17" t="n"/>
      <c r="O393" s="14" t="n"/>
      <c r="P393" s="14" t="n"/>
      <c r="Q393" s="18" t="n"/>
      <c r="R393" s="18" t="n"/>
      <c r="S393" s="13">
        <f>IF($P393&lt;&gt;"✓","",IF($R393&lt;&gt;"","Done",IF($Q393="","Open — no date",IF($Q393&lt;TODAY(),"Overdue",IF($Q393-TODAY()&lt;=DueSoon,"Due soon","Scheduled")))))</f>
        <v/>
      </c>
      <c r="T393" s="14">
        <f>IF($W393="","",IFERROR(IF(INDEX(FormData,$W393,f_Consent)&amp;""="","",IF(ISNUMBER(SEARCH("yes",INDEX(FormData,$W393,f_Consent))),"Yes","No")),""))</f>
        <v/>
      </c>
      <c r="U393" s="14" t="n"/>
      <c r="V393" s="13">
        <f>IF($U393="","",IF($W393="","not found","✓"))</f>
        <v/>
      </c>
      <c r="W393">
        <f>IF($U393="","",IFERROR(MATCH($U393,INDEX(FormData,0,f_Id),0),IFERROR(MATCH(--$U393,INDEX(FormData,0,f_Id),0),IFERROR(MATCH($U393&amp;"",INDEX(FormData,0,f_Id),0),""))))</f>
        <v/>
      </c>
      <c r="X393">
        <f>IF(AND($B393&lt;&gt;"",$B393='Event Report'!$C$3),ROW(),"")</f>
        <v/>
      </c>
      <c r="Y393">
        <f>IF(AND($P393="✓",$R393=""),IF($Q393="",90000,$Q393)+ROW()/100000,"")</f>
        <v/>
      </c>
      <c r="Z393">
        <f>IF(OR($U393&lt;&gt;"",$D393&lt;&gt;"",$E393&lt;&gt;"",$N393&lt;&gt;""),1,"")</f>
        <v/>
      </c>
    </row>
    <row r="394">
      <c r="A394" s="13" t="inlineStr">
        <is>
          <t>P-0390</t>
        </is>
      </c>
      <c r="B394" s="14">
        <f>IF(AND($U394="",$C394=""),"",IFERROR(INDEX(EvID,MATCH(INDEX(FormData,$W394,f_Event),EvID,0)),IFERROR(INDEX(EvID,MATCH(INDEX(FormData,$W394,f_Event),EvName,0)),IFERROR(INDEX(EvID,MATCH(INT($C394),EvDate,0)),""))))</f>
        <v/>
      </c>
      <c r="C394" s="15">
        <f>IF($W394="","",INDEX(FormData,$W394,f_Time))</f>
        <v/>
      </c>
      <c r="D394" s="14">
        <f>IF($W394="","",IFERROR(UPPER(LEFT(TRIM(INDEX(FormData,$W394,f_Name)),1)&amp;IFERROR(MID(TRIM(INDEX(FormData,$W394,f_Name)),FIND("^",SUBSTITUTE(TRIM(INDEX(FormData,$W394,f_Name))," ","^",LEN(TRIM(INDEX(FormData,$W394,f_Name)))-LEN(SUBSTITUTE(TRIM(INDEX(FormData,$W394,f_Name))," ",""))))+1,1),"")),""))</f>
        <v/>
      </c>
      <c r="E394" s="16">
        <f>IF($W394="","",IFERROR(IF(SUMPRODUCT(MAX((WhoKW&lt;&gt;"")*ISNUMBER(SEARCH(WhoKW,INDEX(FormData,$W394,f_Who)&amp;""))*(ROW(WhoKW)-MIN(ROW(WhoKW))+1)))=0,"",INDEX(WhoVal,SUMPRODUCT(MAX((WhoKW&lt;&gt;"")*ISNUMBER(SEARCH(WhoKW,INDEX(FormData,$W394,f_Who)&amp;""))*(ROW(WhoKW)-MIN(ROW(WhoKW))+1))))),""))</f>
        <v/>
      </c>
      <c r="F394" s="17">
        <f>IF($W394="","",TRIM(IFERROR(INDEX(FormData,$W394,f_Org1)&amp;"","")&amp;" "&amp;IFERROR(INDEX(FormData,$W394,f_Org2)&amp;"","")))</f>
        <v/>
      </c>
      <c r="G394" s="16">
        <f>IF($W394="","",IFERROR(INDEX(FormData,$W394,f_Region)&amp;"",""))</f>
        <v/>
      </c>
      <c r="H394" s="16">
        <f>IF($W394="","",IFERROR(IF(SUMPRODUCT(MAX((SitKW&lt;&gt;"")*ISNUMBER(SEARCH(SitKW,INDEX(FormData,$W394,f_Sit)&amp;""))*(ROW(SitKW)-MIN(ROW(SitKW))+1)))=0,"",INDEX(SitVal,SUMPRODUCT(MAX((SitKW&lt;&gt;"")*ISNUMBER(SEARCH(SitKW,INDEX(FormData,$W394,f_Sit)&amp;""))*(ROW(SitKW)-MIN(ROW(SitKW))+1))))),""))</f>
        <v/>
      </c>
      <c r="I394" s="14">
        <f>IF($W394="","",IFERROR(INDEX(FormData,$W394,f_Appr)&amp;"",""))</f>
        <v/>
      </c>
      <c r="J394" s="16">
        <f>IF($W394="","",IFERROR(INDEX(FormData,$W394,f_Trade)&amp;"",""))</f>
        <v/>
      </c>
      <c r="K394" s="16" t="n"/>
      <c r="L394" s="17" t="n"/>
      <c r="M394" s="16" t="n"/>
      <c r="N394" s="17" t="n"/>
      <c r="O394" s="14" t="n"/>
      <c r="P394" s="14" t="n"/>
      <c r="Q394" s="18" t="n"/>
      <c r="R394" s="18" t="n"/>
      <c r="S394" s="13">
        <f>IF($P394&lt;&gt;"✓","",IF($R394&lt;&gt;"","Done",IF($Q394="","Open — no date",IF($Q394&lt;TODAY(),"Overdue",IF($Q394-TODAY()&lt;=DueSoon,"Due soon","Scheduled")))))</f>
        <v/>
      </c>
      <c r="T394" s="14">
        <f>IF($W394="","",IFERROR(IF(INDEX(FormData,$W394,f_Consent)&amp;""="","",IF(ISNUMBER(SEARCH("yes",INDEX(FormData,$W394,f_Consent))),"Yes","No")),""))</f>
        <v/>
      </c>
      <c r="U394" s="14" t="n"/>
      <c r="V394" s="13">
        <f>IF($U394="","",IF($W394="","not found","✓"))</f>
        <v/>
      </c>
      <c r="W394">
        <f>IF($U394="","",IFERROR(MATCH($U394,INDEX(FormData,0,f_Id),0),IFERROR(MATCH(--$U394,INDEX(FormData,0,f_Id),0),IFERROR(MATCH($U394&amp;"",INDEX(FormData,0,f_Id),0),""))))</f>
        <v/>
      </c>
      <c r="X394">
        <f>IF(AND($B394&lt;&gt;"",$B394='Event Report'!$C$3),ROW(),"")</f>
        <v/>
      </c>
      <c r="Y394">
        <f>IF(AND($P394="✓",$R394=""),IF($Q394="",90000,$Q394)+ROW()/100000,"")</f>
        <v/>
      </c>
      <c r="Z394">
        <f>IF(OR($U394&lt;&gt;"",$D394&lt;&gt;"",$E394&lt;&gt;"",$N394&lt;&gt;""),1,"")</f>
        <v/>
      </c>
    </row>
    <row r="395">
      <c r="A395" s="13" t="inlineStr">
        <is>
          <t>P-0391</t>
        </is>
      </c>
      <c r="B395" s="14">
        <f>IF(AND($U395="",$C395=""),"",IFERROR(INDEX(EvID,MATCH(INDEX(FormData,$W395,f_Event),EvID,0)),IFERROR(INDEX(EvID,MATCH(INDEX(FormData,$W395,f_Event),EvName,0)),IFERROR(INDEX(EvID,MATCH(INT($C395),EvDate,0)),""))))</f>
        <v/>
      </c>
      <c r="C395" s="15">
        <f>IF($W395="","",INDEX(FormData,$W395,f_Time))</f>
        <v/>
      </c>
      <c r="D395" s="14">
        <f>IF($W395="","",IFERROR(UPPER(LEFT(TRIM(INDEX(FormData,$W395,f_Name)),1)&amp;IFERROR(MID(TRIM(INDEX(FormData,$W395,f_Name)),FIND("^",SUBSTITUTE(TRIM(INDEX(FormData,$W395,f_Name))," ","^",LEN(TRIM(INDEX(FormData,$W395,f_Name)))-LEN(SUBSTITUTE(TRIM(INDEX(FormData,$W395,f_Name))," ",""))))+1,1),"")),""))</f>
        <v/>
      </c>
      <c r="E395" s="16">
        <f>IF($W395="","",IFERROR(IF(SUMPRODUCT(MAX((WhoKW&lt;&gt;"")*ISNUMBER(SEARCH(WhoKW,INDEX(FormData,$W395,f_Who)&amp;""))*(ROW(WhoKW)-MIN(ROW(WhoKW))+1)))=0,"",INDEX(WhoVal,SUMPRODUCT(MAX((WhoKW&lt;&gt;"")*ISNUMBER(SEARCH(WhoKW,INDEX(FormData,$W395,f_Who)&amp;""))*(ROW(WhoKW)-MIN(ROW(WhoKW))+1))))),""))</f>
        <v/>
      </c>
      <c r="F395" s="17">
        <f>IF($W395="","",TRIM(IFERROR(INDEX(FormData,$W395,f_Org1)&amp;"","")&amp;" "&amp;IFERROR(INDEX(FormData,$W395,f_Org2)&amp;"","")))</f>
        <v/>
      </c>
      <c r="G395" s="16">
        <f>IF($W395="","",IFERROR(INDEX(FormData,$W395,f_Region)&amp;"",""))</f>
        <v/>
      </c>
      <c r="H395" s="16">
        <f>IF($W395="","",IFERROR(IF(SUMPRODUCT(MAX((SitKW&lt;&gt;"")*ISNUMBER(SEARCH(SitKW,INDEX(FormData,$W395,f_Sit)&amp;""))*(ROW(SitKW)-MIN(ROW(SitKW))+1)))=0,"",INDEX(SitVal,SUMPRODUCT(MAX((SitKW&lt;&gt;"")*ISNUMBER(SEARCH(SitKW,INDEX(FormData,$W395,f_Sit)&amp;""))*(ROW(SitKW)-MIN(ROW(SitKW))+1))))),""))</f>
        <v/>
      </c>
      <c r="I395" s="14">
        <f>IF($W395="","",IFERROR(INDEX(FormData,$W395,f_Appr)&amp;"",""))</f>
        <v/>
      </c>
      <c r="J395" s="16">
        <f>IF($W395="","",IFERROR(INDEX(FormData,$W395,f_Trade)&amp;"",""))</f>
        <v/>
      </c>
      <c r="K395" s="16" t="n"/>
      <c r="L395" s="17" t="n"/>
      <c r="M395" s="16" t="n"/>
      <c r="N395" s="17" t="n"/>
      <c r="O395" s="14" t="n"/>
      <c r="P395" s="14" t="n"/>
      <c r="Q395" s="18" t="n"/>
      <c r="R395" s="18" t="n"/>
      <c r="S395" s="13">
        <f>IF($P395&lt;&gt;"✓","",IF($R395&lt;&gt;"","Done",IF($Q395="","Open — no date",IF($Q395&lt;TODAY(),"Overdue",IF($Q395-TODAY()&lt;=DueSoon,"Due soon","Scheduled")))))</f>
        <v/>
      </c>
      <c r="T395" s="14">
        <f>IF($W395="","",IFERROR(IF(INDEX(FormData,$W395,f_Consent)&amp;""="","",IF(ISNUMBER(SEARCH("yes",INDEX(FormData,$W395,f_Consent))),"Yes","No")),""))</f>
        <v/>
      </c>
      <c r="U395" s="14" t="n"/>
      <c r="V395" s="13">
        <f>IF($U395="","",IF($W395="","not found","✓"))</f>
        <v/>
      </c>
      <c r="W395">
        <f>IF($U395="","",IFERROR(MATCH($U395,INDEX(FormData,0,f_Id),0),IFERROR(MATCH(--$U395,INDEX(FormData,0,f_Id),0),IFERROR(MATCH($U395&amp;"",INDEX(FormData,0,f_Id),0),""))))</f>
        <v/>
      </c>
      <c r="X395">
        <f>IF(AND($B395&lt;&gt;"",$B395='Event Report'!$C$3),ROW(),"")</f>
        <v/>
      </c>
      <c r="Y395">
        <f>IF(AND($P395="✓",$R395=""),IF($Q395="",90000,$Q395)+ROW()/100000,"")</f>
        <v/>
      </c>
      <c r="Z395">
        <f>IF(OR($U395&lt;&gt;"",$D395&lt;&gt;"",$E395&lt;&gt;"",$N395&lt;&gt;""),1,"")</f>
        <v/>
      </c>
    </row>
    <row r="396">
      <c r="A396" s="13" t="inlineStr">
        <is>
          <t>P-0392</t>
        </is>
      </c>
      <c r="B396" s="14">
        <f>IF(AND($U396="",$C396=""),"",IFERROR(INDEX(EvID,MATCH(INDEX(FormData,$W396,f_Event),EvID,0)),IFERROR(INDEX(EvID,MATCH(INDEX(FormData,$W396,f_Event),EvName,0)),IFERROR(INDEX(EvID,MATCH(INT($C396),EvDate,0)),""))))</f>
        <v/>
      </c>
      <c r="C396" s="15">
        <f>IF($W396="","",INDEX(FormData,$W396,f_Time))</f>
        <v/>
      </c>
      <c r="D396" s="14">
        <f>IF($W396="","",IFERROR(UPPER(LEFT(TRIM(INDEX(FormData,$W396,f_Name)),1)&amp;IFERROR(MID(TRIM(INDEX(FormData,$W396,f_Name)),FIND("^",SUBSTITUTE(TRIM(INDEX(FormData,$W396,f_Name))," ","^",LEN(TRIM(INDEX(FormData,$W396,f_Name)))-LEN(SUBSTITUTE(TRIM(INDEX(FormData,$W396,f_Name))," ",""))))+1,1),"")),""))</f>
        <v/>
      </c>
      <c r="E396" s="16">
        <f>IF($W396="","",IFERROR(IF(SUMPRODUCT(MAX((WhoKW&lt;&gt;"")*ISNUMBER(SEARCH(WhoKW,INDEX(FormData,$W396,f_Who)&amp;""))*(ROW(WhoKW)-MIN(ROW(WhoKW))+1)))=0,"",INDEX(WhoVal,SUMPRODUCT(MAX((WhoKW&lt;&gt;"")*ISNUMBER(SEARCH(WhoKW,INDEX(FormData,$W396,f_Who)&amp;""))*(ROW(WhoKW)-MIN(ROW(WhoKW))+1))))),""))</f>
        <v/>
      </c>
      <c r="F396" s="17">
        <f>IF($W396="","",TRIM(IFERROR(INDEX(FormData,$W396,f_Org1)&amp;"","")&amp;" "&amp;IFERROR(INDEX(FormData,$W396,f_Org2)&amp;"","")))</f>
        <v/>
      </c>
      <c r="G396" s="16">
        <f>IF($W396="","",IFERROR(INDEX(FormData,$W396,f_Region)&amp;"",""))</f>
        <v/>
      </c>
      <c r="H396" s="16">
        <f>IF($W396="","",IFERROR(IF(SUMPRODUCT(MAX((SitKW&lt;&gt;"")*ISNUMBER(SEARCH(SitKW,INDEX(FormData,$W396,f_Sit)&amp;""))*(ROW(SitKW)-MIN(ROW(SitKW))+1)))=0,"",INDEX(SitVal,SUMPRODUCT(MAX((SitKW&lt;&gt;"")*ISNUMBER(SEARCH(SitKW,INDEX(FormData,$W396,f_Sit)&amp;""))*(ROW(SitKW)-MIN(ROW(SitKW))+1))))),""))</f>
        <v/>
      </c>
      <c r="I396" s="14">
        <f>IF($W396="","",IFERROR(INDEX(FormData,$W396,f_Appr)&amp;"",""))</f>
        <v/>
      </c>
      <c r="J396" s="16">
        <f>IF($W396="","",IFERROR(INDEX(FormData,$W396,f_Trade)&amp;"",""))</f>
        <v/>
      </c>
      <c r="K396" s="16" t="n"/>
      <c r="L396" s="17" t="n"/>
      <c r="M396" s="16" t="n"/>
      <c r="N396" s="17" t="n"/>
      <c r="O396" s="14" t="n"/>
      <c r="P396" s="14" t="n"/>
      <c r="Q396" s="18" t="n"/>
      <c r="R396" s="18" t="n"/>
      <c r="S396" s="13">
        <f>IF($P396&lt;&gt;"✓","",IF($R396&lt;&gt;"","Done",IF($Q396="","Open — no date",IF($Q396&lt;TODAY(),"Overdue",IF($Q396-TODAY()&lt;=DueSoon,"Due soon","Scheduled")))))</f>
        <v/>
      </c>
      <c r="T396" s="14">
        <f>IF($W396="","",IFERROR(IF(INDEX(FormData,$W396,f_Consent)&amp;""="","",IF(ISNUMBER(SEARCH("yes",INDEX(FormData,$W396,f_Consent))),"Yes","No")),""))</f>
        <v/>
      </c>
      <c r="U396" s="14" t="n"/>
      <c r="V396" s="13">
        <f>IF($U396="","",IF($W396="","not found","✓"))</f>
        <v/>
      </c>
      <c r="W396">
        <f>IF($U396="","",IFERROR(MATCH($U396,INDEX(FormData,0,f_Id),0),IFERROR(MATCH(--$U396,INDEX(FormData,0,f_Id),0),IFERROR(MATCH($U396&amp;"",INDEX(FormData,0,f_Id),0),""))))</f>
        <v/>
      </c>
      <c r="X396">
        <f>IF(AND($B396&lt;&gt;"",$B396='Event Report'!$C$3),ROW(),"")</f>
        <v/>
      </c>
      <c r="Y396">
        <f>IF(AND($P396="✓",$R396=""),IF($Q396="",90000,$Q396)+ROW()/100000,"")</f>
        <v/>
      </c>
      <c r="Z396">
        <f>IF(OR($U396&lt;&gt;"",$D396&lt;&gt;"",$E396&lt;&gt;"",$N396&lt;&gt;""),1,"")</f>
        <v/>
      </c>
    </row>
    <row r="397">
      <c r="A397" s="13" t="inlineStr">
        <is>
          <t>P-0393</t>
        </is>
      </c>
      <c r="B397" s="14">
        <f>IF(AND($U397="",$C397=""),"",IFERROR(INDEX(EvID,MATCH(INDEX(FormData,$W397,f_Event),EvID,0)),IFERROR(INDEX(EvID,MATCH(INDEX(FormData,$W397,f_Event),EvName,0)),IFERROR(INDEX(EvID,MATCH(INT($C397),EvDate,0)),""))))</f>
        <v/>
      </c>
      <c r="C397" s="15">
        <f>IF($W397="","",INDEX(FormData,$W397,f_Time))</f>
        <v/>
      </c>
      <c r="D397" s="14">
        <f>IF($W397="","",IFERROR(UPPER(LEFT(TRIM(INDEX(FormData,$W397,f_Name)),1)&amp;IFERROR(MID(TRIM(INDEX(FormData,$W397,f_Name)),FIND("^",SUBSTITUTE(TRIM(INDEX(FormData,$W397,f_Name))," ","^",LEN(TRIM(INDEX(FormData,$W397,f_Name)))-LEN(SUBSTITUTE(TRIM(INDEX(FormData,$W397,f_Name))," ",""))))+1,1),"")),""))</f>
        <v/>
      </c>
      <c r="E397" s="16">
        <f>IF($W397="","",IFERROR(IF(SUMPRODUCT(MAX((WhoKW&lt;&gt;"")*ISNUMBER(SEARCH(WhoKW,INDEX(FormData,$W397,f_Who)&amp;""))*(ROW(WhoKW)-MIN(ROW(WhoKW))+1)))=0,"",INDEX(WhoVal,SUMPRODUCT(MAX((WhoKW&lt;&gt;"")*ISNUMBER(SEARCH(WhoKW,INDEX(FormData,$W397,f_Who)&amp;""))*(ROW(WhoKW)-MIN(ROW(WhoKW))+1))))),""))</f>
        <v/>
      </c>
      <c r="F397" s="17">
        <f>IF($W397="","",TRIM(IFERROR(INDEX(FormData,$W397,f_Org1)&amp;"","")&amp;" "&amp;IFERROR(INDEX(FormData,$W397,f_Org2)&amp;"","")))</f>
        <v/>
      </c>
      <c r="G397" s="16">
        <f>IF($W397="","",IFERROR(INDEX(FormData,$W397,f_Region)&amp;"",""))</f>
        <v/>
      </c>
      <c r="H397" s="16">
        <f>IF($W397="","",IFERROR(IF(SUMPRODUCT(MAX((SitKW&lt;&gt;"")*ISNUMBER(SEARCH(SitKW,INDEX(FormData,$W397,f_Sit)&amp;""))*(ROW(SitKW)-MIN(ROW(SitKW))+1)))=0,"",INDEX(SitVal,SUMPRODUCT(MAX((SitKW&lt;&gt;"")*ISNUMBER(SEARCH(SitKW,INDEX(FormData,$W397,f_Sit)&amp;""))*(ROW(SitKW)-MIN(ROW(SitKW))+1))))),""))</f>
        <v/>
      </c>
      <c r="I397" s="14">
        <f>IF($W397="","",IFERROR(INDEX(FormData,$W397,f_Appr)&amp;"",""))</f>
        <v/>
      </c>
      <c r="J397" s="16">
        <f>IF($W397="","",IFERROR(INDEX(FormData,$W397,f_Trade)&amp;"",""))</f>
        <v/>
      </c>
      <c r="K397" s="16" t="n"/>
      <c r="L397" s="17" t="n"/>
      <c r="M397" s="16" t="n"/>
      <c r="N397" s="17" t="n"/>
      <c r="O397" s="14" t="n"/>
      <c r="P397" s="14" t="n"/>
      <c r="Q397" s="18" t="n"/>
      <c r="R397" s="18" t="n"/>
      <c r="S397" s="13">
        <f>IF($P397&lt;&gt;"✓","",IF($R397&lt;&gt;"","Done",IF($Q397="","Open — no date",IF($Q397&lt;TODAY(),"Overdue",IF($Q397-TODAY()&lt;=DueSoon,"Due soon","Scheduled")))))</f>
        <v/>
      </c>
      <c r="T397" s="14">
        <f>IF($W397="","",IFERROR(IF(INDEX(FormData,$W397,f_Consent)&amp;""="","",IF(ISNUMBER(SEARCH("yes",INDEX(FormData,$W397,f_Consent))),"Yes","No")),""))</f>
        <v/>
      </c>
      <c r="U397" s="14" t="n"/>
      <c r="V397" s="13">
        <f>IF($U397="","",IF($W397="","not found","✓"))</f>
        <v/>
      </c>
      <c r="W397">
        <f>IF($U397="","",IFERROR(MATCH($U397,INDEX(FormData,0,f_Id),0),IFERROR(MATCH(--$U397,INDEX(FormData,0,f_Id),0),IFERROR(MATCH($U397&amp;"",INDEX(FormData,0,f_Id),0),""))))</f>
        <v/>
      </c>
      <c r="X397">
        <f>IF(AND($B397&lt;&gt;"",$B397='Event Report'!$C$3),ROW(),"")</f>
        <v/>
      </c>
      <c r="Y397">
        <f>IF(AND($P397="✓",$R397=""),IF($Q397="",90000,$Q397)+ROW()/100000,"")</f>
        <v/>
      </c>
      <c r="Z397">
        <f>IF(OR($U397&lt;&gt;"",$D397&lt;&gt;"",$E397&lt;&gt;"",$N397&lt;&gt;""),1,"")</f>
        <v/>
      </c>
    </row>
    <row r="398">
      <c r="A398" s="13" t="inlineStr">
        <is>
          <t>P-0394</t>
        </is>
      </c>
      <c r="B398" s="14">
        <f>IF(AND($U398="",$C398=""),"",IFERROR(INDEX(EvID,MATCH(INDEX(FormData,$W398,f_Event),EvID,0)),IFERROR(INDEX(EvID,MATCH(INDEX(FormData,$W398,f_Event),EvName,0)),IFERROR(INDEX(EvID,MATCH(INT($C398),EvDate,0)),""))))</f>
        <v/>
      </c>
      <c r="C398" s="15">
        <f>IF($W398="","",INDEX(FormData,$W398,f_Time))</f>
        <v/>
      </c>
      <c r="D398" s="14">
        <f>IF($W398="","",IFERROR(UPPER(LEFT(TRIM(INDEX(FormData,$W398,f_Name)),1)&amp;IFERROR(MID(TRIM(INDEX(FormData,$W398,f_Name)),FIND("^",SUBSTITUTE(TRIM(INDEX(FormData,$W398,f_Name))," ","^",LEN(TRIM(INDEX(FormData,$W398,f_Name)))-LEN(SUBSTITUTE(TRIM(INDEX(FormData,$W398,f_Name))," ",""))))+1,1),"")),""))</f>
        <v/>
      </c>
      <c r="E398" s="16">
        <f>IF($W398="","",IFERROR(IF(SUMPRODUCT(MAX((WhoKW&lt;&gt;"")*ISNUMBER(SEARCH(WhoKW,INDEX(FormData,$W398,f_Who)&amp;""))*(ROW(WhoKW)-MIN(ROW(WhoKW))+1)))=0,"",INDEX(WhoVal,SUMPRODUCT(MAX((WhoKW&lt;&gt;"")*ISNUMBER(SEARCH(WhoKW,INDEX(FormData,$W398,f_Who)&amp;""))*(ROW(WhoKW)-MIN(ROW(WhoKW))+1))))),""))</f>
        <v/>
      </c>
      <c r="F398" s="17">
        <f>IF($W398="","",TRIM(IFERROR(INDEX(FormData,$W398,f_Org1)&amp;"","")&amp;" "&amp;IFERROR(INDEX(FormData,$W398,f_Org2)&amp;"","")))</f>
        <v/>
      </c>
      <c r="G398" s="16">
        <f>IF($W398="","",IFERROR(INDEX(FormData,$W398,f_Region)&amp;"",""))</f>
        <v/>
      </c>
      <c r="H398" s="16">
        <f>IF($W398="","",IFERROR(IF(SUMPRODUCT(MAX((SitKW&lt;&gt;"")*ISNUMBER(SEARCH(SitKW,INDEX(FormData,$W398,f_Sit)&amp;""))*(ROW(SitKW)-MIN(ROW(SitKW))+1)))=0,"",INDEX(SitVal,SUMPRODUCT(MAX((SitKW&lt;&gt;"")*ISNUMBER(SEARCH(SitKW,INDEX(FormData,$W398,f_Sit)&amp;""))*(ROW(SitKW)-MIN(ROW(SitKW))+1))))),""))</f>
        <v/>
      </c>
      <c r="I398" s="14">
        <f>IF($W398="","",IFERROR(INDEX(FormData,$W398,f_Appr)&amp;"",""))</f>
        <v/>
      </c>
      <c r="J398" s="16">
        <f>IF($W398="","",IFERROR(INDEX(FormData,$W398,f_Trade)&amp;"",""))</f>
        <v/>
      </c>
      <c r="K398" s="16" t="n"/>
      <c r="L398" s="17" t="n"/>
      <c r="M398" s="16" t="n"/>
      <c r="N398" s="17" t="n"/>
      <c r="O398" s="14" t="n"/>
      <c r="P398" s="14" t="n"/>
      <c r="Q398" s="18" t="n"/>
      <c r="R398" s="18" t="n"/>
      <c r="S398" s="13">
        <f>IF($P398&lt;&gt;"✓","",IF($R398&lt;&gt;"","Done",IF($Q398="","Open — no date",IF($Q398&lt;TODAY(),"Overdue",IF($Q398-TODAY()&lt;=DueSoon,"Due soon","Scheduled")))))</f>
        <v/>
      </c>
      <c r="T398" s="14">
        <f>IF($W398="","",IFERROR(IF(INDEX(FormData,$W398,f_Consent)&amp;""="","",IF(ISNUMBER(SEARCH("yes",INDEX(FormData,$W398,f_Consent))),"Yes","No")),""))</f>
        <v/>
      </c>
      <c r="U398" s="14" t="n"/>
      <c r="V398" s="13">
        <f>IF($U398="","",IF($W398="","not found","✓"))</f>
        <v/>
      </c>
      <c r="W398">
        <f>IF($U398="","",IFERROR(MATCH($U398,INDEX(FormData,0,f_Id),0),IFERROR(MATCH(--$U398,INDEX(FormData,0,f_Id),0),IFERROR(MATCH($U398&amp;"",INDEX(FormData,0,f_Id),0),""))))</f>
        <v/>
      </c>
      <c r="X398">
        <f>IF(AND($B398&lt;&gt;"",$B398='Event Report'!$C$3),ROW(),"")</f>
        <v/>
      </c>
      <c r="Y398">
        <f>IF(AND($P398="✓",$R398=""),IF($Q398="",90000,$Q398)+ROW()/100000,"")</f>
        <v/>
      </c>
      <c r="Z398">
        <f>IF(OR($U398&lt;&gt;"",$D398&lt;&gt;"",$E398&lt;&gt;"",$N398&lt;&gt;""),1,"")</f>
        <v/>
      </c>
    </row>
    <row r="399">
      <c r="A399" s="13" t="inlineStr">
        <is>
          <t>P-0395</t>
        </is>
      </c>
      <c r="B399" s="14">
        <f>IF(AND($U399="",$C399=""),"",IFERROR(INDEX(EvID,MATCH(INDEX(FormData,$W399,f_Event),EvID,0)),IFERROR(INDEX(EvID,MATCH(INDEX(FormData,$W399,f_Event),EvName,0)),IFERROR(INDEX(EvID,MATCH(INT($C399),EvDate,0)),""))))</f>
        <v/>
      </c>
      <c r="C399" s="15">
        <f>IF($W399="","",INDEX(FormData,$W399,f_Time))</f>
        <v/>
      </c>
      <c r="D399" s="14">
        <f>IF($W399="","",IFERROR(UPPER(LEFT(TRIM(INDEX(FormData,$W399,f_Name)),1)&amp;IFERROR(MID(TRIM(INDEX(FormData,$W399,f_Name)),FIND("^",SUBSTITUTE(TRIM(INDEX(FormData,$W399,f_Name))," ","^",LEN(TRIM(INDEX(FormData,$W399,f_Name)))-LEN(SUBSTITUTE(TRIM(INDEX(FormData,$W399,f_Name))," ",""))))+1,1),"")),""))</f>
        <v/>
      </c>
      <c r="E399" s="16">
        <f>IF($W399="","",IFERROR(IF(SUMPRODUCT(MAX((WhoKW&lt;&gt;"")*ISNUMBER(SEARCH(WhoKW,INDEX(FormData,$W399,f_Who)&amp;""))*(ROW(WhoKW)-MIN(ROW(WhoKW))+1)))=0,"",INDEX(WhoVal,SUMPRODUCT(MAX((WhoKW&lt;&gt;"")*ISNUMBER(SEARCH(WhoKW,INDEX(FormData,$W399,f_Who)&amp;""))*(ROW(WhoKW)-MIN(ROW(WhoKW))+1))))),""))</f>
        <v/>
      </c>
      <c r="F399" s="17">
        <f>IF($W399="","",TRIM(IFERROR(INDEX(FormData,$W399,f_Org1)&amp;"","")&amp;" "&amp;IFERROR(INDEX(FormData,$W399,f_Org2)&amp;"","")))</f>
        <v/>
      </c>
      <c r="G399" s="16">
        <f>IF($W399="","",IFERROR(INDEX(FormData,$W399,f_Region)&amp;"",""))</f>
        <v/>
      </c>
      <c r="H399" s="16">
        <f>IF($W399="","",IFERROR(IF(SUMPRODUCT(MAX((SitKW&lt;&gt;"")*ISNUMBER(SEARCH(SitKW,INDEX(FormData,$W399,f_Sit)&amp;""))*(ROW(SitKW)-MIN(ROW(SitKW))+1)))=0,"",INDEX(SitVal,SUMPRODUCT(MAX((SitKW&lt;&gt;"")*ISNUMBER(SEARCH(SitKW,INDEX(FormData,$W399,f_Sit)&amp;""))*(ROW(SitKW)-MIN(ROW(SitKW))+1))))),""))</f>
        <v/>
      </c>
      <c r="I399" s="14">
        <f>IF($W399="","",IFERROR(INDEX(FormData,$W399,f_Appr)&amp;"",""))</f>
        <v/>
      </c>
      <c r="J399" s="16">
        <f>IF($W399="","",IFERROR(INDEX(FormData,$W399,f_Trade)&amp;"",""))</f>
        <v/>
      </c>
      <c r="K399" s="16" t="n"/>
      <c r="L399" s="17" t="n"/>
      <c r="M399" s="16" t="n"/>
      <c r="N399" s="17" t="n"/>
      <c r="O399" s="14" t="n"/>
      <c r="P399" s="14" t="n"/>
      <c r="Q399" s="18" t="n"/>
      <c r="R399" s="18" t="n"/>
      <c r="S399" s="13">
        <f>IF($P399&lt;&gt;"✓","",IF($R399&lt;&gt;"","Done",IF($Q399="","Open — no date",IF($Q399&lt;TODAY(),"Overdue",IF($Q399-TODAY()&lt;=DueSoon,"Due soon","Scheduled")))))</f>
        <v/>
      </c>
      <c r="T399" s="14">
        <f>IF($W399="","",IFERROR(IF(INDEX(FormData,$W399,f_Consent)&amp;""="","",IF(ISNUMBER(SEARCH("yes",INDEX(FormData,$W399,f_Consent))),"Yes","No")),""))</f>
        <v/>
      </c>
      <c r="U399" s="14" t="n"/>
      <c r="V399" s="13">
        <f>IF($U399="","",IF($W399="","not found","✓"))</f>
        <v/>
      </c>
      <c r="W399">
        <f>IF($U399="","",IFERROR(MATCH($U399,INDEX(FormData,0,f_Id),0),IFERROR(MATCH(--$U399,INDEX(FormData,0,f_Id),0),IFERROR(MATCH($U399&amp;"",INDEX(FormData,0,f_Id),0),""))))</f>
        <v/>
      </c>
      <c r="X399">
        <f>IF(AND($B399&lt;&gt;"",$B399='Event Report'!$C$3),ROW(),"")</f>
        <v/>
      </c>
      <c r="Y399">
        <f>IF(AND($P399="✓",$R399=""),IF($Q399="",90000,$Q399)+ROW()/100000,"")</f>
        <v/>
      </c>
      <c r="Z399">
        <f>IF(OR($U399&lt;&gt;"",$D399&lt;&gt;"",$E399&lt;&gt;"",$N399&lt;&gt;""),1,"")</f>
        <v/>
      </c>
    </row>
    <row r="400">
      <c r="A400" s="13" t="inlineStr">
        <is>
          <t>P-0396</t>
        </is>
      </c>
      <c r="B400" s="14">
        <f>IF(AND($U400="",$C400=""),"",IFERROR(INDEX(EvID,MATCH(INDEX(FormData,$W400,f_Event),EvID,0)),IFERROR(INDEX(EvID,MATCH(INDEX(FormData,$W400,f_Event),EvName,0)),IFERROR(INDEX(EvID,MATCH(INT($C400),EvDate,0)),""))))</f>
        <v/>
      </c>
      <c r="C400" s="15">
        <f>IF($W400="","",INDEX(FormData,$W400,f_Time))</f>
        <v/>
      </c>
      <c r="D400" s="14">
        <f>IF($W400="","",IFERROR(UPPER(LEFT(TRIM(INDEX(FormData,$W400,f_Name)),1)&amp;IFERROR(MID(TRIM(INDEX(FormData,$W400,f_Name)),FIND("^",SUBSTITUTE(TRIM(INDEX(FormData,$W400,f_Name))," ","^",LEN(TRIM(INDEX(FormData,$W400,f_Name)))-LEN(SUBSTITUTE(TRIM(INDEX(FormData,$W400,f_Name))," ",""))))+1,1),"")),""))</f>
        <v/>
      </c>
      <c r="E400" s="16">
        <f>IF($W400="","",IFERROR(IF(SUMPRODUCT(MAX((WhoKW&lt;&gt;"")*ISNUMBER(SEARCH(WhoKW,INDEX(FormData,$W400,f_Who)&amp;""))*(ROW(WhoKW)-MIN(ROW(WhoKW))+1)))=0,"",INDEX(WhoVal,SUMPRODUCT(MAX((WhoKW&lt;&gt;"")*ISNUMBER(SEARCH(WhoKW,INDEX(FormData,$W400,f_Who)&amp;""))*(ROW(WhoKW)-MIN(ROW(WhoKW))+1))))),""))</f>
        <v/>
      </c>
      <c r="F400" s="17">
        <f>IF($W400="","",TRIM(IFERROR(INDEX(FormData,$W400,f_Org1)&amp;"","")&amp;" "&amp;IFERROR(INDEX(FormData,$W400,f_Org2)&amp;"","")))</f>
        <v/>
      </c>
      <c r="G400" s="16">
        <f>IF($W400="","",IFERROR(INDEX(FormData,$W400,f_Region)&amp;"",""))</f>
        <v/>
      </c>
      <c r="H400" s="16">
        <f>IF($W400="","",IFERROR(IF(SUMPRODUCT(MAX((SitKW&lt;&gt;"")*ISNUMBER(SEARCH(SitKW,INDEX(FormData,$W400,f_Sit)&amp;""))*(ROW(SitKW)-MIN(ROW(SitKW))+1)))=0,"",INDEX(SitVal,SUMPRODUCT(MAX((SitKW&lt;&gt;"")*ISNUMBER(SEARCH(SitKW,INDEX(FormData,$W400,f_Sit)&amp;""))*(ROW(SitKW)-MIN(ROW(SitKW))+1))))),""))</f>
        <v/>
      </c>
      <c r="I400" s="14">
        <f>IF($W400="","",IFERROR(INDEX(FormData,$W400,f_Appr)&amp;"",""))</f>
        <v/>
      </c>
      <c r="J400" s="16">
        <f>IF($W400="","",IFERROR(INDEX(FormData,$W400,f_Trade)&amp;"",""))</f>
        <v/>
      </c>
      <c r="K400" s="16" t="n"/>
      <c r="L400" s="17" t="n"/>
      <c r="M400" s="16" t="n"/>
      <c r="N400" s="17" t="n"/>
      <c r="O400" s="14" t="n"/>
      <c r="P400" s="14" t="n"/>
      <c r="Q400" s="18" t="n"/>
      <c r="R400" s="18" t="n"/>
      <c r="S400" s="13">
        <f>IF($P400&lt;&gt;"✓","",IF($R400&lt;&gt;"","Done",IF($Q400="","Open — no date",IF($Q400&lt;TODAY(),"Overdue",IF($Q400-TODAY()&lt;=DueSoon,"Due soon","Scheduled")))))</f>
        <v/>
      </c>
      <c r="T400" s="14">
        <f>IF($W400="","",IFERROR(IF(INDEX(FormData,$W400,f_Consent)&amp;""="","",IF(ISNUMBER(SEARCH("yes",INDEX(FormData,$W400,f_Consent))),"Yes","No")),""))</f>
        <v/>
      </c>
      <c r="U400" s="14" t="n"/>
      <c r="V400" s="13">
        <f>IF($U400="","",IF($W400="","not found","✓"))</f>
        <v/>
      </c>
      <c r="W400">
        <f>IF($U400="","",IFERROR(MATCH($U400,INDEX(FormData,0,f_Id),0),IFERROR(MATCH(--$U400,INDEX(FormData,0,f_Id),0),IFERROR(MATCH($U400&amp;"",INDEX(FormData,0,f_Id),0),""))))</f>
        <v/>
      </c>
      <c r="X400">
        <f>IF(AND($B400&lt;&gt;"",$B400='Event Report'!$C$3),ROW(),"")</f>
        <v/>
      </c>
      <c r="Y400">
        <f>IF(AND($P400="✓",$R400=""),IF($Q400="",90000,$Q400)+ROW()/100000,"")</f>
        <v/>
      </c>
      <c r="Z400">
        <f>IF(OR($U400&lt;&gt;"",$D400&lt;&gt;"",$E400&lt;&gt;"",$N400&lt;&gt;""),1,"")</f>
        <v/>
      </c>
    </row>
    <row r="401">
      <c r="A401" s="13" t="inlineStr">
        <is>
          <t>P-0397</t>
        </is>
      </c>
      <c r="B401" s="14">
        <f>IF(AND($U401="",$C401=""),"",IFERROR(INDEX(EvID,MATCH(INDEX(FormData,$W401,f_Event),EvID,0)),IFERROR(INDEX(EvID,MATCH(INDEX(FormData,$W401,f_Event),EvName,0)),IFERROR(INDEX(EvID,MATCH(INT($C401),EvDate,0)),""))))</f>
        <v/>
      </c>
      <c r="C401" s="15">
        <f>IF($W401="","",INDEX(FormData,$W401,f_Time))</f>
        <v/>
      </c>
      <c r="D401" s="14">
        <f>IF($W401="","",IFERROR(UPPER(LEFT(TRIM(INDEX(FormData,$W401,f_Name)),1)&amp;IFERROR(MID(TRIM(INDEX(FormData,$W401,f_Name)),FIND("^",SUBSTITUTE(TRIM(INDEX(FormData,$W401,f_Name))," ","^",LEN(TRIM(INDEX(FormData,$W401,f_Name)))-LEN(SUBSTITUTE(TRIM(INDEX(FormData,$W401,f_Name))," ",""))))+1,1),"")),""))</f>
        <v/>
      </c>
      <c r="E401" s="16">
        <f>IF($W401="","",IFERROR(IF(SUMPRODUCT(MAX((WhoKW&lt;&gt;"")*ISNUMBER(SEARCH(WhoKW,INDEX(FormData,$W401,f_Who)&amp;""))*(ROW(WhoKW)-MIN(ROW(WhoKW))+1)))=0,"",INDEX(WhoVal,SUMPRODUCT(MAX((WhoKW&lt;&gt;"")*ISNUMBER(SEARCH(WhoKW,INDEX(FormData,$W401,f_Who)&amp;""))*(ROW(WhoKW)-MIN(ROW(WhoKW))+1))))),""))</f>
        <v/>
      </c>
      <c r="F401" s="17">
        <f>IF($W401="","",TRIM(IFERROR(INDEX(FormData,$W401,f_Org1)&amp;"","")&amp;" "&amp;IFERROR(INDEX(FormData,$W401,f_Org2)&amp;"","")))</f>
        <v/>
      </c>
      <c r="G401" s="16">
        <f>IF($W401="","",IFERROR(INDEX(FormData,$W401,f_Region)&amp;"",""))</f>
        <v/>
      </c>
      <c r="H401" s="16">
        <f>IF($W401="","",IFERROR(IF(SUMPRODUCT(MAX((SitKW&lt;&gt;"")*ISNUMBER(SEARCH(SitKW,INDEX(FormData,$W401,f_Sit)&amp;""))*(ROW(SitKW)-MIN(ROW(SitKW))+1)))=0,"",INDEX(SitVal,SUMPRODUCT(MAX((SitKW&lt;&gt;"")*ISNUMBER(SEARCH(SitKW,INDEX(FormData,$W401,f_Sit)&amp;""))*(ROW(SitKW)-MIN(ROW(SitKW))+1))))),""))</f>
        <v/>
      </c>
      <c r="I401" s="14">
        <f>IF($W401="","",IFERROR(INDEX(FormData,$W401,f_Appr)&amp;"",""))</f>
        <v/>
      </c>
      <c r="J401" s="16">
        <f>IF($W401="","",IFERROR(INDEX(FormData,$W401,f_Trade)&amp;"",""))</f>
        <v/>
      </c>
      <c r="K401" s="16" t="n"/>
      <c r="L401" s="17" t="n"/>
      <c r="M401" s="16" t="n"/>
      <c r="N401" s="17" t="n"/>
      <c r="O401" s="14" t="n"/>
      <c r="P401" s="14" t="n"/>
      <c r="Q401" s="18" t="n"/>
      <c r="R401" s="18" t="n"/>
      <c r="S401" s="13">
        <f>IF($P401&lt;&gt;"✓","",IF($R401&lt;&gt;"","Done",IF($Q401="","Open — no date",IF($Q401&lt;TODAY(),"Overdue",IF($Q401-TODAY()&lt;=DueSoon,"Due soon","Scheduled")))))</f>
        <v/>
      </c>
      <c r="T401" s="14">
        <f>IF($W401="","",IFERROR(IF(INDEX(FormData,$W401,f_Consent)&amp;""="","",IF(ISNUMBER(SEARCH("yes",INDEX(FormData,$W401,f_Consent))),"Yes","No")),""))</f>
        <v/>
      </c>
      <c r="U401" s="14" t="n"/>
      <c r="V401" s="13">
        <f>IF($U401="","",IF($W401="","not found","✓"))</f>
        <v/>
      </c>
      <c r="W401">
        <f>IF($U401="","",IFERROR(MATCH($U401,INDEX(FormData,0,f_Id),0),IFERROR(MATCH(--$U401,INDEX(FormData,0,f_Id),0),IFERROR(MATCH($U401&amp;"",INDEX(FormData,0,f_Id),0),""))))</f>
        <v/>
      </c>
      <c r="X401">
        <f>IF(AND($B401&lt;&gt;"",$B401='Event Report'!$C$3),ROW(),"")</f>
        <v/>
      </c>
      <c r="Y401">
        <f>IF(AND($P401="✓",$R401=""),IF($Q401="",90000,$Q401)+ROW()/100000,"")</f>
        <v/>
      </c>
      <c r="Z401">
        <f>IF(OR($U401&lt;&gt;"",$D401&lt;&gt;"",$E401&lt;&gt;"",$N401&lt;&gt;""),1,"")</f>
        <v/>
      </c>
    </row>
    <row r="402">
      <c r="A402" s="13" t="inlineStr">
        <is>
          <t>P-0398</t>
        </is>
      </c>
      <c r="B402" s="14">
        <f>IF(AND($U402="",$C402=""),"",IFERROR(INDEX(EvID,MATCH(INDEX(FormData,$W402,f_Event),EvID,0)),IFERROR(INDEX(EvID,MATCH(INDEX(FormData,$W402,f_Event),EvName,0)),IFERROR(INDEX(EvID,MATCH(INT($C402),EvDate,0)),""))))</f>
        <v/>
      </c>
      <c r="C402" s="15">
        <f>IF($W402="","",INDEX(FormData,$W402,f_Time))</f>
        <v/>
      </c>
      <c r="D402" s="14">
        <f>IF($W402="","",IFERROR(UPPER(LEFT(TRIM(INDEX(FormData,$W402,f_Name)),1)&amp;IFERROR(MID(TRIM(INDEX(FormData,$W402,f_Name)),FIND("^",SUBSTITUTE(TRIM(INDEX(FormData,$W402,f_Name))," ","^",LEN(TRIM(INDEX(FormData,$W402,f_Name)))-LEN(SUBSTITUTE(TRIM(INDEX(FormData,$W402,f_Name))," ",""))))+1,1),"")),""))</f>
        <v/>
      </c>
      <c r="E402" s="16">
        <f>IF($W402="","",IFERROR(IF(SUMPRODUCT(MAX((WhoKW&lt;&gt;"")*ISNUMBER(SEARCH(WhoKW,INDEX(FormData,$W402,f_Who)&amp;""))*(ROW(WhoKW)-MIN(ROW(WhoKW))+1)))=0,"",INDEX(WhoVal,SUMPRODUCT(MAX((WhoKW&lt;&gt;"")*ISNUMBER(SEARCH(WhoKW,INDEX(FormData,$W402,f_Who)&amp;""))*(ROW(WhoKW)-MIN(ROW(WhoKW))+1))))),""))</f>
        <v/>
      </c>
      <c r="F402" s="17">
        <f>IF($W402="","",TRIM(IFERROR(INDEX(FormData,$W402,f_Org1)&amp;"","")&amp;" "&amp;IFERROR(INDEX(FormData,$W402,f_Org2)&amp;"","")))</f>
        <v/>
      </c>
      <c r="G402" s="16">
        <f>IF($W402="","",IFERROR(INDEX(FormData,$W402,f_Region)&amp;"",""))</f>
        <v/>
      </c>
      <c r="H402" s="16">
        <f>IF($W402="","",IFERROR(IF(SUMPRODUCT(MAX((SitKW&lt;&gt;"")*ISNUMBER(SEARCH(SitKW,INDEX(FormData,$W402,f_Sit)&amp;""))*(ROW(SitKW)-MIN(ROW(SitKW))+1)))=0,"",INDEX(SitVal,SUMPRODUCT(MAX((SitKW&lt;&gt;"")*ISNUMBER(SEARCH(SitKW,INDEX(FormData,$W402,f_Sit)&amp;""))*(ROW(SitKW)-MIN(ROW(SitKW))+1))))),""))</f>
        <v/>
      </c>
      <c r="I402" s="14">
        <f>IF($W402="","",IFERROR(INDEX(FormData,$W402,f_Appr)&amp;"",""))</f>
        <v/>
      </c>
      <c r="J402" s="16">
        <f>IF($W402="","",IFERROR(INDEX(FormData,$W402,f_Trade)&amp;"",""))</f>
        <v/>
      </c>
      <c r="K402" s="16" t="n"/>
      <c r="L402" s="17" t="n"/>
      <c r="M402" s="16" t="n"/>
      <c r="N402" s="17" t="n"/>
      <c r="O402" s="14" t="n"/>
      <c r="P402" s="14" t="n"/>
      <c r="Q402" s="18" t="n"/>
      <c r="R402" s="18" t="n"/>
      <c r="S402" s="13">
        <f>IF($P402&lt;&gt;"✓","",IF($R402&lt;&gt;"","Done",IF($Q402="","Open — no date",IF($Q402&lt;TODAY(),"Overdue",IF($Q402-TODAY()&lt;=DueSoon,"Due soon","Scheduled")))))</f>
        <v/>
      </c>
      <c r="T402" s="14">
        <f>IF($W402="","",IFERROR(IF(INDEX(FormData,$W402,f_Consent)&amp;""="","",IF(ISNUMBER(SEARCH("yes",INDEX(FormData,$W402,f_Consent))),"Yes","No")),""))</f>
        <v/>
      </c>
      <c r="U402" s="14" t="n"/>
      <c r="V402" s="13">
        <f>IF($U402="","",IF($W402="","not found","✓"))</f>
        <v/>
      </c>
      <c r="W402">
        <f>IF($U402="","",IFERROR(MATCH($U402,INDEX(FormData,0,f_Id),0),IFERROR(MATCH(--$U402,INDEX(FormData,0,f_Id),0),IFERROR(MATCH($U402&amp;"",INDEX(FormData,0,f_Id),0),""))))</f>
        <v/>
      </c>
      <c r="X402">
        <f>IF(AND($B402&lt;&gt;"",$B402='Event Report'!$C$3),ROW(),"")</f>
        <v/>
      </c>
      <c r="Y402">
        <f>IF(AND($P402="✓",$R402=""),IF($Q402="",90000,$Q402)+ROW()/100000,"")</f>
        <v/>
      </c>
      <c r="Z402">
        <f>IF(OR($U402&lt;&gt;"",$D402&lt;&gt;"",$E402&lt;&gt;"",$N402&lt;&gt;""),1,"")</f>
        <v/>
      </c>
    </row>
    <row r="403">
      <c r="A403" s="13" t="inlineStr">
        <is>
          <t>P-0399</t>
        </is>
      </c>
      <c r="B403" s="14">
        <f>IF(AND($U403="",$C403=""),"",IFERROR(INDEX(EvID,MATCH(INDEX(FormData,$W403,f_Event),EvID,0)),IFERROR(INDEX(EvID,MATCH(INDEX(FormData,$W403,f_Event),EvName,0)),IFERROR(INDEX(EvID,MATCH(INT($C403),EvDate,0)),""))))</f>
        <v/>
      </c>
      <c r="C403" s="15">
        <f>IF($W403="","",INDEX(FormData,$W403,f_Time))</f>
        <v/>
      </c>
      <c r="D403" s="14">
        <f>IF($W403="","",IFERROR(UPPER(LEFT(TRIM(INDEX(FormData,$W403,f_Name)),1)&amp;IFERROR(MID(TRIM(INDEX(FormData,$W403,f_Name)),FIND("^",SUBSTITUTE(TRIM(INDEX(FormData,$W403,f_Name))," ","^",LEN(TRIM(INDEX(FormData,$W403,f_Name)))-LEN(SUBSTITUTE(TRIM(INDEX(FormData,$W403,f_Name))," ",""))))+1,1),"")),""))</f>
        <v/>
      </c>
      <c r="E403" s="16">
        <f>IF($W403="","",IFERROR(IF(SUMPRODUCT(MAX((WhoKW&lt;&gt;"")*ISNUMBER(SEARCH(WhoKW,INDEX(FormData,$W403,f_Who)&amp;""))*(ROW(WhoKW)-MIN(ROW(WhoKW))+1)))=0,"",INDEX(WhoVal,SUMPRODUCT(MAX((WhoKW&lt;&gt;"")*ISNUMBER(SEARCH(WhoKW,INDEX(FormData,$W403,f_Who)&amp;""))*(ROW(WhoKW)-MIN(ROW(WhoKW))+1))))),""))</f>
        <v/>
      </c>
      <c r="F403" s="17">
        <f>IF($W403="","",TRIM(IFERROR(INDEX(FormData,$W403,f_Org1)&amp;"","")&amp;" "&amp;IFERROR(INDEX(FormData,$W403,f_Org2)&amp;"","")))</f>
        <v/>
      </c>
      <c r="G403" s="16">
        <f>IF($W403="","",IFERROR(INDEX(FormData,$W403,f_Region)&amp;"",""))</f>
        <v/>
      </c>
      <c r="H403" s="16">
        <f>IF($W403="","",IFERROR(IF(SUMPRODUCT(MAX((SitKW&lt;&gt;"")*ISNUMBER(SEARCH(SitKW,INDEX(FormData,$W403,f_Sit)&amp;""))*(ROW(SitKW)-MIN(ROW(SitKW))+1)))=0,"",INDEX(SitVal,SUMPRODUCT(MAX((SitKW&lt;&gt;"")*ISNUMBER(SEARCH(SitKW,INDEX(FormData,$W403,f_Sit)&amp;""))*(ROW(SitKW)-MIN(ROW(SitKW))+1))))),""))</f>
        <v/>
      </c>
      <c r="I403" s="14">
        <f>IF($W403="","",IFERROR(INDEX(FormData,$W403,f_Appr)&amp;"",""))</f>
        <v/>
      </c>
      <c r="J403" s="16">
        <f>IF($W403="","",IFERROR(INDEX(FormData,$W403,f_Trade)&amp;"",""))</f>
        <v/>
      </c>
      <c r="K403" s="16" t="n"/>
      <c r="L403" s="17" t="n"/>
      <c r="M403" s="16" t="n"/>
      <c r="N403" s="17" t="n"/>
      <c r="O403" s="14" t="n"/>
      <c r="P403" s="14" t="n"/>
      <c r="Q403" s="18" t="n"/>
      <c r="R403" s="18" t="n"/>
      <c r="S403" s="13">
        <f>IF($P403&lt;&gt;"✓","",IF($R403&lt;&gt;"","Done",IF($Q403="","Open — no date",IF($Q403&lt;TODAY(),"Overdue",IF($Q403-TODAY()&lt;=DueSoon,"Due soon","Scheduled")))))</f>
        <v/>
      </c>
      <c r="T403" s="14">
        <f>IF($W403="","",IFERROR(IF(INDEX(FormData,$W403,f_Consent)&amp;""="","",IF(ISNUMBER(SEARCH("yes",INDEX(FormData,$W403,f_Consent))),"Yes","No")),""))</f>
        <v/>
      </c>
      <c r="U403" s="14" t="n"/>
      <c r="V403" s="13">
        <f>IF($U403="","",IF($W403="","not found","✓"))</f>
        <v/>
      </c>
      <c r="W403">
        <f>IF($U403="","",IFERROR(MATCH($U403,INDEX(FormData,0,f_Id),0),IFERROR(MATCH(--$U403,INDEX(FormData,0,f_Id),0),IFERROR(MATCH($U403&amp;"",INDEX(FormData,0,f_Id),0),""))))</f>
        <v/>
      </c>
      <c r="X403">
        <f>IF(AND($B403&lt;&gt;"",$B403='Event Report'!$C$3),ROW(),"")</f>
        <v/>
      </c>
      <c r="Y403">
        <f>IF(AND($P403="✓",$R403=""),IF($Q403="",90000,$Q403)+ROW()/100000,"")</f>
        <v/>
      </c>
      <c r="Z403">
        <f>IF(OR($U403&lt;&gt;"",$D403&lt;&gt;"",$E403&lt;&gt;"",$N403&lt;&gt;""),1,"")</f>
        <v/>
      </c>
    </row>
    <row r="404">
      <c r="A404" s="13" t="inlineStr">
        <is>
          <t>P-0400</t>
        </is>
      </c>
      <c r="B404" s="14">
        <f>IF(AND($U404="",$C404=""),"",IFERROR(INDEX(EvID,MATCH(INDEX(FormData,$W404,f_Event),EvID,0)),IFERROR(INDEX(EvID,MATCH(INDEX(FormData,$W404,f_Event),EvName,0)),IFERROR(INDEX(EvID,MATCH(INT($C404),EvDate,0)),""))))</f>
        <v/>
      </c>
      <c r="C404" s="15">
        <f>IF($W404="","",INDEX(FormData,$W404,f_Time))</f>
        <v/>
      </c>
      <c r="D404" s="14">
        <f>IF($W404="","",IFERROR(UPPER(LEFT(TRIM(INDEX(FormData,$W404,f_Name)),1)&amp;IFERROR(MID(TRIM(INDEX(FormData,$W404,f_Name)),FIND("^",SUBSTITUTE(TRIM(INDEX(FormData,$W404,f_Name))," ","^",LEN(TRIM(INDEX(FormData,$W404,f_Name)))-LEN(SUBSTITUTE(TRIM(INDEX(FormData,$W404,f_Name))," ",""))))+1,1),"")),""))</f>
        <v/>
      </c>
      <c r="E404" s="16">
        <f>IF($W404="","",IFERROR(IF(SUMPRODUCT(MAX((WhoKW&lt;&gt;"")*ISNUMBER(SEARCH(WhoKW,INDEX(FormData,$W404,f_Who)&amp;""))*(ROW(WhoKW)-MIN(ROW(WhoKW))+1)))=0,"",INDEX(WhoVal,SUMPRODUCT(MAX((WhoKW&lt;&gt;"")*ISNUMBER(SEARCH(WhoKW,INDEX(FormData,$W404,f_Who)&amp;""))*(ROW(WhoKW)-MIN(ROW(WhoKW))+1))))),""))</f>
        <v/>
      </c>
      <c r="F404" s="17">
        <f>IF($W404="","",TRIM(IFERROR(INDEX(FormData,$W404,f_Org1)&amp;"","")&amp;" "&amp;IFERROR(INDEX(FormData,$W404,f_Org2)&amp;"","")))</f>
        <v/>
      </c>
      <c r="G404" s="16">
        <f>IF($W404="","",IFERROR(INDEX(FormData,$W404,f_Region)&amp;"",""))</f>
        <v/>
      </c>
      <c r="H404" s="16">
        <f>IF($W404="","",IFERROR(IF(SUMPRODUCT(MAX((SitKW&lt;&gt;"")*ISNUMBER(SEARCH(SitKW,INDEX(FormData,$W404,f_Sit)&amp;""))*(ROW(SitKW)-MIN(ROW(SitKW))+1)))=0,"",INDEX(SitVal,SUMPRODUCT(MAX((SitKW&lt;&gt;"")*ISNUMBER(SEARCH(SitKW,INDEX(FormData,$W404,f_Sit)&amp;""))*(ROW(SitKW)-MIN(ROW(SitKW))+1))))),""))</f>
        <v/>
      </c>
      <c r="I404" s="14">
        <f>IF($W404="","",IFERROR(INDEX(FormData,$W404,f_Appr)&amp;"",""))</f>
        <v/>
      </c>
      <c r="J404" s="16">
        <f>IF($W404="","",IFERROR(INDEX(FormData,$W404,f_Trade)&amp;"",""))</f>
        <v/>
      </c>
      <c r="K404" s="16" t="n"/>
      <c r="L404" s="17" t="n"/>
      <c r="M404" s="16" t="n"/>
      <c r="N404" s="17" t="n"/>
      <c r="O404" s="14" t="n"/>
      <c r="P404" s="14" t="n"/>
      <c r="Q404" s="18" t="n"/>
      <c r="R404" s="18" t="n"/>
      <c r="S404" s="13">
        <f>IF($P404&lt;&gt;"✓","",IF($R404&lt;&gt;"","Done",IF($Q404="","Open — no date",IF($Q404&lt;TODAY(),"Overdue",IF($Q404-TODAY()&lt;=DueSoon,"Due soon","Scheduled")))))</f>
        <v/>
      </c>
      <c r="T404" s="14">
        <f>IF($W404="","",IFERROR(IF(INDEX(FormData,$W404,f_Consent)&amp;""="","",IF(ISNUMBER(SEARCH("yes",INDEX(FormData,$W404,f_Consent))),"Yes","No")),""))</f>
        <v/>
      </c>
      <c r="U404" s="14" t="n"/>
      <c r="V404" s="13">
        <f>IF($U404="","",IF($W404="","not found","✓"))</f>
        <v/>
      </c>
      <c r="W404">
        <f>IF($U404="","",IFERROR(MATCH($U404,INDEX(FormData,0,f_Id),0),IFERROR(MATCH(--$U404,INDEX(FormData,0,f_Id),0),IFERROR(MATCH($U404&amp;"",INDEX(FormData,0,f_Id),0),""))))</f>
        <v/>
      </c>
      <c r="X404">
        <f>IF(AND($B404&lt;&gt;"",$B404='Event Report'!$C$3),ROW(),"")</f>
        <v/>
      </c>
      <c r="Y404">
        <f>IF(AND($P404="✓",$R404=""),IF($Q404="",90000,$Q404)+ROW()/100000,"")</f>
        <v/>
      </c>
      <c r="Z404">
        <f>IF(OR($U404&lt;&gt;"",$D404&lt;&gt;"",$E404&lt;&gt;"",$N404&lt;&gt;""),1,"")</f>
        <v/>
      </c>
    </row>
    <row r="405">
      <c r="A405" s="13" t="inlineStr">
        <is>
          <t>P-0401</t>
        </is>
      </c>
      <c r="B405" s="14">
        <f>IF(AND($U405="",$C405=""),"",IFERROR(INDEX(EvID,MATCH(INDEX(FormData,$W405,f_Event),EvID,0)),IFERROR(INDEX(EvID,MATCH(INDEX(FormData,$W405,f_Event),EvName,0)),IFERROR(INDEX(EvID,MATCH(INT($C405),EvDate,0)),""))))</f>
        <v/>
      </c>
      <c r="C405" s="15">
        <f>IF($W405="","",INDEX(FormData,$W405,f_Time))</f>
        <v/>
      </c>
      <c r="D405" s="14">
        <f>IF($W405="","",IFERROR(UPPER(LEFT(TRIM(INDEX(FormData,$W405,f_Name)),1)&amp;IFERROR(MID(TRIM(INDEX(FormData,$W405,f_Name)),FIND("^",SUBSTITUTE(TRIM(INDEX(FormData,$W405,f_Name))," ","^",LEN(TRIM(INDEX(FormData,$W405,f_Name)))-LEN(SUBSTITUTE(TRIM(INDEX(FormData,$W405,f_Name))," ",""))))+1,1),"")),""))</f>
        <v/>
      </c>
      <c r="E405" s="16">
        <f>IF($W405="","",IFERROR(IF(SUMPRODUCT(MAX((WhoKW&lt;&gt;"")*ISNUMBER(SEARCH(WhoKW,INDEX(FormData,$W405,f_Who)&amp;""))*(ROW(WhoKW)-MIN(ROW(WhoKW))+1)))=0,"",INDEX(WhoVal,SUMPRODUCT(MAX((WhoKW&lt;&gt;"")*ISNUMBER(SEARCH(WhoKW,INDEX(FormData,$W405,f_Who)&amp;""))*(ROW(WhoKW)-MIN(ROW(WhoKW))+1))))),""))</f>
        <v/>
      </c>
      <c r="F405" s="17">
        <f>IF($W405="","",TRIM(IFERROR(INDEX(FormData,$W405,f_Org1)&amp;"","")&amp;" "&amp;IFERROR(INDEX(FormData,$W405,f_Org2)&amp;"","")))</f>
        <v/>
      </c>
      <c r="G405" s="16">
        <f>IF($W405="","",IFERROR(INDEX(FormData,$W405,f_Region)&amp;"",""))</f>
        <v/>
      </c>
      <c r="H405" s="16">
        <f>IF($W405="","",IFERROR(IF(SUMPRODUCT(MAX((SitKW&lt;&gt;"")*ISNUMBER(SEARCH(SitKW,INDEX(FormData,$W405,f_Sit)&amp;""))*(ROW(SitKW)-MIN(ROW(SitKW))+1)))=0,"",INDEX(SitVal,SUMPRODUCT(MAX((SitKW&lt;&gt;"")*ISNUMBER(SEARCH(SitKW,INDEX(FormData,$W405,f_Sit)&amp;""))*(ROW(SitKW)-MIN(ROW(SitKW))+1))))),""))</f>
        <v/>
      </c>
      <c r="I405" s="14">
        <f>IF($W405="","",IFERROR(INDEX(FormData,$W405,f_Appr)&amp;"",""))</f>
        <v/>
      </c>
      <c r="J405" s="16">
        <f>IF($W405="","",IFERROR(INDEX(FormData,$W405,f_Trade)&amp;"",""))</f>
        <v/>
      </c>
      <c r="K405" s="16" t="n"/>
      <c r="L405" s="17" t="n"/>
      <c r="M405" s="16" t="n"/>
      <c r="N405" s="17" t="n"/>
      <c r="O405" s="14" t="n"/>
      <c r="P405" s="14" t="n"/>
      <c r="Q405" s="18" t="n"/>
      <c r="R405" s="18" t="n"/>
      <c r="S405" s="13">
        <f>IF($P405&lt;&gt;"✓","",IF($R405&lt;&gt;"","Done",IF($Q405="","Open — no date",IF($Q405&lt;TODAY(),"Overdue",IF($Q405-TODAY()&lt;=DueSoon,"Due soon","Scheduled")))))</f>
        <v/>
      </c>
      <c r="T405" s="14">
        <f>IF($W405="","",IFERROR(IF(INDEX(FormData,$W405,f_Consent)&amp;""="","",IF(ISNUMBER(SEARCH("yes",INDEX(FormData,$W405,f_Consent))),"Yes","No")),""))</f>
        <v/>
      </c>
      <c r="U405" s="14" t="n"/>
      <c r="V405" s="13">
        <f>IF($U405="","",IF($W405="","not found","✓"))</f>
        <v/>
      </c>
      <c r="W405">
        <f>IF($U405="","",IFERROR(MATCH($U405,INDEX(FormData,0,f_Id),0),IFERROR(MATCH(--$U405,INDEX(FormData,0,f_Id),0),IFERROR(MATCH($U405&amp;"",INDEX(FormData,0,f_Id),0),""))))</f>
        <v/>
      </c>
      <c r="X405">
        <f>IF(AND($B405&lt;&gt;"",$B405='Event Report'!$C$3),ROW(),"")</f>
        <v/>
      </c>
      <c r="Y405">
        <f>IF(AND($P405="✓",$R405=""),IF($Q405="",90000,$Q405)+ROW()/100000,"")</f>
        <v/>
      </c>
      <c r="Z405">
        <f>IF(OR($U405&lt;&gt;"",$D405&lt;&gt;"",$E405&lt;&gt;"",$N405&lt;&gt;""),1,"")</f>
        <v/>
      </c>
    </row>
    <row r="406">
      <c r="A406" s="13" t="inlineStr">
        <is>
          <t>P-0402</t>
        </is>
      </c>
      <c r="B406" s="14">
        <f>IF(AND($U406="",$C406=""),"",IFERROR(INDEX(EvID,MATCH(INDEX(FormData,$W406,f_Event),EvID,0)),IFERROR(INDEX(EvID,MATCH(INDEX(FormData,$W406,f_Event),EvName,0)),IFERROR(INDEX(EvID,MATCH(INT($C406),EvDate,0)),""))))</f>
        <v/>
      </c>
      <c r="C406" s="15">
        <f>IF($W406="","",INDEX(FormData,$W406,f_Time))</f>
        <v/>
      </c>
      <c r="D406" s="14">
        <f>IF($W406="","",IFERROR(UPPER(LEFT(TRIM(INDEX(FormData,$W406,f_Name)),1)&amp;IFERROR(MID(TRIM(INDEX(FormData,$W406,f_Name)),FIND("^",SUBSTITUTE(TRIM(INDEX(FormData,$W406,f_Name))," ","^",LEN(TRIM(INDEX(FormData,$W406,f_Name)))-LEN(SUBSTITUTE(TRIM(INDEX(FormData,$W406,f_Name))," ",""))))+1,1),"")),""))</f>
        <v/>
      </c>
      <c r="E406" s="16">
        <f>IF($W406="","",IFERROR(IF(SUMPRODUCT(MAX((WhoKW&lt;&gt;"")*ISNUMBER(SEARCH(WhoKW,INDEX(FormData,$W406,f_Who)&amp;""))*(ROW(WhoKW)-MIN(ROW(WhoKW))+1)))=0,"",INDEX(WhoVal,SUMPRODUCT(MAX((WhoKW&lt;&gt;"")*ISNUMBER(SEARCH(WhoKW,INDEX(FormData,$W406,f_Who)&amp;""))*(ROW(WhoKW)-MIN(ROW(WhoKW))+1))))),""))</f>
        <v/>
      </c>
      <c r="F406" s="17">
        <f>IF($W406="","",TRIM(IFERROR(INDEX(FormData,$W406,f_Org1)&amp;"","")&amp;" "&amp;IFERROR(INDEX(FormData,$W406,f_Org2)&amp;"","")))</f>
        <v/>
      </c>
      <c r="G406" s="16">
        <f>IF($W406="","",IFERROR(INDEX(FormData,$W406,f_Region)&amp;"",""))</f>
        <v/>
      </c>
      <c r="H406" s="16">
        <f>IF($W406="","",IFERROR(IF(SUMPRODUCT(MAX((SitKW&lt;&gt;"")*ISNUMBER(SEARCH(SitKW,INDEX(FormData,$W406,f_Sit)&amp;""))*(ROW(SitKW)-MIN(ROW(SitKW))+1)))=0,"",INDEX(SitVal,SUMPRODUCT(MAX((SitKW&lt;&gt;"")*ISNUMBER(SEARCH(SitKW,INDEX(FormData,$W406,f_Sit)&amp;""))*(ROW(SitKW)-MIN(ROW(SitKW))+1))))),""))</f>
        <v/>
      </c>
      <c r="I406" s="14">
        <f>IF($W406="","",IFERROR(INDEX(FormData,$W406,f_Appr)&amp;"",""))</f>
        <v/>
      </c>
      <c r="J406" s="16">
        <f>IF($W406="","",IFERROR(INDEX(FormData,$W406,f_Trade)&amp;"",""))</f>
        <v/>
      </c>
      <c r="K406" s="16" t="n"/>
      <c r="L406" s="17" t="n"/>
      <c r="M406" s="16" t="n"/>
      <c r="N406" s="17" t="n"/>
      <c r="O406" s="14" t="n"/>
      <c r="P406" s="14" t="n"/>
      <c r="Q406" s="18" t="n"/>
      <c r="R406" s="18" t="n"/>
      <c r="S406" s="13">
        <f>IF($P406&lt;&gt;"✓","",IF($R406&lt;&gt;"","Done",IF($Q406="","Open — no date",IF($Q406&lt;TODAY(),"Overdue",IF($Q406-TODAY()&lt;=DueSoon,"Due soon","Scheduled")))))</f>
        <v/>
      </c>
      <c r="T406" s="14">
        <f>IF($W406="","",IFERROR(IF(INDEX(FormData,$W406,f_Consent)&amp;""="","",IF(ISNUMBER(SEARCH("yes",INDEX(FormData,$W406,f_Consent))),"Yes","No")),""))</f>
        <v/>
      </c>
      <c r="U406" s="14" t="n"/>
      <c r="V406" s="13">
        <f>IF($U406="","",IF($W406="","not found","✓"))</f>
        <v/>
      </c>
      <c r="W406">
        <f>IF($U406="","",IFERROR(MATCH($U406,INDEX(FormData,0,f_Id),0),IFERROR(MATCH(--$U406,INDEX(FormData,0,f_Id),0),IFERROR(MATCH($U406&amp;"",INDEX(FormData,0,f_Id),0),""))))</f>
        <v/>
      </c>
      <c r="X406">
        <f>IF(AND($B406&lt;&gt;"",$B406='Event Report'!$C$3),ROW(),"")</f>
        <v/>
      </c>
      <c r="Y406">
        <f>IF(AND($P406="✓",$R406=""),IF($Q406="",90000,$Q406)+ROW()/100000,"")</f>
        <v/>
      </c>
      <c r="Z406">
        <f>IF(OR($U406&lt;&gt;"",$D406&lt;&gt;"",$E406&lt;&gt;"",$N406&lt;&gt;""),1,"")</f>
        <v/>
      </c>
    </row>
    <row r="407">
      <c r="A407" s="13" t="inlineStr">
        <is>
          <t>P-0403</t>
        </is>
      </c>
      <c r="B407" s="14">
        <f>IF(AND($U407="",$C407=""),"",IFERROR(INDEX(EvID,MATCH(INDEX(FormData,$W407,f_Event),EvID,0)),IFERROR(INDEX(EvID,MATCH(INDEX(FormData,$W407,f_Event),EvName,0)),IFERROR(INDEX(EvID,MATCH(INT($C407),EvDate,0)),""))))</f>
        <v/>
      </c>
      <c r="C407" s="15">
        <f>IF($W407="","",INDEX(FormData,$W407,f_Time))</f>
        <v/>
      </c>
      <c r="D407" s="14">
        <f>IF($W407="","",IFERROR(UPPER(LEFT(TRIM(INDEX(FormData,$W407,f_Name)),1)&amp;IFERROR(MID(TRIM(INDEX(FormData,$W407,f_Name)),FIND("^",SUBSTITUTE(TRIM(INDEX(FormData,$W407,f_Name))," ","^",LEN(TRIM(INDEX(FormData,$W407,f_Name)))-LEN(SUBSTITUTE(TRIM(INDEX(FormData,$W407,f_Name))," ",""))))+1,1),"")),""))</f>
        <v/>
      </c>
      <c r="E407" s="16">
        <f>IF($W407="","",IFERROR(IF(SUMPRODUCT(MAX((WhoKW&lt;&gt;"")*ISNUMBER(SEARCH(WhoKW,INDEX(FormData,$W407,f_Who)&amp;""))*(ROW(WhoKW)-MIN(ROW(WhoKW))+1)))=0,"",INDEX(WhoVal,SUMPRODUCT(MAX((WhoKW&lt;&gt;"")*ISNUMBER(SEARCH(WhoKW,INDEX(FormData,$W407,f_Who)&amp;""))*(ROW(WhoKW)-MIN(ROW(WhoKW))+1))))),""))</f>
        <v/>
      </c>
      <c r="F407" s="17">
        <f>IF($W407="","",TRIM(IFERROR(INDEX(FormData,$W407,f_Org1)&amp;"","")&amp;" "&amp;IFERROR(INDEX(FormData,$W407,f_Org2)&amp;"","")))</f>
        <v/>
      </c>
      <c r="G407" s="16">
        <f>IF($W407="","",IFERROR(INDEX(FormData,$W407,f_Region)&amp;"",""))</f>
        <v/>
      </c>
      <c r="H407" s="16">
        <f>IF($W407="","",IFERROR(IF(SUMPRODUCT(MAX((SitKW&lt;&gt;"")*ISNUMBER(SEARCH(SitKW,INDEX(FormData,$W407,f_Sit)&amp;""))*(ROW(SitKW)-MIN(ROW(SitKW))+1)))=0,"",INDEX(SitVal,SUMPRODUCT(MAX((SitKW&lt;&gt;"")*ISNUMBER(SEARCH(SitKW,INDEX(FormData,$W407,f_Sit)&amp;""))*(ROW(SitKW)-MIN(ROW(SitKW))+1))))),""))</f>
        <v/>
      </c>
      <c r="I407" s="14">
        <f>IF($W407="","",IFERROR(INDEX(FormData,$W407,f_Appr)&amp;"",""))</f>
        <v/>
      </c>
      <c r="J407" s="16">
        <f>IF($W407="","",IFERROR(INDEX(FormData,$W407,f_Trade)&amp;"",""))</f>
        <v/>
      </c>
      <c r="K407" s="16" t="n"/>
      <c r="L407" s="17" t="n"/>
      <c r="M407" s="16" t="n"/>
      <c r="N407" s="17" t="n"/>
      <c r="O407" s="14" t="n"/>
      <c r="P407" s="14" t="n"/>
      <c r="Q407" s="18" t="n"/>
      <c r="R407" s="18" t="n"/>
      <c r="S407" s="13">
        <f>IF($P407&lt;&gt;"✓","",IF($R407&lt;&gt;"","Done",IF($Q407="","Open — no date",IF($Q407&lt;TODAY(),"Overdue",IF($Q407-TODAY()&lt;=DueSoon,"Due soon","Scheduled")))))</f>
        <v/>
      </c>
      <c r="T407" s="14">
        <f>IF($W407="","",IFERROR(IF(INDEX(FormData,$W407,f_Consent)&amp;""="","",IF(ISNUMBER(SEARCH("yes",INDEX(FormData,$W407,f_Consent))),"Yes","No")),""))</f>
        <v/>
      </c>
      <c r="U407" s="14" t="n"/>
      <c r="V407" s="13">
        <f>IF($U407="","",IF($W407="","not found","✓"))</f>
        <v/>
      </c>
      <c r="W407">
        <f>IF($U407="","",IFERROR(MATCH($U407,INDEX(FormData,0,f_Id),0),IFERROR(MATCH(--$U407,INDEX(FormData,0,f_Id),0),IFERROR(MATCH($U407&amp;"",INDEX(FormData,0,f_Id),0),""))))</f>
        <v/>
      </c>
      <c r="X407">
        <f>IF(AND($B407&lt;&gt;"",$B407='Event Report'!$C$3),ROW(),"")</f>
        <v/>
      </c>
      <c r="Y407">
        <f>IF(AND($P407="✓",$R407=""),IF($Q407="",90000,$Q407)+ROW()/100000,"")</f>
        <v/>
      </c>
      <c r="Z407">
        <f>IF(OR($U407&lt;&gt;"",$D407&lt;&gt;"",$E407&lt;&gt;"",$N407&lt;&gt;""),1,"")</f>
        <v/>
      </c>
    </row>
    <row r="408">
      <c r="A408" s="13" t="inlineStr">
        <is>
          <t>P-0404</t>
        </is>
      </c>
      <c r="B408" s="14">
        <f>IF(AND($U408="",$C408=""),"",IFERROR(INDEX(EvID,MATCH(INDEX(FormData,$W408,f_Event),EvID,0)),IFERROR(INDEX(EvID,MATCH(INDEX(FormData,$W408,f_Event),EvName,0)),IFERROR(INDEX(EvID,MATCH(INT($C408),EvDate,0)),""))))</f>
        <v/>
      </c>
      <c r="C408" s="15">
        <f>IF($W408="","",INDEX(FormData,$W408,f_Time))</f>
        <v/>
      </c>
      <c r="D408" s="14">
        <f>IF($W408="","",IFERROR(UPPER(LEFT(TRIM(INDEX(FormData,$W408,f_Name)),1)&amp;IFERROR(MID(TRIM(INDEX(FormData,$W408,f_Name)),FIND("^",SUBSTITUTE(TRIM(INDEX(FormData,$W408,f_Name))," ","^",LEN(TRIM(INDEX(FormData,$W408,f_Name)))-LEN(SUBSTITUTE(TRIM(INDEX(FormData,$W408,f_Name))," ",""))))+1,1),"")),""))</f>
        <v/>
      </c>
      <c r="E408" s="16">
        <f>IF($W408="","",IFERROR(IF(SUMPRODUCT(MAX((WhoKW&lt;&gt;"")*ISNUMBER(SEARCH(WhoKW,INDEX(FormData,$W408,f_Who)&amp;""))*(ROW(WhoKW)-MIN(ROW(WhoKW))+1)))=0,"",INDEX(WhoVal,SUMPRODUCT(MAX((WhoKW&lt;&gt;"")*ISNUMBER(SEARCH(WhoKW,INDEX(FormData,$W408,f_Who)&amp;""))*(ROW(WhoKW)-MIN(ROW(WhoKW))+1))))),""))</f>
        <v/>
      </c>
      <c r="F408" s="17">
        <f>IF($W408="","",TRIM(IFERROR(INDEX(FormData,$W408,f_Org1)&amp;"","")&amp;" "&amp;IFERROR(INDEX(FormData,$W408,f_Org2)&amp;"","")))</f>
        <v/>
      </c>
      <c r="G408" s="16">
        <f>IF($W408="","",IFERROR(INDEX(FormData,$W408,f_Region)&amp;"",""))</f>
        <v/>
      </c>
      <c r="H408" s="16">
        <f>IF($W408="","",IFERROR(IF(SUMPRODUCT(MAX((SitKW&lt;&gt;"")*ISNUMBER(SEARCH(SitKW,INDEX(FormData,$W408,f_Sit)&amp;""))*(ROW(SitKW)-MIN(ROW(SitKW))+1)))=0,"",INDEX(SitVal,SUMPRODUCT(MAX((SitKW&lt;&gt;"")*ISNUMBER(SEARCH(SitKW,INDEX(FormData,$W408,f_Sit)&amp;""))*(ROW(SitKW)-MIN(ROW(SitKW))+1))))),""))</f>
        <v/>
      </c>
      <c r="I408" s="14">
        <f>IF($W408="","",IFERROR(INDEX(FormData,$W408,f_Appr)&amp;"",""))</f>
        <v/>
      </c>
      <c r="J408" s="16">
        <f>IF($W408="","",IFERROR(INDEX(FormData,$W408,f_Trade)&amp;"",""))</f>
        <v/>
      </c>
      <c r="K408" s="16" t="n"/>
      <c r="L408" s="17" t="n"/>
      <c r="M408" s="16" t="n"/>
      <c r="N408" s="17" t="n"/>
      <c r="O408" s="14" t="n"/>
      <c r="P408" s="14" t="n"/>
      <c r="Q408" s="18" t="n"/>
      <c r="R408" s="18" t="n"/>
      <c r="S408" s="13">
        <f>IF($P408&lt;&gt;"✓","",IF($R408&lt;&gt;"","Done",IF($Q408="","Open — no date",IF($Q408&lt;TODAY(),"Overdue",IF($Q408-TODAY()&lt;=DueSoon,"Due soon","Scheduled")))))</f>
        <v/>
      </c>
      <c r="T408" s="14">
        <f>IF($W408="","",IFERROR(IF(INDEX(FormData,$W408,f_Consent)&amp;""="","",IF(ISNUMBER(SEARCH("yes",INDEX(FormData,$W408,f_Consent))),"Yes","No")),""))</f>
        <v/>
      </c>
      <c r="U408" s="14" t="n"/>
      <c r="V408" s="13">
        <f>IF($U408="","",IF($W408="","not found","✓"))</f>
        <v/>
      </c>
      <c r="W408">
        <f>IF($U408="","",IFERROR(MATCH($U408,INDEX(FormData,0,f_Id),0),IFERROR(MATCH(--$U408,INDEX(FormData,0,f_Id),0),IFERROR(MATCH($U408&amp;"",INDEX(FormData,0,f_Id),0),""))))</f>
        <v/>
      </c>
      <c r="X408">
        <f>IF(AND($B408&lt;&gt;"",$B408='Event Report'!$C$3),ROW(),"")</f>
        <v/>
      </c>
      <c r="Y408">
        <f>IF(AND($P408="✓",$R408=""),IF($Q408="",90000,$Q408)+ROW()/100000,"")</f>
        <v/>
      </c>
      <c r="Z408">
        <f>IF(OR($U408&lt;&gt;"",$D408&lt;&gt;"",$E408&lt;&gt;"",$N408&lt;&gt;""),1,"")</f>
        <v/>
      </c>
    </row>
    <row r="409">
      <c r="A409" s="13" t="inlineStr">
        <is>
          <t>P-0405</t>
        </is>
      </c>
      <c r="B409" s="14">
        <f>IF(AND($U409="",$C409=""),"",IFERROR(INDEX(EvID,MATCH(INDEX(FormData,$W409,f_Event),EvID,0)),IFERROR(INDEX(EvID,MATCH(INDEX(FormData,$W409,f_Event),EvName,0)),IFERROR(INDEX(EvID,MATCH(INT($C409),EvDate,0)),""))))</f>
        <v/>
      </c>
      <c r="C409" s="15">
        <f>IF($W409="","",INDEX(FormData,$W409,f_Time))</f>
        <v/>
      </c>
      <c r="D409" s="14">
        <f>IF($W409="","",IFERROR(UPPER(LEFT(TRIM(INDEX(FormData,$W409,f_Name)),1)&amp;IFERROR(MID(TRIM(INDEX(FormData,$W409,f_Name)),FIND("^",SUBSTITUTE(TRIM(INDEX(FormData,$W409,f_Name))," ","^",LEN(TRIM(INDEX(FormData,$W409,f_Name)))-LEN(SUBSTITUTE(TRIM(INDEX(FormData,$W409,f_Name))," ",""))))+1,1),"")),""))</f>
        <v/>
      </c>
      <c r="E409" s="16">
        <f>IF($W409="","",IFERROR(IF(SUMPRODUCT(MAX((WhoKW&lt;&gt;"")*ISNUMBER(SEARCH(WhoKW,INDEX(FormData,$W409,f_Who)&amp;""))*(ROW(WhoKW)-MIN(ROW(WhoKW))+1)))=0,"",INDEX(WhoVal,SUMPRODUCT(MAX((WhoKW&lt;&gt;"")*ISNUMBER(SEARCH(WhoKW,INDEX(FormData,$W409,f_Who)&amp;""))*(ROW(WhoKW)-MIN(ROW(WhoKW))+1))))),""))</f>
        <v/>
      </c>
      <c r="F409" s="17">
        <f>IF($W409="","",TRIM(IFERROR(INDEX(FormData,$W409,f_Org1)&amp;"","")&amp;" "&amp;IFERROR(INDEX(FormData,$W409,f_Org2)&amp;"","")))</f>
        <v/>
      </c>
      <c r="G409" s="16">
        <f>IF($W409="","",IFERROR(INDEX(FormData,$W409,f_Region)&amp;"",""))</f>
        <v/>
      </c>
      <c r="H409" s="16">
        <f>IF($W409="","",IFERROR(IF(SUMPRODUCT(MAX((SitKW&lt;&gt;"")*ISNUMBER(SEARCH(SitKW,INDEX(FormData,$W409,f_Sit)&amp;""))*(ROW(SitKW)-MIN(ROW(SitKW))+1)))=0,"",INDEX(SitVal,SUMPRODUCT(MAX((SitKW&lt;&gt;"")*ISNUMBER(SEARCH(SitKW,INDEX(FormData,$W409,f_Sit)&amp;""))*(ROW(SitKW)-MIN(ROW(SitKW))+1))))),""))</f>
        <v/>
      </c>
      <c r="I409" s="14">
        <f>IF($W409="","",IFERROR(INDEX(FormData,$W409,f_Appr)&amp;"",""))</f>
        <v/>
      </c>
      <c r="J409" s="16">
        <f>IF($W409="","",IFERROR(INDEX(FormData,$W409,f_Trade)&amp;"",""))</f>
        <v/>
      </c>
      <c r="K409" s="16" t="n"/>
      <c r="L409" s="17" t="n"/>
      <c r="M409" s="16" t="n"/>
      <c r="N409" s="17" t="n"/>
      <c r="O409" s="14" t="n"/>
      <c r="P409" s="14" t="n"/>
      <c r="Q409" s="18" t="n"/>
      <c r="R409" s="18" t="n"/>
      <c r="S409" s="13">
        <f>IF($P409&lt;&gt;"✓","",IF($R409&lt;&gt;"","Done",IF($Q409="","Open — no date",IF($Q409&lt;TODAY(),"Overdue",IF($Q409-TODAY()&lt;=DueSoon,"Due soon","Scheduled")))))</f>
        <v/>
      </c>
      <c r="T409" s="14">
        <f>IF($W409="","",IFERROR(IF(INDEX(FormData,$W409,f_Consent)&amp;""="","",IF(ISNUMBER(SEARCH("yes",INDEX(FormData,$W409,f_Consent))),"Yes","No")),""))</f>
        <v/>
      </c>
      <c r="U409" s="14" t="n"/>
      <c r="V409" s="13">
        <f>IF($U409="","",IF($W409="","not found","✓"))</f>
        <v/>
      </c>
      <c r="W409">
        <f>IF($U409="","",IFERROR(MATCH($U409,INDEX(FormData,0,f_Id),0),IFERROR(MATCH(--$U409,INDEX(FormData,0,f_Id),0),IFERROR(MATCH($U409&amp;"",INDEX(FormData,0,f_Id),0),""))))</f>
        <v/>
      </c>
      <c r="X409">
        <f>IF(AND($B409&lt;&gt;"",$B409='Event Report'!$C$3),ROW(),"")</f>
        <v/>
      </c>
      <c r="Y409">
        <f>IF(AND($P409="✓",$R409=""),IF($Q409="",90000,$Q409)+ROW()/100000,"")</f>
        <v/>
      </c>
      <c r="Z409">
        <f>IF(OR($U409&lt;&gt;"",$D409&lt;&gt;"",$E409&lt;&gt;"",$N409&lt;&gt;""),1,"")</f>
        <v/>
      </c>
    </row>
    <row r="410">
      <c r="A410" s="13" t="inlineStr">
        <is>
          <t>P-0406</t>
        </is>
      </c>
      <c r="B410" s="14">
        <f>IF(AND($U410="",$C410=""),"",IFERROR(INDEX(EvID,MATCH(INDEX(FormData,$W410,f_Event),EvID,0)),IFERROR(INDEX(EvID,MATCH(INDEX(FormData,$W410,f_Event),EvName,0)),IFERROR(INDEX(EvID,MATCH(INT($C410),EvDate,0)),""))))</f>
        <v/>
      </c>
      <c r="C410" s="15">
        <f>IF($W410="","",INDEX(FormData,$W410,f_Time))</f>
        <v/>
      </c>
      <c r="D410" s="14">
        <f>IF($W410="","",IFERROR(UPPER(LEFT(TRIM(INDEX(FormData,$W410,f_Name)),1)&amp;IFERROR(MID(TRIM(INDEX(FormData,$W410,f_Name)),FIND("^",SUBSTITUTE(TRIM(INDEX(FormData,$W410,f_Name))," ","^",LEN(TRIM(INDEX(FormData,$W410,f_Name)))-LEN(SUBSTITUTE(TRIM(INDEX(FormData,$W410,f_Name))," ",""))))+1,1),"")),""))</f>
        <v/>
      </c>
      <c r="E410" s="16">
        <f>IF($W410="","",IFERROR(IF(SUMPRODUCT(MAX((WhoKW&lt;&gt;"")*ISNUMBER(SEARCH(WhoKW,INDEX(FormData,$W410,f_Who)&amp;""))*(ROW(WhoKW)-MIN(ROW(WhoKW))+1)))=0,"",INDEX(WhoVal,SUMPRODUCT(MAX((WhoKW&lt;&gt;"")*ISNUMBER(SEARCH(WhoKW,INDEX(FormData,$W410,f_Who)&amp;""))*(ROW(WhoKW)-MIN(ROW(WhoKW))+1))))),""))</f>
        <v/>
      </c>
      <c r="F410" s="17">
        <f>IF($W410="","",TRIM(IFERROR(INDEX(FormData,$W410,f_Org1)&amp;"","")&amp;" "&amp;IFERROR(INDEX(FormData,$W410,f_Org2)&amp;"","")))</f>
        <v/>
      </c>
      <c r="G410" s="16">
        <f>IF($W410="","",IFERROR(INDEX(FormData,$W410,f_Region)&amp;"",""))</f>
        <v/>
      </c>
      <c r="H410" s="16">
        <f>IF($W410="","",IFERROR(IF(SUMPRODUCT(MAX((SitKW&lt;&gt;"")*ISNUMBER(SEARCH(SitKW,INDEX(FormData,$W410,f_Sit)&amp;""))*(ROW(SitKW)-MIN(ROW(SitKW))+1)))=0,"",INDEX(SitVal,SUMPRODUCT(MAX((SitKW&lt;&gt;"")*ISNUMBER(SEARCH(SitKW,INDEX(FormData,$W410,f_Sit)&amp;""))*(ROW(SitKW)-MIN(ROW(SitKW))+1))))),""))</f>
        <v/>
      </c>
      <c r="I410" s="14">
        <f>IF($W410="","",IFERROR(INDEX(FormData,$W410,f_Appr)&amp;"",""))</f>
        <v/>
      </c>
      <c r="J410" s="16">
        <f>IF($W410="","",IFERROR(INDEX(FormData,$W410,f_Trade)&amp;"",""))</f>
        <v/>
      </c>
      <c r="K410" s="16" t="n"/>
      <c r="L410" s="17" t="n"/>
      <c r="M410" s="16" t="n"/>
      <c r="N410" s="17" t="n"/>
      <c r="O410" s="14" t="n"/>
      <c r="P410" s="14" t="n"/>
      <c r="Q410" s="18" t="n"/>
      <c r="R410" s="18" t="n"/>
      <c r="S410" s="13">
        <f>IF($P410&lt;&gt;"✓","",IF($R410&lt;&gt;"","Done",IF($Q410="","Open — no date",IF($Q410&lt;TODAY(),"Overdue",IF($Q410-TODAY()&lt;=DueSoon,"Due soon","Scheduled")))))</f>
        <v/>
      </c>
      <c r="T410" s="14">
        <f>IF($W410="","",IFERROR(IF(INDEX(FormData,$W410,f_Consent)&amp;""="","",IF(ISNUMBER(SEARCH("yes",INDEX(FormData,$W410,f_Consent))),"Yes","No")),""))</f>
        <v/>
      </c>
      <c r="U410" s="14" t="n"/>
      <c r="V410" s="13">
        <f>IF($U410="","",IF($W410="","not found","✓"))</f>
        <v/>
      </c>
      <c r="W410">
        <f>IF($U410="","",IFERROR(MATCH($U410,INDEX(FormData,0,f_Id),0),IFERROR(MATCH(--$U410,INDEX(FormData,0,f_Id),0),IFERROR(MATCH($U410&amp;"",INDEX(FormData,0,f_Id),0),""))))</f>
        <v/>
      </c>
      <c r="X410">
        <f>IF(AND($B410&lt;&gt;"",$B410='Event Report'!$C$3),ROW(),"")</f>
        <v/>
      </c>
      <c r="Y410">
        <f>IF(AND($P410="✓",$R410=""),IF($Q410="",90000,$Q410)+ROW()/100000,"")</f>
        <v/>
      </c>
      <c r="Z410">
        <f>IF(OR($U410&lt;&gt;"",$D410&lt;&gt;"",$E410&lt;&gt;"",$N410&lt;&gt;""),1,"")</f>
        <v/>
      </c>
    </row>
    <row r="411">
      <c r="A411" s="13" t="inlineStr">
        <is>
          <t>P-0407</t>
        </is>
      </c>
      <c r="B411" s="14">
        <f>IF(AND($U411="",$C411=""),"",IFERROR(INDEX(EvID,MATCH(INDEX(FormData,$W411,f_Event),EvID,0)),IFERROR(INDEX(EvID,MATCH(INDEX(FormData,$W411,f_Event),EvName,0)),IFERROR(INDEX(EvID,MATCH(INT($C411),EvDate,0)),""))))</f>
        <v/>
      </c>
      <c r="C411" s="15">
        <f>IF($W411="","",INDEX(FormData,$W411,f_Time))</f>
        <v/>
      </c>
      <c r="D411" s="14">
        <f>IF($W411="","",IFERROR(UPPER(LEFT(TRIM(INDEX(FormData,$W411,f_Name)),1)&amp;IFERROR(MID(TRIM(INDEX(FormData,$W411,f_Name)),FIND("^",SUBSTITUTE(TRIM(INDEX(FormData,$W411,f_Name))," ","^",LEN(TRIM(INDEX(FormData,$W411,f_Name)))-LEN(SUBSTITUTE(TRIM(INDEX(FormData,$W411,f_Name))," ",""))))+1,1),"")),""))</f>
        <v/>
      </c>
      <c r="E411" s="16">
        <f>IF($W411="","",IFERROR(IF(SUMPRODUCT(MAX((WhoKW&lt;&gt;"")*ISNUMBER(SEARCH(WhoKW,INDEX(FormData,$W411,f_Who)&amp;""))*(ROW(WhoKW)-MIN(ROW(WhoKW))+1)))=0,"",INDEX(WhoVal,SUMPRODUCT(MAX((WhoKW&lt;&gt;"")*ISNUMBER(SEARCH(WhoKW,INDEX(FormData,$W411,f_Who)&amp;""))*(ROW(WhoKW)-MIN(ROW(WhoKW))+1))))),""))</f>
        <v/>
      </c>
      <c r="F411" s="17">
        <f>IF($W411="","",TRIM(IFERROR(INDEX(FormData,$W411,f_Org1)&amp;"","")&amp;" "&amp;IFERROR(INDEX(FormData,$W411,f_Org2)&amp;"","")))</f>
        <v/>
      </c>
      <c r="G411" s="16">
        <f>IF($W411="","",IFERROR(INDEX(FormData,$W411,f_Region)&amp;"",""))</f>
        <v/>
      </c>
      <c r="H411" s="16">
        <f>IF($W411="","",IFERROR(IF(SUMPRODUCT(MAX((SitKW&lt;&gt;"")*ISNUMBER(SEARCH(SitKW,INDEX(FormData,$W411,f_Sit)&amp;""))*(ROW(SitKW)-MIN(ROW(SitKW))+1)))=0,"",INDEX(SitVal,SUMPRODUCT(MAX((SitKW&lt;&gt;"")*ISNUMBER(SEARCH(SitKW,INDEX(FormData,$W411,f_Sit)&amp;""))*(ROW(SitKW)-MIN(ROW(SitKW))+1))))),""))</f>
        <v/>
      </c>
      <c r="I411" s="14">
        <f>IF($W411="","",IFERROR(INDEX(FormData,$W411,f_Appr)&amp;"",""))</f>
        <v/>
      </c>
      <c r="J411" s="16">
        <f>IF($W411="","",IFERROR(INDEX(FormData,$W411,f_Trade)&amp;"",""))</f>
        <v/>
      </c>
      <c r="K411" s="16" t="n"/>
      <c r="L411" s="17" t="n"/>
      <c r="M411" s="16" t="n"/>
      <c r="N411" s="17" t="n"/>
      <c r="O411" s="14" t="n"/>
      <c r="P411" s="14" t="n"/>
      <c r="Q411" s="18" t="n"/>
      <c r="R411" s="18" t="n"/>
      <c r="S411" s="13">
        <f>IF($P411&lt;&gt;"✓","",IF($R411&lt;&gt;"","Done",IF($Q411="","Open — no date",IF($Q411&lt;TODAY(),"Overdue",IF($Q411-TODAY()&lt;=DueSoon,"Due soon","Scheduled")))))</f>
        <v/>
      </c>
      <c r="T411" s="14">
        <f>IF($W411="","",IFERROR(IF(INDEX(FormData,$W411,f_Consent)&amp;""="","",IF(ISNUMBER(SEARCH("yes",INDEX(FormData,$W411,f_Consent))),"Yes","No")),""))</f>
        <v/>
      </c>
      <c r="U411" s="14" t="n"/>
      <c r="V411" s="13">
        <f>IF($U411="","",IF($W411="","not found","✓"))</f>
        <v/>
      </c>
      <c r="W411">
        <f>IF($U411="","",IFERROR(MATCH($U411,INDEX(FormData,0,f_Id),0),IFERROR(MATCH(--$U411,INDEX(FormData,0,f_Id),0),IFERROR(MATCH($U411&amp;"",INDEX(FormData,0,f_Id),0),""))))</f>
        <v/>
      </c>
      <c r="X411">
        <f>IF(AND($B411&lt;&gt;"",$B411='Event Report'!$C$3),ROW(),"")</f>
        <v/>
      </c>
      <c r="Y411">
        <f>IF(AND($P411="✓",$R411=""),IF($Q411="",90000,$Q411)+ROW()/100000,"")</f>
        <v/>
      </c>
      <c r="Z411">
        <f>IF(OR($U411&lt;&gt;"",$D411&lt;&gt;"",$E411&lt;&gt;"",$N411&lt;&gt;""),1,"")</f>
        <v/>
      </c>
    </row>
    <row r="412">
      <c r="A412" s="13" t="inlineStr">
        <is>
          <t>P-0408</t>
        </is>
      </c>
      <c r="B412" s="14">
        <f>IF(AND($U412="",$C412=""),"",IFERROR(INDEX(EvID,MATCH(INDEX(FormData,$W412,f_Event),EvID,0)),IFERROR(INDEX(EvID,MATCH(INDEX(FormData,$W412,f_Event),EvName,0)),IFERROR(INDEX(EvID,MATCH(INT($C412),EvDate,0)),""))))</f>
        <v/>
      </c>
      <c r="C412" s="15">
        <f>IF($W412="","",INDEX(FormData,$W412,f_Time))</f>
        <v/>
      </c>
      <c r="D412" s="14">
        <f>IF($W412="","",IFERROR(UPPER(LEFT(TRIM(INDEX(FormData,$W412,f_Name)),1)&amp;IFERROR(MID(TRIM(INDEX(FormData,$W412,f_Name)),FIND("^",SUBSTITUTE(TRIM(INDEX(FormData,$W412,f_Name))," ","^",LEN(TRIM(INDEX(FormData,$W412,f_Name)))-LEN(SUBSTITUTE(TRIM(INDEX(FormData,$W412,f_Name))," ",""))))+1,1),"")),""))</f>
        <v/>
      </c>
      <c r="E412" s="16">
        <f>IF($W412="","",IFERROR(IF(SUMPRODUCT(MAX((WhoKW&lt;&gt;"")*ISNUMBER(SEARCH(WhoKW,INDEX(FormData,$W412,f_Who)&amp;""))*(ROW(WhoKW)-MIN(ROW(WhoKW))+1)))=0,"",INDEX(WhoVal,SUMPRODUCT(MAX((WhoKW&lt;&gt;"")*ISNUMBER(SEARCH(WhoKW,INDEX(FormData,$W412,f_Who)&amp;""))*(ROW(WhoKW)-MIN(ROW(WhoKW))+1))))),""))</f>
        <v/>
      </c>
      <c r="F412" s="17">
        <f>IF($W412="","",TRIM(IFERROR(INDEX(FormData,$W412,f_Org1)&amp;"","")&amp;" "&amp;IFERROR(INDEX(FormData,$W412,f_Org2)&amp;"","")))</f>
        <v/>
      </c>
      <c r="G412" s="16">
        <f>IF($W412="","",IFERROR(INDEX(FormData,$W412,f_Region)&amp;"",""))</f>
        <v/>
      </c>
      <c r="H412" s="16">
        <f>IF($W412="","",IFERROR(IF(SUMPRODUCT(MAX((SitKW&lt;&gt;"")*ISNUMBER(SEARCH(SitKW,INDEX(FormData,$W412,f_Sit)&amp;""))*(ROW(SitKW)-MIN(ROW(SitKW))+1)))=0,"",INDEX(SitVal,SUMPRODUCT(MAX((SitKW&lt;&gt;"")*ISNUMBER(SEARCH(SitKW,INDEX(FormData,$W412,f_Sit)&amp;""))*(ROW(SitKW)-MIN(ROW(SitKW))+1))))),""))</f>
        <v/>
      </c>
      <c r="I412" s="14">
        <f>IF($W412="","",IFERROR(INDEX(FormData,$W412,f_Appr)&amp;"",""))</f>
        <v/>
      </c>
      <c r="J412" s="16">
        <f>IF($W412="","",IFERROR(INDEX(FormData,$W412,f_Trade)&amp;"",""))</f>
        <v/>
      </c>
      <c r="K412" s="16" t="n"/>
      <c r="L412" s="17" t="n"/>
      <c r="M412" s="16" t="n"/>
      <c r="N412" s="17" t="n"/>
      <c r="O412" s="14" t="n"/>
      <c r="P412" s="14" t="n"/>
      <c r="Q412" s="18" t="n"/>
      <c r="R412" s="18" t="n"/>
      <c r="S412" s="13">
        <f>IF($P412&lt;&gt;"✓","",IF($R412&lt;&gt;"","Done",IF($Q412="","Open — no date",IF($Q412&lt;TODAY(),"Overdue",IF($Q412-TODAY()&lt;=DueSoon,"Due soon","Scheduled")))))</f>
        <v/>
      </c>
      <c r="T412" s="14">
        <f>IF($W412="","",IFERROR(IF(INDEX(FormData,$W412,f_Consent)&amp;""="","",IF(ISNUMBER(SEARCH("yes",INDEX(FormData,$W412,f_Consent))),"Yes","No")),""))</f>
        <v/>
      </c>
      <c r="U412" s="14" t="n"/>
      <c r="V412" s="13">
        <f>IF($U412="","",IF($W412="","not found","✓"))</f>
        <v/>
      </c>
      <c r="W412">
        <f>IF($U412="","",IFERROR(MATCH($U412,INDEX(FormData,0,f_Id),0),IFERROR(MATCH(--$U412,INDEX(FormData,0,f_Id),0),IFERROR(MATCH($U412&amp;"",INDEX(FormData,0,f_Id),0),""))))</f>
        <v/>
      </c>
      <c r="X412">
        <f>IF(AND($B412&lt;&gt;"",$B412='Event Report'!$C$3),ROW(),"")</f>
        <v/>
      </c>
      <c r="Y412">
        <f>IF(AND($P412="✓",$R412=""),IF($Q412="",90000,$Q412)+ROW()/100000,"")</f>
        <v/>
      </c>
      <c r="Z412">
        <f>IF(OR($U412&lt;&gt;"",$D412&lt;&gt;"",$E412&lt;&gt;"",$N412&lt;&gt;""),1,"")</f>
        <v/>
      </c>
    </row>
    <row r="413">
      <c r="A413" s="13" t="inlineStr">
        <is>
          <t>P-0409</t>
        </is>
      </c>
      <c r="B413" s="14">
        <f>IF(AND($U413="",$C413=""),"",IFERROR(INDEX(EvID,MATCH(INDEX(FormData,$W413,f_Event),EvID,0)),IFERROR(INDEX(EvID,MATCH(INDEX(FormData,$W413,f_Event),EvName,0)),IFERROR(INDEX(EvID,MATCH(INT($C413),EvDate,0)),""))))</f>
        <v/>
      </c>
      <c r="C413" s="15">
        <f>IF($W413="","",INDEX(FormData,$W413,f_Time))</f>
        <v/>
      </c>
      <c r="D413" s="14">
        <f>IF($W413="","",IFERROR(UPPER(LEFT(TRIM(INDEX(FormData,$W413,f_Name)),1)&amp;IFERROR(MID(TRIM(INDEX(FormData,$W413,f_Name)),FIND("^",SUBSTITUTE(TRIM(INDEX(FormData,$W413,f_Name))," ","^",LEN(TRIM(INDEX(FormData,$W413,f_Name)))-LEN(SUBSTITUTE(TRIM(INDEX(FormData,$W413,f_Name))," ",""))))+1,1),"")),""))</f>
        <v/>
      </c>
      <c r="E413" s="16">
        <f>IF($W413="","",IFERROR(IF(SUMPRODUCT(MAX((WhoKW&lt;&gt;"")*ISNUMBER(SEARCH(WhoKW,INDEX(FormData,$W413,f_Who)&amp;""))*(ROW(WhoKW)-MIN(ROW(WhoKW))+1)))=0,"",INDEX(WhoVal,SUMPRODUCT(MAX((WhoKW&lt;&gt;"")*ISNUMBER(SEARCH(WhoKW,INDEX(FormData,$W413,f_Who)&amp;""))*(ROW(WhoKW)-MIN(ROW(WhoKW))+1))))),""))</f>
        <v/>
      </c>
      <c r="F413" s="17">
        <f>IF($W413="","",TRIM(IFERROR(INDEX(FormData,$W413,f_Org1)&amp;"","")&amp;" "&amp;IFERROR(INDEX(FormData,$W413,f_Org2)&amp;"","")))</f>
        <v/>
      </c>
      <c r="G413" s="16">
        <f>IF($W413="","",IFERROR(INDEX(FormData,$W413,f_Region)&amp;"",""))</f>
        <v/>
      </c>
      <c r="H413" s="16">
        <f>IF($W413="","",IFERROR(IF(SUMPRODUCT(MAX((SitKW&lt;&gt;"")*ISNUMBER(SEARCH(SitKW,INDEX(FormData,$W413,f_Sit)&amp;""))*(ROW(SitKW)-MIN(ROW(SitKW))+1)))=0,"",INDEX(SitVal,SUMPRODUCT(MAX((SitKW&lt;&gt;"")*ISNUMBER(SEARCH(SitKW,INDEX(FormData,$W413,f_Sit)&amp;""))*(ROW(SitKW)-MIN(ROW(SitKW))+1))))),""))</f>
        <v/>
      </c>
      <c r="I413" s="14">
        <f>IF($W413="","",IFERROR(INDEX(FormData,$W413,f_Appr)&amp;"",""))</f>
        <v/>
      </c>
      <c r="J413" s="16">
        <f>IF($W413="","",IFERROR(INDEX(FormData,$W413,f_Trade)&amp;"",""))</f>
        <v/>
      </c>
      <c r="K413" s="16" t="n"/>
      <c r="L413" s="17" t="n"/>
      <c r="M413" s="16" t="n"/>
      <c r="N413" s="17" t="n"/>
      <c r="O413" s="14" t="n"/>
      <c r="P413" s="14" t="n"/>
      <c r="Q413" s="18" t="n"/>
      <c r="R413" s="18" t="n"/>
      <c r="S413" s="13">
        <f>IF($P413&lt;&gt;"✓","",IF($R413&lt;&gt;"","Done",IF($Q413="","Open — no date",IF($Q413&lt;TODAY(),"Overdue",IF($Q413-TODAY()&lt;=DueSoon,"Due soon","Scheduled")))))</f>
        <v/>
      </c>
      <c r="T413" s="14">
        <f>IF($W413="","",IFERROR(IF(INDEX(FormData,$W413,f_Consent)&amp;""="","",IF(ISNUMBER(SEARCH("yes",INDEX(FormData,$W413,f_Consent))),"Yes","No")),""))</f>
        <v/>
      </c>
      <c r="U413" s="14" t="n"/>
      <c r="V413" s="13">
        <f>IF($U413="","",IF($W413="","not found","✓"))</f>
        <v/>
      </c>
      <c r="W413">
        <f>IF($U413="","",IFERROR(MATCH($U413,INDEX(FormData,0,f_Id),0),IFERROR(MATCH(--$U413,INDEX(FormData,0,f_Id),0),IFERROR(MATCH($U413&amp;"",INDEX(FormData,0,f_Id),0),""))))</f>
        <v/>
      </c>
      <c r="X413">
        <f>IF(AND($B413&lt;&gt;"",$B413='Event Report'!$C$3),ROW(),"")</f>
        <v/>
      </c>
      <c r="Y413">
        <f>IF(AND($P413="✓",$R413=""),IF($Q413="",90000,$Q413)+ROW()/100000,"")</f>
        <v/>
      </c>
      <c r="Z413">
        <f>IF(OR($U413&lt;&gt;"",$D413&lt;&gt;"",$E413&lt;&gt;"",$N413&lt;&gt;""),1,"")</f>
        <v/>
      </c>
    </row>
    <row r="414">
      <c r="A414" s="13" t="inlineStr">
        <is>
          <t>P-0410</t>
        </is>
      </c>
      <c r="B414" s="14">
        <f>IF(AND($U414="",$C414=""),"",IFERROR(INDEX(EvID,MATCH(INDEX(FormData,$W414,f_Event),EvID,0)),IFERROR(INDEX(EvID,MATCH(INDEX(FormData,$W414,f_Event),EvName,0)),IFERROR(INDEX(EvID,MATCH(INT($C414),EvDate,0)),""))))</f>
        <v/>
      </c>
      <c r="C414" s="15">
        <f>IF($W414="","",INDEX(FormData,$W414,f_Time))</f>
        <v/>
      </c>
      <c r="D414" s="14">
        <f>IF($W414="","",IFERROR(UPPER(LEFT(TRIM(INDEX(FormData,$W414,f_Name)),1)&amp;IFERROR(MID(TRIM(INDEX(FormData,$W414,f_Name)),FIND("^",SUBSTITUTE(TRIM(INDEX(FormData,$W414,f_Name))," ","^",LEN(TRIM(INDEX(FormData,$W414,f_Name)))-LEN(SUBSTITUTE(TRIM(INDEX(FormData,$W414,f_Name))," ",""))))+1,1),"")),""))</f>
        <v/>
      </c>
      <c r="E414" s="16">
        <f>IF($W414="","",IFERROR(IF(SUMPRODUCT(MAX((WhoKW&lt;&gt;"")*ISNUMBER(SEARCH(WhoKW,INDEX(FormData,$W414,f_Who)&amp;""))*(ROW(WhoKW)-MIN(ROW(WhoKW))+1)))=0,"",INDEX(WhoVal,SUMPRODUCT(MAX((WhoKW&lt;&gt;"")*ISNUMBER(SEARCH(WhoKW,INDEX(FormData,$W414,f_Who)&amp;""))*(ROW(WhoKW)-MIN(ROW(WhoKW))+1))))),""))</f>
        <v/>
      </c>
      <c r="F414" s="17">
        <f>IF($W414="","",TRIM(IFERROR(INDEX(FormData,$W414,f_Org1)&amp;"","")&amp;" "&amp;IFERROR(INDEX(FormData,$W414,f_Org2)&amp;"","")))</f>
        <v/>
      </c>
      <c r="G414" s="16">
        <f>IF($W414="","",IFERROR(INDEX(FormData,$W414,f_Region)&amp;"",""))</f>
        <v/>
      </c>
      <c r="H414" s="16">
        <f>IF($W414="","",IFERROR(IF(SUMPRODUCT(MAX((SitKW&lt;&gt;"")*ISNUMBER(SEARCH(SitKW,INDEX(FormData,$W414,f_Sit)&amp;""))*(ROW(SitKW)-MIN(ROW(SitKW))+1)))=0,"",INDEX(SitVal,SUMPRODUCT(MAX((SitKW&lt;&gt;"")*ISNUMBER(SEARCH(SitKW,INDEX(FormData,$W414,f_Sit)&amp;""))*(ROW(SitKW)-MIN(ROW(SitKW))+1))))),""))</f>
        <v/>
      </c>
      <c r="I414" s="14">
        <f>IF($W414="","",IFERROR(INDEX(FormData,$W414,f_Appr)&amp;"",""))</f>
        <v/>
      </c>
      <c r="J414" s="16">
        <f>IF($W414="","",IFERROR(INDEX(FormData,$W414,f_Trade)&amp;"",""))</f>
        <v/>
      </c>
      <c r="K414" s="16" t="n"/>
      <c r="L414" s="17" t="n"/>
      <c r="M414" s="16" t="n"/>
      <c r="N414" s="17" t="n"/>
      <c r="O414" s="14" t="n"/>
      <c r="P414" s="14" t="n"/>
      <c r="Q414" s="18" t="n"/>
      <c r="R414" s="18" t="n"/>
      <c r="S414" s="13">
        <f>IF($P414&lt;&gt;"✓","",IF($R414&lt;&gt;"","Done",IF($Q414="","Open — no date",IF($Q414&lt;TODAY(),"Overdue",IF($Q414-TODAY()&lt;=DueSoon,"Due soon","Scheduled")))))</f>
        <v/>
      </c>
      <c r="T414" s="14">
        <f>IF($W414="","",IFERROR(IF(INDEX(FormData,$W414,f_Consent)&amp;""="","",IF(ISNUMBER(SEARCH("yes",INDEX(FormData,$W414,f_Consent))),"Yes","No")),""))</f>
        <v/>
      </c>
      <c r="U414" s="14" t="n"/>
      <c r="V414" s="13">
        <f>IF($U414="","",IF($W414="","not found","✓"))</f>
        <v/>
      </c>
      <c r="W414">
        <f>IF($U414="","",IFERROR(MATCH($U414,INDEX(FormData,0,f_Id),0),IFERROR(MATCH(--$U414,INDEX(FormData,0,f_Id),0),IFERROR(MATCH($U414&amp;"",INDEX(FormData,0,f_Id),0),""))))</f>
        <v/>
      </c>
      <c r="X414">
        <f>IF(AND($B414&lt;&gt;"",$B414='Event Report'!$C$3),ROW(),"")</f>
        <v/>
      </c>
      <c r="Y414">
        <f>IF(AND($P414="✓",$R414=""),IF($Q414="",90000,$Q414)+ROW()/100000,"")</f>
        <v/>
      </c>
      <c r="Z414">
        <f>IF(OR($U414&lt;&gt;"",$D414&lt;&gt;"",$E414&lt;&gt;"",$N414&lt;&gt;""),1,"")</f>
        <v/>
      </c>
    </row>
    <row r="415">
      <c r="A415" s="13" t="inlineStr">
        <is>
          <t>P-0411</t>
        </is>
      </c>
      <c r="B415" s="14">
        <f>IF(AND($U415="",$C415=""),"",IFERROR(INDEX(EvID,MATCH(INDEX(FormData,$W415,f_Event),EvID,0)),IFERROR(INDEX(EvID,MATCH(INDEX(FormData,$W415,f_Event),EvName,0)),IFERROR(INDEX(EvID,MATCH(INT($C415),EvDate,0)),""))))</f>
        <v/>
      </c>
      <c r="C415" s="15">
        <f>IF($W415="","",INDEX(FormData,$W415,f_Time))</f>
        <v/>
      </c>
      <c r="D415" s="14">
        <f>IF($W415="","",IFERROR(UPPER(LEFT(TRIM(INDEX(FormData,$W415,f_Name)),1)&amp;IFERROR(MID(TRIM(INDEX(FormData,$W415,f_Name)),FIND("^",SUBSTITUTE(TRIM(INDEX(FormData,$W415,f_Name))," ","^",LEN(TRIM(INDEX(FormData,$W415,f_Name)))-LEN(SUBSTITUTE(TRIM(INDEX(FormData,$W415,f_Name))," ",""))))+1,1),"")),""))</f>
        <v/>
      </c>
      <c r="E415" s="16">
        <f>IF($W415="","",IFERROR(IF(SUMPRODUCT(MAX((WhoKW&lt;&gt;"")*ISNUMBER(SEARCH(WhoKW,INDEX(FormData,$W415,f_Who)&amp;""))*(ROW(WhoKW)-MIN(ROW(WhoKW))+1)))=0,"",INDEX(WhoVal,SUMPRODUCT(MAX((WhoKW&lt;&gt;"")*ISNUMBER(SEARCH(WhoKW,INDEX(FormData,$W415,f_Who)&amp;""))*(ROW(WhoKW)-MIN(ROW(WhoKW))+1))))),""))</f>
        <v/>
      </c>
      <c r="F415" s="17">
        <f>IF($W415="","",TRIM(IFERROR(INDEX(FormData,$W415,f_Org1)&amp;"","")&amp;" "&amp;IFERROR(INDEX(FormData,$W415,f_Org2)&amp;"","")))</f>
        <v/>
      </c>
      <c r="G415" s="16">
        <f>IF($W415="","",IFERROR(INDEX(FormData,$W415,f_Region)&amp;"",""))</f>
        <v/>
      </c>
      <c r="H415" s="16">
        <f>IF($W415="","",IFERROR(IF(SUMPRODUCT(MAX((SitKW&lt;&gt;"")*ISNUMBER(SEARCH(SitKW,INDEX(FormData,$W415,f_Sit)&amp;""))*(ROW(SitKW)-MIN(ROW(SitKW))+1)))=0,"",INDEX(SitVal,SUMPRODUCT(MAX((SitKW&lt;&gt;"")*ISNUMBER(SEARCH(SitKW,INDEX(FormData,$W415,f_Sit)&amp;""))*(ROW(SitKW)-MIN(ROW(SitKW))+1))))),""))</f>
        <v/>
      </c>
      <c r="I415" s="14">
        <f>IF($W415="","",IFERROR(INDEX(FormData,$W415,f_Appr)&amp;"",""))</f>
        <v/>
      </c>
      <c r="J415" s="16">
        <f>IF($W415="","",IFERROR(INDEX(FormData,$W415,f_Trade)&amp;"",""))</f>
        <v/>
      </c>
      <c r="K415" s="16" t="n"/>
      <c r="L415" s="17" t="n"/>
      <c r="M415" s="16" t="n"/>
      <c r="N415" s="17" t="n"/>
      <c r="O415" s="14" t="n"/>
      <c r="P415" s="14" t="n"/>
      <c r="Q415" s="18" t="n"/>
      <c r="R415" s="18" t="n"/>
      <c r="S415" s="13">
        <f>IF($P415&lt;&gt;"✓","",IF($R415&lt;&gt;"","Done",IF($Q415="","Open — no date",IF($Q415&lt;TODAY(),"Overdue",IF($Q415-TODAY()&lt;=DueSoon,"Due soon","Scheduled")))))</f>
        <v/>
      </c>
      <c r="T415" s="14">
        <f>IF($W415="","",IFERROR(IF(INDEX(FormData,$W415,f_Consent)&amp;""="","",IF(ISNUMBER(SEARCH("yes",INDEX(FormData,$W415,f_Consent))),"Yes","No")),""))</f>
        <v/>
      </c>
      <c r="U415" s="14" t="n"/>
      <c r="V415" s="13">
        <f>IF($U415="","",IF($W415="","not found","✓"))</f>
        <v/>
      </c>
      <c r="W415">
        <f>IF($U415="","",IFERROR(MATCH($U415,INDEX(FormData,0,f_Id),0),IFERROR(MATCH(--$U415,INDEX(FormData,0,f_Id),0),IFERROR(MATCH($U415&amp;"",INDEX(FormData,0,f_Id),0),""))))</f>
        <v/>
      </c>
      <c r="X415">
        <f>IF(AND($B415&lt;&gt;"",$B415='Event Report'!$C$3),ROW(),"")</f>
        <v/>
      </c>
      <c r="Y415">
        <f>IF(AND($P415="✓",$R415=""),IF($Q415="",90000,$Q415)+ROW()/100000,"")</f>
        <v/>
      </c>
      <c r="Z415">
        <f>IF(OR($U415&lt;&gt;"",$D415&lt;&gt;"",$E415&lt;&gt;"",$N415&lt;&gt;""),1,"")</f>
        <v/>
      </c>
    </row>
    <row r="416">
      <c r="A416" s="13" t="inlineStr">
        <is>
          <t>P-0412</t>
        </is>
      </c>
      <c r="B416" s="14">
        <f>IF(AND($U416="",$C416=""),"",IFERROR(INDEX(EvID,MATCH(INDEX(FormData,$W416,f_Event),EvID,0)),IFERROR(INDEX(EvID,MATCH(INDEX(FormData,$W416,f_Event),EvName,0)),IFERROR(INDEX(EvID,MATCH(INT($C416),EvDate,0)),""))))</f>
        <v/>
      </c>
      <c r="C416" s="15">
        <f>IF($W416="","",INDEX(FormData,$W416,f_Time))</f>
        <v/>
      </c>
      <c r="D416" s="14">
        <f>IF($W416="","",IFERROR(UPPER(LEFT(TRIM(INDEX(FormData,$W416,f_Name)),1)&amp;IFERROR(MID(TRIM(INDEX(FormData,$W416,f_Name)),FIND("^",SUBSTITUTE(TRIM(INDEX(FormData,$W416,f_Name))," ","^",LEN(TRIM(INDEX(FormData,$W416,f_Name)))-LEN(SUBSTITUTE(TRIM(INDEX(FormData,$W416,f_Name))," ",""))))+1,1),"")),""))</f>
        <v/>
      </c>
      <c r="E416" s="16">
        <f>IF($W416="","",IFERROR(IF(SUMPRODUCT(MAX((WhoKW&lt;&gt;"")*ISNUMBER(SEARCH(WhoKW,INDEX(FormData,$W416,f_Who)&amp;""))*(ROW(WhoKW)-MIN(ROW(WhoKW))+1)))=0,"",INDEX(WhoVal,SUMPRODUCT(MAX((WhoKW&lt;&gt;"")*ISNUMBER(SEARCH(WhoKW,INDEX(FormData,$W416,f_Who)&amp;""))*(ROW(WhoKW)-MIN(ROW(WhoKW))+1))))),""))</f>
        <v/>
      </c>
      <c r="F416" s="17">
        <f>IF($W416="","",TRIM(IFERROR(INDEX(FormData,$W416,f_Org1)&amp;"","")&amp;" "&amp;IFERROR(INDEX(FormData,$W416,f_Org2)&amp;"","")))</f>
        <v/>
      </c>
      <c r="G416" s="16">
        <f>IF($W416="","",IFERROR(INDEX(FormData,$W416,f_Region)&amp;"",""))</f>
        <v/>
      </c>
      <c r="H416" s="16">
        <f>IF($W416="","",IFERROR(IF(SUMPRODUCT(MAX((SitKW&lt;&gt;"")*ISNUMBER(SEARCH(SitKW,INDEX(FormData,$W416,f_Sit)&amp;""))*(ROW(SitKW)-MIN(ROW(SitKW))+1)))=0,"",INDEX(SitVal,SUMPRODUCT(MAX((SitKW&lt;&gt;"")*ISNUMBER(SEARCH(SitKW,INDEX(FormData,$W416,f_Sit)&amp;""))*(ROW(SitKW)-MIN(ROW(SitKW))+1))))),""))</f>
        <v/>
      </c>
      <c r="I416" s="14">
        <f>IF($W416="","",IFERROR(INDEX(FormData,$W416,f_Appr)&amp;"",""))</f>
        <v/>
      </c>
      <c r="J416" s="16">
        <f>IF($W416="","",IFERROR(INDEX(FormData,$W416,f_Trade)&amp;"",""))</f>
        <v/>
      </c>
      <c r="K416" s="16" t="n"/>
      <c r="L416" s="17" t="n"/>
      <c r="M416" s="16" t="n"/>
      <c r="N416" s="17" t="n"/>
      <c r="O416" s="14" t="n"/>
      <c r="P416" s="14" t="n"/>
      <c r="Q416" s="18" t="n"/>
      <c r="R416" s="18" t="n"/>
      <c r="S416" s="13">
        <f>IF($P416&lt;&gt;"✓","",IF($R416&lt;&gt;"","Done",IF($Q416="","Open — no date",IF($Q416&lt;TODAY(),"Overdue",IF($Q416-TODAY()&lt;=DueSoon,"Due soon","Scheduled")))))</f>
        <v/>
      </c>
      <c r="T416" s="14">
        <f>IF($W416="","",IFERROR(IF(INDEX(FormData,$W416,f_Consent)&amp;""="","",IF(ISNUMBER(SEARCH("yes",INDEX(FormData,$W416,f_Consent))),"Yes","No")),""))</f>
        <v/>
      </c>
      <c r="U416" s="14" t="n"/>
      <c r="V416" s="13">
        <f>IF($U416="","",IF($W416="","not found","✓"))</f>
        <v/>
      </c>
      <c r="W416">
        <f>IF($U416="","",IFERROR(MATCH($U416,INDEX(FormData,0,f_Id),0),IFERROR(MATCH(--$U416,INDEX(FormData,0,f_Id),0),IFERROR(MATCH($U416&amp;"",INDEX(FormData,0,f_Id),0),""))))</f>
        <v/>
      </c>
      <c r="X416">
        <f>IF(AND($B416&lt;&gt;"",$B416='Event Report'!$C$3),ROW(),"")</f>
        <v/>
      </c>
      <c r="Y416">
        <f>IF(AND($P416="✓",$R416=""),IF($Q416="",90000,$Q416)+ROW()/100000,"")</f>
        <v/>
      </c>
      <c r="Z416">
        <f>IF(OR($U416&lt;&gt;"",$D416&lt;&gt;"",$E416&lt;&gt;"",$N416&lt;&gt;""),1,"")</f>
        <v/>
      </c>
    </row>
    <row r="417">
      <c r="A417" s="13" t="inlineStr">
        <is>
          <t>P-0413</t>
        </is>
      </c>
      <c r="B417" s="14">
        <f>IF(AND($U417="",$C417=""),"",IFERROR(INDEX(EvID,MATCH(INDEX(FormData,$W417,f_Event),EvID,0)),IFERROR(INDEX(EvID,MATCH(INDEX(FormData,$W417,f_Event),EvName,0)),IFERROR(INDEX(EvID,MATCH(INT($C417),EvDate,0)),""))))</f>
        <v/>
      </c>
      <c r="C417" s="15">
        <f>IF($W417="","",INDEX(FormData,$W417,f_Time))</f>
        <v/>
      </c>
      <c r="D417" s="14">
        <f>IF($W417="","",IFERROR(UPPER(LEFT(TRIM(INDEX(FormData,$W417,f_Name)),1)&amp;IFERROR(MID(TRIM(INDEX(FormData,$W417,f_Name)),FIND("^",SUBSTITUTE(TRIM(INDEX(FormData,$W417,f_Name))," ","^",LEN(TRIM(INDEX(FormData,$W417,f_Name)))-LEN(SUBSTITUTE(TRIM(INDEX(FormData,$W417,f_Name))," ",""))))+1,1),"")),""))</f>
        <v/>
      </c>
      <c r="E417" s="16">
        <f>IF($W417="","",IFERROR(IF(SUMPRODUCT(MAX((WhoKW&lt;&gt;"")*ISNUMBER(SEARCH(WhoKW,INDEX(FormData,$W417,f_Who)&amp;""))*(ROW(WhoKW)-MIN(ROW(WhoKW))+1)))=0,"",INDEX(WhoVal,SUMPRODUCT(MAX((WhoKW&lt;&gt;"")*ISNUMBER(SEARCH(WhoKW,INDEX(FormData,$W417,f_Who)&amp;""))*(ROW(WhoKW)-MIN(ROW(WhoKW))+1))))),""))</f>
        <v/>
      </c>
      <c r="F417" s="17">
        <f>IF($W417="","",TRIM(IFERROR(INDEX(FormData,$W417,f_Org1)&amp;"","")&amp;" "&amp;IFERROR(INDEX(FormData,$W417,f_Org2)&amp;"","")))</f>
        <v/>
      </c>
      <c r="G417" s="16">
        <f>IF($W417="","",IFERROR(INDEX(FormData,$W417,f_Region)&amp;"",""))</f>
        <v/>
      </c>
      <c r="H417" s="16">
        <f>IF($W417="","",IFERROR(IF(SUMPRODUCT(MAX((SitKW&lt;&gt;"")*ISNUMBER(SEARCH(SitKW,INDEX(FormData,$W417,f_Sit)&amp;""))*(ROW(SitKW)-MIN(ROW(SitKW))+1)))=0,"",INDEX(SitVal,SUMPRODUCT(MAX((SitKW&lt;&gt;"")*ISNUMBER(SEARCH(SitKW,INDEX(FormData,$W417,f_Sit)&amp;""))*(ROW(SitKW)-MIN(ROW(SitKW))+1))))),""))</f>
        <v/>
      </c>
      <c r="I417" s="14">
        <f>IF($W417="","",IFERROR(INDEX(FormData,$W417,f_Appr)&amp;"",""))</f>
        <v/>
      </c>
      <c r="J417" s="16">
        <f>IF($W417="","",IFERROR(INDEX(FormData,$W417,f_Trade)&amp;"",""))</f>
        <v/>
      </c>
      <c r="K417" s="16" t="n"/>
      <c r="L417" s="17" t="n"/>
      <c r="M417" s="16" t="n"/>
      <c r="N417" s="17" t="n"/>
      <c r="O417" s="14" t="n"/>
      <c r="P417" s="14" t="n"/>
      <c r="Q417" s="18" t="n"/>
      <c r="R417" s="18" t="n"/>
      <c r="S417" s="13">
        <f>IF($P417&lt;&gt;"✓","",IF($R417&lt;&gt;"","Done",IF($Q417="","Open — no date",IF($Q417&lt;TODAY(),"Overdue",IF($Q417-TODAY()&lt;=DueSoon,"Due soon","Scheduled")))))</f>
        <v/>
      </c>
      <c r="T417" s="14">
        <f>IF($W417="","",IFERROR(IF(INDEX(FormData,$W417,f_Consent)&amp;""="","",IF(ISNUMBER(SEARCH("yes",INDEX(FormData,$W417,f_Consent))),"Yes","No")),""))</f>
        <v/>
      </c>
      <c r="U417" s="14" t="n"/>
      <c r="V417" s="13">
        <f>IF($U417="","",IF($W417="","not found","✓"))</f>
        <v/>
      </c>
      <c r="W417">
        <f>IF($U417="","",IFERROR(MATCH($U417,INDEX(FormData,0,f_Id),0),IFERROR(MATCH(--$U417,INDEX(FormData,0,f_Id),0),IFERROR(MATCH($U417&amp;"",INDEX(FormData,0,f_Id),0),""))))</f>
        <v/>
      </c>
      <c r="X417">
        <f>IF(AND($B417&lt;&gt;"",$B417='Event Report'!$C$3),ROW(),"")</f>
        <v/>
      </c>
      <c r="Y417">
        <f>IF(AND($P417="✓",$R417=""),IF($Q417="",90000,$Q417)+ROW()/100000,"")</f>
        <v/>
      </c>
      <c r="Z417">
        <f>IF(OR($U417&lt;&gt;"",$D417&lt;&gt;"",$E417&lt;&gt;"",$N417&lt;&gt;""),1,"")</f>
        <v/>
      </c>
    </row>
    <row r="418">
      <c r="A418" s="13" t="inlineStr">
        <is>
          <t>P-0414</t>
        </is>
      </c>
      <c r="B418" s="14">
        <f>IF(AND($U418="",$C418=""),"",IFERROR(INDEX(EvID,MATCH(INDEX(FormData,$W418,f_Event),EvID,0)),IFERROR(INDEX(EvID,MATCH(INDEX(FormData,$W418,f_Event),EvName,0)),IFERROR(INDEX(EvID,MATCH(INT($C418),EvDate,0)),""))))</f>
        <v/>
      </c>
      <c r="C418" s="15">
        <f>IF($W418="","",INDEX(FormData,$W418,f_Time))</f>
        <v/>
      </c>
      <c r="D418" s="14">
        <f>IF($W418="","",IFERROR(UPPER(LEFT(TRIM(INDEX(FormData,$W418,f_Name)),1)&amp;IFERROR(MID(TRIM(INDEX(FormData,$W418,f_Name)),FIND("^",SUBSTITUTE(TRIM(INDEX(FormData,$W418,f_Name))," ","^",LEN(TRIM(INDEX(FormData,$W418,f_Name)))-LEN(SUBSTITUTE(TRIM(INDEX(FormData,$W418,f_Name))," ",""))))+1,1),"")),""))</f>
        <v/>
      </c>
      <c r="E418" s="16">
        <f>IF($W418="","",IFERROR(IF(SUMPRODUCT(MAX((WhoKW&lt;&gt;"")*ISNUMBER(SEARCH(WhoKW,INDEX(FormData,$W418,f_Who)&amp;""))*(ROW(WhoKW)-MIN(ROW(WhoKW))+1)))=0,"",INDEX(WhoVal,SUMPRODUCT(MAX((WhoKW&lt;&gt;"")*ISNUMBER(SEARCH(WhoKW,INDEX(FormData,$W418,f_Who)&amp;""))*(ROW(WhoKW)-MIN(ROW(WhoKW))+1))))),""))</f>
        <v/>
      </c>
      <c r="F418" s="17">
        <f>IF($W418="","",TRIM(IFERROR(INDEX(FormData,$W418,f_Org1)&amp;"","")&amp;" "&amp;IFERROR(INDEX(FormData,$W418,f_Org2)&amp;"","")))</f>
        <v/>
      </c>
      <c r="G418" s="16">
        <f>IF($W418="","",IFERROR(INDEX(FormData,$W418,f_Region)&amp;"",""))</f>
        <v/>
      </c>
      <c r="H418" s="16">
        <f>IF($W418="","",IFERROR(IF(SUMPRODUCT(MAX((SitKW&lt;&gt;"")*ISNUMBER(SEARCH(SitKW,INDEX(FormData,$W418,f_Sit)&amp;""))*(ROW(SitKW)-MIN(ROW(SitKW))+1)))=0,"",INDEX(SitVal,SUMPRODUCT(MAX((SitKW&lt;&gt;"")*ISNUMBER(SEARCH(SitKW,INDEX(FormData,$W418,f_Sit)&amp;""))*(ROW(SitKW)-MIN(ROW(SitKW))+1))))),""))</f>
        <v/>
      </c>
      <c r="I418" s="14">
        <f>IF($W418="","",IFERROR(INDEX(FormData,$W418,f_Appr)&amp;"",""))</f>
        <v/>
      </c>
      <c r="J418" s="16">
        <f>IF($W418="","",IFERROR(INDEX(FormData,$W418,f_Trade)&amp;"",""))</f>
        <v/>
      </c>
      <c r="K418" s="16" t="n"/>
      <c r="L418" s="17" t="n"/>
      <c r="M418" s="16" t="n"/>
      <c r="N418" s="17" t="n"/>
      <c r="O418" s="14" t="n"/>
      <c r="P418" s="14" t="n"/>
      <c r="Q418" s="18" t="n"/>
      <c r="R418" s="18" t="n"/>
      <c r="S418" s="13">
        <f>IF($P418&lt;&gt;"✓","",IF($R418&lt;&gt;"","Done",IF($Q418="","Open — no date",IF($Q418&lt;TODAY(),"Overdue",IF($Q418-TODAY()&lt;=DueSoon,"Due soon","Scheduled")))))</f>
        <v/>
      </c>
      <c r="T418" s="14">
        <f>IF($W418="","",IFERROR(IF(INDEX(FormData,$W418,f_Consent)&amp;""="","",IF(ISNUMBER(SEARCH("yes",INDEX(FormData,$W418,f_Consent))),"Yes","No")),""))</f>
        <v/>
      </c>
      <c r="U418" s="14" t="n"/>
      <c r="V418" s="13">
        <f>IF($U418="","",IF($W418="","not found","✓"))</f>
        <v/>
      </c>
      <c r="W418">
        <f>IF($U418="","",IFERROR(MATCH($U418,INDEX(FormData,0,f_Id),0),IFERROR(MATCH(--$U418,INDEX(FormData,0,f_Id),0),IFERROR(MATCH($U418&amp;"",INDEX(FormData,0,f_Id),0),""))))</f>
        <v/>
      </c>
      <c r="X418">
        <f>IF(AND($B418&lt;&gt;"",$B418='Event Report'!$C$3),ROW(),"")</f>
        <v/>
      </c>
      <c r="Y418">
        <f>IF(AND($P418="✓",$R418=""),IF($Q418="",90000,$Q418)+ROW()/100000,"")</f>
        <v/>
      </c>
      <c r="Z418">
        <f>IF(OR($U418&lt;&gt;"",$D418&lt;&gt;"",$E418&lt;&gt;"",$N418&lt;&gt;""),1,"")</f>
        <v/>
      </c>
    </row>
    <row r="419">
      <c r="A419" s="13" t="inlineStr">
        <is>
          <t>P-0415</t>
        </is>
      </c>
      <c r="B419" s="14">
        <f>IF(AND($U419="",$C419=""),"",IFERROR(INDEX(EvID,MATCH(INDEX(FormData,$W419,f_Event),EvID,0)),IFERROR(INDEX(EvID,MATCH(INDEX(FormData,$W419,f_Event),EvName,0)),IFERROR(INDEX(EvID,MATCH(INT($C419),EvDate,0)),""))))</f>
        <v/>
      </c>
      <c r="C419" s="15">
        <f>IF($W419="","",INDEX(FormData,$W419,f_Time))</f>
        <v/>
      </c>
      <c r="D419" s="14">
        <f>IF($W419="","",IFERROR(UPPER(LEFT(TRIM(INDEX(FormData,$W419,f_Name)),1)&amp;IFERROR(MID(TRIM(INDEX(FormData,$W419,f_Name)),FIND("^",SUBSTITUTE(TRIM(INDEX(FormData,$W419,f_Name))," ","^",LEN(TRIM(INDEX(FormData,$W419,f_Name)))-LEN(SUBSTITUTE(TRIM(INDEX(FormData,$W419,f_Name))," ",""))))+1,1),"")),""))</f>
        <v/>
      </c>
      <c r="E419" s="16">
        <f>IF($W419="","",IFERROR(IF(SUMPRODUCT(MAX((WhoKW&lt;&gt;"")*ISNUMBER(SEARCH(WhoKW,INDEX(FormData,$W419,f_Who)&amp;""))*(ROW(WhoKW)-MIN(ROW(WhoKW))+1)))=0,"",INDEX(WhoVal,SUMPRODUCT(MAX((WhoKW&lt;&gt;"")*ISNUMBER(SEARCH(WhoKW,INDEX(FormData,$W419,f_Who)&amp;""))*(ROW(WhoKW)-MIN(ROW(WhoKW))+1))))),""))</f>
        <v/>
      </c>
      <c r="F419" s="17">
        <f>IF($W419="","",TRIM(IFERROR(INDEX(FormData,$W419,f_Org1)&amp;"","")&amp;" "&amp;IFERROR(INDEX(FormData,$W419,f_Org2)&amp;"","")))</f>
        <v/>
      </c>
      <c r="G419" s="16">
        <f>IF($W419="","",IFERROR(INDEX(FormData,$W419,f_Region)&amp;"",""))</f>
        <v/>
      </c>
      <c r="H419" s="16">
        <f>IF($W419="","",IFERROR(IF(SUMPRODUCT(MAX((SitKW&lt;&gt;"")*ISNUMBER(SEARCH(SitKW,INDEX(FormData,$W419,f_Sit)&amp;""))*(ROW(SitKW)-MIN(ROW(SitKW))+1)))=0,"",INDEX(SitVal,SUMPRODUCT(MAX((SitKW&lt;&gt;"")*ISNUMBER(SEARCH(SitKW,INDEX(FormData,$W419,f_Sit)&amp;""))*(ROW(SitKW)-MIN(ROW(SitKW))+1))))),""))</f>
        <v/>
      </c>
      <c r="I419" s="14">
        <f>IF($W419="","",IFERROR(INDEX(FormData,$W419,f_Appr)&amp;"",""))</f>
        <v/>
      </c>
      <c r="J419" s="16">
        <f>IF($W419="","",IFERROR(INDEX(FormData,$W419,f_Trade)&amp;"",""))</f>
        <v/>
      </c>
      <c r="K419" s="16" t="n"/>
      <c r="L419" s="17" t="n"/>
      <c r="M419" s="16" t="n"/>
      <c r="N419" s="17" t="n"/>
      <c r="O419" s="14" t="n"/>
      <c r="P419" s="14" t="n"/>
      <c r="Q419" s="18" t="n"/>
      <c r="R419" s="18" t="n"/>
      <c r="S419" s="13">
        <f>IF($P419&lt;&gt;"✓","",IF($R419&lt;&gt;"","Done",IF($Q419="","Open — no date",IF($Q419&lt;TODAY(),"Overdue",IF($Q419-TODAY()&lt;=DueSoon,"Due soon","Scheduled")))))</f>
        <v/>
      </c>
      <c r="T419" s="14">
        <f>IF($W419="","",IFERROR(IF(INDEX(FormData,$W419,f_Consent)&amp;""="","",IF(ISNUMBER(SEARCH("yes",INDEX(FormData,$W419,f_Consent))),"Yes","No")),""))</f>
        <v/>
      </c>
      <c r="U419" s="14" t="n"/>
      <c r="V419" s="13">
        <f>IF($U419="","",IF($W419="","not found","✓"))</f>
        <v/>
      </c>
      <c r="W419">
        <f>IF($U419="","",IFERROR(MATCH($U419,INDEX(FormData,0,f_Id),0),IFERROR(MATCH(--$U419,INDEX(FormData,0,f_Id),0),IFERROR(MATCH($U419&amp;"",INDEX(FormData,0,f_Id),0),""))))</f>
        <v/>
      </c>
      <c r="X419">
        <f>IF(AND($B419&lt;&gt;"",$B419='Event Report'!$C$3),ROW(),"")</f>
        <v/>
      </c>
      <c r="Y419">
        <f>IF(AND($P419="✓",$R419=""),IF($Q419="",90000,$Q419)+ROW()/100000,"")</f>
        <v/>
      </c>
      <c r="Z419">
        <f>IF(OR($U419&lt;&gt;"",$D419&lt;&gt;"",$E419&lt;&gt;"",$N419&lt;&gt;""),1,"")</f>
        <v/>
      </c>
    </row>
    <row r="420">
      <c r="A420" s="13" t="inlineStr">
        <is>
          <t>P-0416</t>
        </is>
      </c>
      <c r="B420" s="14">
        <f>IF(AND($U420="",$C420=""),"",IFERROR(INDEX(EvID,MATCH(INDEX(FormData,$W420,f_Event),EvID,0)),IFERROR(INDEX(EvID,MATCH(INDEX(FormData,$W420,f_Event),EvName,0)),IFERROR(INDEX(EvID,MATCH(INT($C420),EvDate,0)),""))))</f>
        <v/>
      </c>
      <c r="C420" s="15">
        <f>IF($W420="","",INDEX(FormData,$W420,f_Time))</f>
        <v/>
      </c>
      <c r="D420" s="14">
        <f>IF($W420="","",IFERROR(UPPER(LEFT(TRIM(INDEX(FormData,$W420,f_Name)),1)&amp;IFERROR(MID(TRIM(INDEX(FormData,$W420,f_Name)),FIND("^",SUBSTITUTE(TRIM(INDEX(FormData,$W420,f_Name))," ","^",LEN(TRIM(INDEX(FormData,$W420,f_Name)))-LEN(SUBSTITUTE(TRIM(INDEX(FormData,$W420,f_Name))," ",""))))+1,1),"")),""))</f>
        <v/>
      </c>
      <c r="E420" s="16">
        <f>IF($W420="","",IFERROR(IF(SUMPRODUCT(MAX((WhoKW&lt;&gt;"")*ISNUMBER(SEARCH(WhoKW,INDEX(FormData,$W420,f_Who)&amp;""))*(ROW(WhoKW)-MIN(ROW(WhoKW))+1)))=0,"",INDEX(WhoVal,SUMPRODUCT(MAX((WhoKW&lt;&gt;"")*ISNUMBER(SEARCH(WhoKW,INDEX(FormData,$W420,f_Who)&amp;""))*(ROW(WhoKW)-MIN(ROW(WhoKW))+1))))),""))</f>
        <v/>
      </c>
      <c r="F420" s="17">
        <f>IF($W420="","",TRIM(IFERROR(INDEX(FormData,$W420,f_Org1)&amp;"","")&amp;" "&amp;IFERROR(INDEX(FormData,$W420,f_Org2)&amp;"","")))</f>
        <v/>
      </c>
      <c r="G420" s="16">
        <f>IF($W420="","",IFERROR(INDEX(FormData,$W420,f_Region)&amp;"",""))</f>
        <v/>
      </c>
      <c r="H420" s="16">
        <f>IF($W420="","",IFERROR(IF(SUMPRODUCT(MAX((SitKW&lt;&gt;"")*ISNUMBER(SEARCH(SitKW,INDEX(FormData,$W420,f_Sit)&amp;""))*(ROW(SitKW)-MIN(ROW(SitKW))+1)))=0,"",INDEX(SitVal,SUMPRODUCT(MAX((SitKW&lt;&gt;"")*ISNUMBER(SEARCH(SitKW,INDEX(FormData,$W420,f_Sit)&amp;""))*(ROW(SitKW)-MIN(ROW(SitKW))+1))))),""))</f>
        <v/>
      </c>
      <c r="I420" s="14">
        <f>IF($W420="","",IFERROR(INDEX(FormData,$W420,f_Appr)&amp;"",""))</f>
        <v/>
      </c>
      <c r="J420" s="16">
        <f>IF($W420="","",IFERROR(INDEX(FormData,$W420,f_Trade)&amp;"",""))</f>
        <v/>
      </c>
      <c r="K420" s="16" t="n"/>
      <c r="L420" s="17" t="n"/>
      <c r="M420" s="16" t="n"/>
      <c r="N420" s="17" t="n"/>
      <c r="O420" s="14" t="n"/>
      <c r="P420" s="14" t="n"/>
      <c r="Q420" s="18" t="n"/>
      <c r="R420" s="18" t="n"/>
      <c r="S420" s="13">
        <f>IF($P420&lt;&gt;"✓","",IF($R420&lt;&gt;"","Done",IF($Q420="","Open — no date",IF($Q420&lt;TODAY(),"Overdue",IF($Q420-TODAY()&lt;=DueSoon,"Due soon","Scheduled")))))</f>
        <v/>
      </c>
      <c r="T420" s="14">
        <f>IF($W420="","",IFERROR(IF(INDEX(FormData,$W420,f_Consent)&amp;""="","",IF(ISNUMBER(SEARCH("yes",INDEX(FormData,$W420,f_Consent))),"Yes","No")),""))</f>
        <v/>
      </c>
      <c r="U420" s="14" t="n"/>
      <c r="V420" s="13">
        <f>IF($U420="","",IF($W420="","not found","✓"))</f>
        <v/>
      </c>
      <c r="W420">
        <f>IF($U420="","",IFERROR(MATCH($U420,INDEX(FormData,0,f_Id),0),IFERROR(MATCH(--$U420,INDEX(FormData,0,f_Id),0),IFERROR(MATCH($U420&amp;"",INDEX(FormData,0,f_Id),0),""))))</f>
        <v/>
      </c>
      <c r="X420">
        <f>IF(AND($B420&lt;&gt;"",$B420='Event Report'!$C$3),ROW(),"")</f>
        <v/>
      </c>
      <c r="Y420">
        <f>IF(AND($P420="✓",$R420=""),IF($Q420="",90000,$Q420)+ROW()/100000,"")</f>
        <v/>
      </c>
      <c r="Z420">
        <f>IF(OR($U420&lt;&gt;"",$D420&lt;&gt;"",$E420&lt;&gt;"",$N420&lt;&gt;""),1,"")</f>
        <v/>
      </c>
    </row>
    <row r="421">
      <c r="A421" s="13" t="inlineStr">
        <is>
          <t>P-0417</t>
        </is>
      </c>
      <c r="B421" s="14">
        <f>IF(AND($U421="",$C421=""),"",IFERROR(INDEX(EvID,MATCH(INDEX(FormData,$W421,f_Event),EvID,0)),IFERROR(INDEX(EvID,MATCH(INDEX(FormData,$W421,f_Event),EvName,0)),IFERROR(INDEX(EvID,MATCH(INT($C421),EvDate,0)),""))))</f>
        <v/>
      </c>
      <c r="C421" s="15">
        <f>IF($W421="","",INDEX(FormData,$W421,f_Time))</f>
        <v/>
      </c>
      <c r="D421" s="14">
        <f>IF($W421="","",IFERROR(UPPER(LEFT(TRIM(INDEX(FormData,$W421,f_Name)),1)&amp;IFERROR(MID(TRIM(INDEX(FormData,$W421,f_Name)),FIND("^",SUBSTITUTE(TRIM(INDEX(FormData,$W421,f_Name))," ","^",LEN(TRIM(INDEX(FormData,$W421,f_Name)))-LEN(SUBSTITUTE(TRIM(INDEX(FormData,$W421,f_Name))," ",""))))+1,1),"")),""))</f>
        <v/>
      </c>
      <c r="E421" s="16">
        <f>IF($W421="","",IFERROR(IF(SUMPRODUCT(MAX((WhoKW&lt;&gt;"")*ISNUMBER(SEARCH(WhoKW,INDEX(FormData,$W421,f_Who)&amp;""))*(ROW(WhoKW)-MIN(ROW(WhoKW))+1)))=0,"",INDEX(WhoVal,SUMPRODUCT(MAX((WhoKW&lt;&gt;"")*ISNUMBER(SEARCH(WhoKW,INDEX(FormData,$W421,f_Who)&amp;""))*(ROW(WhoKW)-MIN(ROW(WhoKW))+1))))),""))</f>
        <v/>
      </c>
      <c r="F421" s="17">
        <f>IF($W421="","",TRIM(IFERROR(INDEX(FormData,$W421,f_Org1)&amp;"","")&amp;" "&amp;IFERROR(INDEX(FormData,$W421,f_Org2)&amp;"","")))</f>
        <v/>
      </c>
      <c r="G421" s="16">
        <f>IF($W421="","",IFERROR(INDEX(FormData,$W421,f_Region)&amp;"",""))</f>
        <v/>
      </c>
      <c r="H421" s="16">
        <f>IF($W421="","",IFERROR(IF(SUMPRODUCT(MAX((SitKW&lt;&gt;"")*ISNUMBER(SEARCH(SitKW,INDEX(FormData,$W421,f_Sit)&amp;""))*(ROW(SitKW)-MIN(ROW(SitKW))+1)))=0,"",INDEX(SitVal,SUMPRODUCT(MAX((SitKW&lt;&gt;"")*ISNUMBER(SEARCH(SitKW,INDEX(FormData,$W421,f_Sit)&amp;""))*(ROW(SitKW)-MIN(ROW(SitKW))+1))))),""))</f>
        <v/>
      </c>
      <c r="I421" s="14">
        <f>IF($W421="","",IFERROR(INDEX(FormData,$W421,f_Appr)&amp;"",""))</f>
        <v/>
      </c>
      <c r="J421" s="16">
        <f>IF($W421="","",IFERROR(INDEX(FormData,$W421,f_Trade)&amp;"",""))</f>
        <v/>
      </c>
      <c r="K421" s="16" t="n"/>
      <c r="L421" s="17" t="n"/>
      <c r="M421" s="16" t="n"/>
      <c r="N421" s="17" t="n"/>
      <c r="O421" s="14" t="n"/>
      <c r="P421" s="14" t="n"/>
      <c r="Q421" s="18" t="n"/>
      <c r="R421" s="18" t="n"/>
      <c r="S421" s="13">
        <f>IF($P421&lt;&gt;"✓","",IF($R421&lt;&gt;"","Done",IF($Q421="","Open — no date",IF($Q421&lt;TODAY(),"Overdue",IF($Q421-TODAY()&lt;=DueSoon,"Due soon","Scheduled")))))</f>
        <v/>
      </c>
      <c r="T421" s="14">
        <f>IF($W421="","",IFERROR(IF(INDEX(FormData,$W421,f_Consent)&amp;""="","",IF(ISNUMBER(SEARCH("yes",INDEX(FormData,$W421,f_Consent))),"Yes","No")),""))</f>
        <v/>
      </c>
      <c r="U421" s="14" t="n"/>
      <c r="V421" s="13">
        <f>IF($U421="","",IF($W421="","not found","✓"))</f>
        <v/>
      </c>
      <c r="W421">
        <f>IF($U421="","",IFERROR(MATCH($U421,INDEX(FormData,0,f_Id),0),IFERROR(MATCH(--$U421,INDEX(FormData,0,f_Id),0),IFERROR(MATCH($U421&amp;"",INDEX(FormData,0,f_Id),0),""))))</f>
        <v/>
      </c>
      <c r="X421">
        <f>IF(AND($B421&lt;&gt;"",$B421='Event Report'!$C$3),ROW(),"")</f>
        <v/>
      </c>
      <c r="Y421">
        <f>IF(AND($P421="✓",$R421=""),IF($Q421="",90000,$Q421)+ROW()/100000,"")</f>
        <v/>
      </c>
      <c r="Z421">
        <f>IF(OR($U421&lt;&gt;"",$D421&lt;&gt;"",$E421&lt;&gt;"",$N421&lt;&gt;""),1,"")</f>
        <v/>
      </c>
    </row>
    <row r="422">
      <c r="A422" s="13" t="inlineStr">
        <is>
          <t>P-0418</t>
        </is>
      </c>
      <c r="B422" s="14">
        <f>IF(AND($U422="",$C422=""),"",IFERROR(INDEX(EvID,MATCH(INDEX(FormData,$W422,f_Event),EvID,0)),IFERROR(INDEX(EvID,MATCH(INDEX(FormData,$W422,f_Event),EvName,0)),IFERROR(INDEX(EvID,MATCH(INT($C422),EvDate,0)),""))))</f>
        <v/>
      </c>
      <c r="C422" s="15">
        <f>IF($W422="","",INDEX(FormData,$W422,f_Time))</f>
        <v/>
      </c>
      <c r="D422" s="14">
        <f>IF($W422="","",IFERROR(UPPER(LEFT(TRIM(INDEX(FormData,$W422,f_Name)),1)&amp;IFERROR(MID(TRIM(INDEX(FormData,$W422,f_Name)),FIND("^",SUBSTITUTE(TRIM(INDEX(FormData,$W422,f_Name))," ","^",LEN(TRIM(INDEX(FormData,$W422,f_Name)))-LEN(SUBSTITUTE(TRIM(INDEX(FormData,$W422,f_Name))," ",""))))+1,1),"")),""))</f>
        <v/>
      </c>
      <c r="E422" s="16">
        <f>IF($W422="","",IFERROR(IF(SUMPRODUCT(MAX((WhoKW&lt;&gt;"")*ISNUMBER(SEARCH(WhoKW,INDEX(FormData,$W422,f_Who)&amp;""))*(ROW(WhoKW)-MIN(ROW(WhoKW))+1)))=0,"",INDEX(WhoVal,SUMPRODUCT(MAX((WhoKW&lt;&gt;"")*ISNUMBER(SEARCH(WhoKW,INDEX(FormData,$W422,f_Who)&amp;""))*(ROW(WhoKW)-MIN(ROW(WhoKW))+1))))),""))</f>
        <v/>
      </c>
      <c r="F422" s="17">
        <f>IF($W422="","",TRIM(IFERROR(INDEX(FormData,$W422,f_Org1)&amp;"","")&amp;" "&amp;IFERROR(INDEX(FormData,$W422,f_Org2)&amp;"","")))</f>
        <v/>
      </c>
      <c r="G422" s="16">
        <f>IF($W422="","",IFERROR(INDEX(FormData,$W422,f_Region)&amp;"",""))</f>
        <v/>
      </c>
      <c r="H422" s="16">
        <f>IF($W422="","",IFERROR(IF(SUMPRODUCT(MAX((SitKW&lt;&gt;"")*ISNUMBER(SEARCH(SitKW,INDEX(FormData,$W422,f_Sit)&amp;""))*(ROW(SitKW)-MIN(ROW(SitKW))+1)))=0,"",INDEX(SitVal,SUMPRODUCT(MAX((SitKW&lt;&gt;"")*ISNUMBER(SEARCH(SitKW,INDEX(FormData,$W422,f_Sit)&amp;""))*(ROW(SitKW)-MIN(ROW(SitKW))+1))))),""))</f>
        <v/>
      </c>
      <c r="I422" s="14">
        <f>IF($W422="","",IFERROR(INDEX(FormData,$W422,f_Appr)&amp;"",""))</f>
        <v/>
      </c>
      <c r="J422" s="16">
        <f>IF($W422="","",IFERROR(INDEX(FormData,$W422,f_Trade)&amp;"",""))</f>
        <v/>
      </c>
      <c r="K422" s="16" t="n"/>
      <c r="L422" s="17" t="n"/>
      <c r="M422" s="16" t="n"/>
      <c r="N422" s="17" t="n"/>
      <c r="O422" s="14" t="n"/>
      <c r="P422" s="14" t="n"/>
      <c r="Q422" s="18" t="n"/>
      <c r="R422" s="18" t="n"/>
      <c r="S422" s="13">
        <f>IF($P422&lt;&gt;"✓","",IF($R422&lt;&gt;"","Done",IF($Q422="","Open — no date",IF($Q422&lt;TODAY(),"Overdue",IF($Q422-TODAY()&lt;=DueSoon,"Due soon","Scheduled")))))</f>
        <v/>
      </c>
      <c r="T422" s="14">
        <f>IF($W422="","",IFERROR(IF(INDEX(FormData,$W422,f_Consent)&amp;""="","",IF(ISNUMBER(SEARCH("yes",INDEX(FormData,$W422,f_Consent))),"Yes","No")),""))</f>
        <v/>
      </c>
      <c r="U422" s="14" t="n"/>
      <c r="V422" s="13">
        <f>IF($U422="","",IF($W422="","not found","✓"))</f>
        <v/>
      </c>
      <c r="W422">
        <f>IF($U422="","",IFERROR(MATCH($U422,INDEX(FormData,0,f_Id),0),IFERROR(MATCH(--$U422,INDEX(FormData,0,f_Id),0),IFERROR(MATCH($U422&amp;"",INDEX(FormData,0,f_Id),0),""))))</f>
        <v/>
      </c>
      <c r="X422">
        <f>IF(AND($B422&lt;&gt;"",$B422='Event Report'!$C$3),ROW(),"")</f>
        <v/>
      </c>
      <c r="Y422">
        <f>IF(AND($P422="✓",$R422=""),IF($Q422="",90000,$Q422)+ROW()/100000,"")</f>
        <v/>
      </c>
      <c r="Z422">
        <f>IF(OR($U422&lt;&gt;"",$D422&lt;&gt;"",$E422&lt;&gt;"",$N422&lt;&gt;""),1,"")</f>
        <v/>
      </c>
    </row>
    <row r="423">
      <c r="A423" s="13" t="inlineStr">
        <is>
          <t>P-0419</t>
        </is>
      </c>
      <c r="B423" s="14">
        <f>IF(AND($U423="",$C423=""),"",IFERROR(INDEX(EvID,MATCH(INDEX(FormData,$W423,f_Event),EvID,0)),IFERROR(INDEX(EvID,MATCH(INDEX(FormData,$W423,f_Event),EvName,0)),IFERROR(INDEX(EvID,MATCH(INT($C423),EvDate,0)),""))))</f>
        <v/>
      </c>
      <c r="C423" s="15">
        <f>IF($W423="","",INDEX(FormData,$W423,f_Time))</f>
        <v/>
      </c>
      <c r="D423" s="14">
        <f>IF($W423="","",IFERROR(UPPER(LEFT(TRIM(INDEX(FormData,$W423,f_Name)),1)&amp;IFERROR(MID(TRIM(INDEX(FormData,$W423,f_Name)),FIND("^",SUBSTITUTE(TRIM(INDEX(FormData,$W423,f_Name))," ","^",LEN(TRIM(INDEX(FormData,$W423,f_Name)))-LEN(SUBSTITUTE(TRIM(INDEX(FormData,$W423,f_Name))," ",""))))+1,1),"")),""))</f>
        <v/>
      </c>
      <c r="E423" s="16">
        <f>IF($W423="","",IFERROR(IF(SUMPRODUCT(MAX((WhoKW&lt;&gt;"")*ISNUMBER(SEARCH(WhoKW,INDEX(FormData,$W423,f_Who)&amp;""))*(ROW(WhoKW)-MIN(ROW(WhoKW))+1)))=0,"",INDEX(WhoVal,SUMPRODUCT(MAX((WhoKW&lt;&gt;"")*ISNUMBER(SEARCH(WhoKW,INDEX(FormData,$W423,f_Who)&amp;""))*(ROW(WhoKW)-MIN(ROW(WhoKW))+1))))),""))</f>
        <v/>
      </c>
      <c r="F423" s="17">
        <f>IF($W423="","",TRIM(IFERROR(INDEX(FormData,$W423,f_Org1)&amp;"","")&amp;" "&amp;IFERROR(INDEX(FormData,$W423,f_Org2)&amp;"","")))</f>
        <v/>
      </c>
      <c r="G423" s="16">
        <f>IF($W423="","",IFERROR(INDEX(FormData,$W423,f_Region)&amp;"",""))</f>
        <v/>
      </c>
      <c r="H423" s="16">
        <f>IF($W423="","",IFERROR(IF(SUMPRODUCT(MAX((SitKW&lt;&gt;"")*ISNUMBER(SEARCH(SitKW,INDEX(FormData,$W423,f_Sit)&amp;""))*(ROW(SitKW)-MIN(ROW(SitKW))+1)))=0,"",INDEX(SitVal,SUMPRODUCT(MAX((SitKW&lt;&gt;"")*ISNUMBER(SEARCH(SitKW,INDEX(FormData,$W423,f_Sit)&amp;""))*(ROW(SitKW)-MIN(ROW(SitKW))+1))))),""))</f>
        <v/>
      </c>
      <c r="I423" s="14">
        <f>IF($W423="","",IFERROR(INDEX(FormData,$W423,f_Appr)&amp;"",""))</f>
        <v/>
      </c>
      <c r="J423" s="16">
        <f>IF($W423="","",IFERROR(INDEX(FormData,$W423,f_Trade)&amp;"",""))</f>
        <v/>
      </c>
      <c r="K423" s="16" t="n"/>
      <c r="L423" s="17" t="n"/>
      <c r="M423" s="16" t="n"/>
      <c r="N423" s="17" t="n"/>
      <c r="O423" s="14" t="n"/>
      <c r="P423" s="14" t="n"/>
      <c r="Q423" s="18" t="n"/>
      <c r="R423" s="18" t="n"/>
      <c r="S423" s="13">
        <f>IF($P423&lt;&gt;"✓","",IF($R423&lt;&gt;"","Done",IF($Q423="","Open — no date",IF($Q423&lt;TODAY(),"Overdue",IF($Q423-TODAY()&lt;=DueSoon,"Due soon","Scheduled")))))</f>
        <v/>
      </c>
      <c r="T423" s="14">
        <f>IF($W423="","",IFERROR(IF(INDEX(FormData,$W423,f_Consent)&amp;""="","",IF(ISNUMBER(SEARCH("yes",INDEX(FormData,$W423,f_Consent))),"Yes","No")),""))</f>
        <v/>
      </c>
      <c r="U423" s="14" t="n"/>
      <c r="V423" s="13">
        <f>IF($U423="","",IF($W423="","not found","✓"))</f>
        <v/>
      </c>
      <c r="W423">
        <f>IF($U423="","",IFERROR(MATCH($U423,INDEX(FormData,0,f_Id),0),IFERROR(MATCH(--$U423,INDEX(FormData,0,f_Id),0),IFERROR(MATCH($U423&amp;"",INDEX(FormData,0,f_Id),0),""))))</f>
        <v/>
      </c>
      <c r="X423">
        <f>IF(AND($B423&lt;&gt;"",$B423='Event Report'!$C$3),ROW(),"")</f>
        <v/>
      </c>
      <c r="Y423">
        <f>IF(AND($P423="✓",$R423=""),IF($Q423="",90000,$Q423)+ROW()/100000,"")</f>
        <v/>
      </c>
      <c r="Z423">
        <f>IF(OR($U423&lt;&gt;"",$D423&lt;&gt;"",$E423&lt;&gt;"",$N423&lt;&gt;""),1,"")</f>
        <v/>
      </c>
    </row>
    <row r="424">
      <c r="A424" s="13" t="inlineStr">
        <is>
          <t>P-0420</t>
        </is>
      </c>
      <c r="B424" s="14">
        <f>IF(AND($U424="",$C424=""),"",IFERROR(INDEX(EvID,MATCH(INDEX(FormData,$W424,f_Event),EvID,0)),IFERROR(INDEX(EvID,MATCH(INDEX(FormData,$W424,f_Event),EvName,0)),IFERROR(INDEX(EvID,MATCH(INT($C424),EvDate,0)),""))))</f>
        <v/>
      </c>
      <c r="C424" s="15">
        <f>IF($W424="","",INDEX(FormData,$W424,f_Time))</f>
        <v/>
      </c>
      <c r="D424" s="14">
        <f>IF($W424="","",IFERROR(UPPER(LEFT(TRIM(INDEX(FormData,$W424,f_Name)),1)&amp;IFERROR(MID(TRIM(INDEX(FormData,$W424,f_Name)),FIND("^",SUBSTITUTE(TRIM(INDEX(FormData,$W424,f_Name))," ","^",LEN(TRIM(INDEX(FormData,$W424,f_Name)))-LEN(SUBSTITUTE(TRIM(INDEX(FormData,$W424,f_Name))," ",""))))+1,1),"")),""))</f>
        <v/>
      </c>
      <c r="E424" s="16">
        <f>IF($W424="","",IFERROR(IF(SUMPRODUCT(MAX((WhoKW&lt;&gt;"")*ISNUMBER(SEARCH(WhoKW,INDEX(FormData,$W424,f_Who)&amp;""))*(ROW(WhoKW)-MIN(ROW(WhoKW))+1)))=0,"",INDEX(WhoVal,SUMPRODUCT(MAX((WhoKW&lt;&gt;"")*ISNUMBER(SEARCH(WhoKW,INDEX(FormData,$W424,f_Who)&amp;""))*(ROW(WhoKW)-MIN(ROW(WhoKW))+1))))),""))</f>
        <v/>
      </c>
      <c r="F424" s="17">
        <f>IF($W424="","",TRIM(IFERROR(INDEX(FormData,$W424,f_Org1)&amp;"","")&amp;" "&amp;IFERROR(INDEX(FormData,$W424,f_Org2)&amp;"","")))</f>
        <v/>
      </c>
      <c r="G424" s="16">
        <f>IF($W424="","",IFERROR(INDEX(FormData,$W424,f_Region)&amp;"",""))</f>
        <v/>
      </c>
      <c r="H424" s="16">
        <f>IF($W424="","",IFERROR(IF(SUMPRODUCT(MAX((SitKW&lt;&gt;"")*ISNUMBER(SEARCH(SitKW,INDEX(FormData,$W424,f_Sit)&amp;""))*(ROW(SitKW)-MIN(ROW(SitKW))+1)))=0,"",INDEX(SitVal,SUMPRODUCT(MAX((SitKW&lt;&gt;"")*ISNUMBER(SEARCH(SitKW,INDEX(FormData,$W424,f_Sit)&amp;""))*(ROW(SitKW)-MIN(ROW(SitKW))+1))))),""))</f>
        <v/>
      </c>
      <c r="I424" s="14">
        <f>IF($W424="","",IFERROR(INDEX(FormData,$W424,f_Appr)&amp;"",""))</f>
        <v/>
      </c>
      <c r="J424" s="16">
        <f>IF($W424="","",IFERROR(INDEX(FormData,$W424,f_Trade)&amp;"",""))</f>
        <v/>
      </c>
      <c r="K424" s="16" t="n"/>
      <c r="L424" s="17" t="n"/>
      <c r="M424" s="16" t="n"/>
      <c r="N424" s="17" t="n"/>
      <c r="O424" s="14" t="n"/>
      <c r="P424" s="14" t="n"/>
      <c r="Q424" s="18" t="n"/>
      <c r="R424" s="18" t="n"/>
      <c r="S424" s="13">
        <f>IF($P424&lt;&gt;"✓","",IF($R424&lt;&gt;"","Done",IF($Q424="","Open — no date",IF($Q424&lt;TODAY(),"Overdue",IF($Q424-TODAY()&lt;=DueSoon,"Due soon","Scheduled")))))</f>
        <v/>
      </c>
      <c r="T424" s="14">
        <f>IF($W424="","",IFERROR(IF(INDEX(FormData,$W424,f_Consent)&amp;""="","",IF(ISNUMBER(SEARCH("yes",INDEX(FormData,$W424,f_Consent))),"Yes","No")),""))</f>
        <v/>
      </c>
      <c r="U424" s="14" t="n"/>
      <c r="V424" s="13">
        <f>IF($U424="","",IF($W424="","not found","✓"))</f>
        <v/>
      </c>
      <c r="W424">
        <f>IF($U424="","",IFERROR(MATCH($U424,INDEX(FormData,0,f_Id),0),IFERROR(MATCH(--$U424,INDEX(FormData,0,f_Id),0),IFERROR(MATCH($U424&amp;"",INDEX(FormData,0,f_Id),0),""))))</f>
        <v/>
      </c>
      <c r="X424">
        <f>IF(AND($B424&lt;&gt;"",$B424='Event Report'!$C$3),ROW(),"")</f>
        <v/>
      </c>
      <c r="Y424">
        <f>IF(AND($P424="✓",$R424=""),IF($Q424="",90000,$Q424)+ROW()/100000,"")</f>
        <v/>
      </c>
      <c r="Z424">
        <f>IF(OR($U424&lt;&gt;"",$D424&lt;&gt;"",$E424&lt;&gt;"",$N424&lt;&gt;""),1,"")</f>
        <v/>
      </c>
    </row>
    <row r="425">
      <c r="A425" s="13" t="inlineStr">
        <is>
          <t>P-0421</t>
        </is>
      </c>
      <c r="B425" s="14">
        <f>IF(AND($U425="",$C425=""),"",IFERROR(INDEX(EvID,MATCH(INDEX(FormData,$W425,f_Event),EvID,0)),IFERROR(INDEX(EvID,MATCH(INDEX(FormData,$W425,f_Event),EvName,0)),IFERROR(INDEX(EvID,MATCH(INT($C425),EvDate,0)),""))))</f>
        <v/>
      </c>
      <c r="C425" s="15">
        <f>IF($W425="","",INDEX(FormData,$W425,f_Time))</f>
        <v/>
      </c>
      <c r="D425" s="14">
        <f>IF($W425="","",IFERROR(UPPER(LEFT(TRIM(INDEX(FormData,$W425,f_Name)),1)&amp;IFERROR(MID(TRIM(INDEX(FormData,$W425,f_Name)),FIND("^",SUBSTITUTE(TRIM(INDEX(FormData,$W425,f_Name))," ","^",LEN(TRIM(INDEX(FormData,$W425,f_Name)))-LEN(SUBSTITUTE(TRIM(INDEX(FormData,$W425,f_Name))," ",""))))+1,1),"")),""))</f>
        <v/>
      </c>
      <c r="E425" s="16">
        <f>IF($W425="","",IFERROR(IF(SUMPRODUCT(MAX((WhoKW&lt;&gt;"")*ISNUMBER(SEARCH(WhoKW,INDEX(FormData,$W425,f_Who)&amp;""))*(ROW(WhoKW)-MIN(ROW(WhoKW))+1)))=0,"",INDEX(WhoVal,SUMPRODUCT(MAX((WhoKW&lt;&gt;"")*ISNUMBER(SEARCH(WhoKW,INDEX(FormData,$W425,f_Who)&amp;""))*(ROW(WhoKW)-MIN(ROW(WhoKW))+1))))),""))</f>
        <v/>
      </c>
      <c r="F425" s="17">
        <f>IF($W425="","",TRIM(IFERROR(INDEX(FormData,$W425,f_Org1)&amp;"","")&amp;" "&amp;IFERROR(INDEX(FormData,$W425,f_Org2)&amp;"","")))</f>
        <v/>
      </c>
      <c r="G425" s="16">
        <f>IF($W425="","",IFERROR(INDEX(FormData,$W425,f_Region)&amp;"",""))</f>
        <v/>
      </c>
      <c r="H425" s="16">
        <f>IF($W425="","",IFERROR(IF(SUMPRODUCT(MAX((SitKW&lt;&gt;"")*ISNUMBER(SEARCH(SitKW,INDEX(FormData,$W425,f_Sit)&amp;""))*(ROW(SitKW)-MIN(ROW(SitKW))+1)))=0,"",INDEX(SitVal,SUMPRODUCT(MAX((SitKW&lt;&gt;"")*ISNUMBER(SEARCH(SitKW,INDEX(FormData,$W425,f_Sit)&amp;""))*(ROW(SitKW)-MIN(ROW(SitKW))+1))))),""))</f>
        <v/>
      </c>
      <c r="I425" s="14">
        <f>IF($W425="","",IFERROR(INDEX(FormData,$W425,f_Appr)&amp;"",""))</f>
        <v/>
      </c>
      <c r="J425" s="16">
        <f>IF($W425="","",IFERROR(INDEX(FormData,$W425,f_Trade)&amp;"",""))</f>
        <v/>
      </c>
      <c r="K425" s="16" t="n"/>
      <c r="L425" s="17" t="n"/>
      <c r="M425" s="16" t="n"/>
      <c r="N425" s="17" t="n"/>
      <c r="O425" s="14" t="n"/>
      <c r="P425" s="14" t="n"/>
      <c r="Q425" s="18" t="n"/>
      <c r="R425" s="18" t="n"/>
      <c r="S425" s="13">
        <f>IF($P425&lt;&gt;"✓","",IF($R425&lt;&gt;"","Done",IF($Q425="","Open — no date",IF($Q425&lt;TODAY(),"Overdue",IF($Q425-TODAY()&lt;=DueSoon,"Due soon","Scheduled")))))</f>
        <v/>
      </c>
      <c r="T425" s="14">
        <f>IF($W425="","",IFERROR(IF(INDEX(FormData,$W425,f_Consent)&amp;""="","",IF(ISNUMBER(SEARCH("yes",INDEX(FormData,$W425,f_Consent))),"Yes","No")),""))</f>
        <v/>
      </c>
      <c r="U425" s="14" t="n"/>
      <c r="V425" s="13">
        <f>IF($U425="","",IF($W425="","not found","✓"))</f>
        <v/>
      </c>
      <c r="W425">
        <f>IF($U425="","",IFERROR(MATCH($U425,INDEX(FormData,0,f_Id),0),IFERROR(MATCH(--$U425,INDEX(FormData,0,f_Id),0),IFERROR(MATCH($U425&amp;"",INDEX(FormData,0,f_Id),0),""))))</f>
        <v/>
      </c>
      <c r="X425">
        <f>IF(AND($B425&lt;&gt;"",$B425='Event Report'!$C$3),ROW(),"")</f>
        <v/>
      </c>
      <c r="Y425">
        <f>IF(AND($P425="✓",$R425=""),IF($Q425="",90000,$Q425)+ROW()/100000,"")</f>
        <v/>
      </c>
      <c r="Z425">
        <f>IF(OR($U425&lt;&gt;"",$D425&lt;&gt;"",$E425&lt;&gt;"",$N425&lt;&gt;""),1,"")</f>
        <v/>
      </c>
    </row>
    <row r="426">
      <c r="A426" s="13" t="inlineStr">
        <is>
          <t>P-0422</t>
        </is>
      </c>
      <c r="B426" s="14">
        <f>IF(AND($U426="",$C426=""),"",IFERROR(INDEX(EvID,MATCH(INDEX(FormData,$W426,f_Event),EvID,0)),IFERROR(INDEX(EvID,MATCH(INDEX(FormData,$W426,f_Event),EvName,0)),IFERROR(INDEX(EvID,MATCH(INT($C426),EvDate,0)),""))))</f>
        <v/>
      </c>
      <c r="C426" s="15">
        <f>IF($W426="","",INDEX(FormData,$W426,f_Time))</f>
        <v/>
      </c>
      <c r="D426" s="14">
        <f>IF($W426="","",IFERROR(UPPER(LEFT(TRIM(INDEX(FormData,$W426,f_Name)),1)&amp;IFERROR(MID(TRIM(INDEX(FormData,$W426,f_Name)),FIND("^",SUBSTITUTE(TRIM(INDEX(FormData,$W426,f_Name))," ","^",LEN(TRIM(INDEX(FormData,$W426,f_Name)))-LEN(SUBSTITUTE(TRIM(INDEX(FormData,$W426,f_Name))," ",""))))+1,1),"")),""))</f>
        <v/>
      </c>
      <c r="E426" s="16">
        <f>IF($W426="","",IFERROR(IF(SUMPRODUCT(MAX((WhoKW&lt;&gt;"")*ISNUMBER(SEARCH(WhoKW,INDEX(FormData,$W426,f_Who)&amp;""))*(ROW(WhoKW)-MIN(ROW(WhoKW))+1)))=0,"",INDEX(WhoVal,SUMPRODUCT(MAX((WhoKW&lt;&gt;"")*ISNUMBER(SEARCH(WhoKW,INDEX(FormData,$W426,f_Who)&amp;""))*(ROW(WhoKW)-MIN(ROW(WhoKW))+1))))),""))</f>
        <v/>
      </c>
      <c r="F426" s="17">
        <f>IF($W426="","",TRIM(IFERROR(INDEX(FormData,$W426,f_Org1)&amp;"","")&amp;" "&amp;IFERROR(INDEX(FormData,$W426,f_Org2)&amp;"","")))</f>
        <v/>
      </c>
      <c r="G426" s="16">
        <f>IF($W426="","",IFERROR(INDEX(FormData,$W426,f_Region)&amp;"",""))</f>
        <v/>
      </c>
      <c r="H426" s="16">
        <f>IF($W426="","",IFERROR(IF(SUMPRODUCT(MAX((SitKW&lt;&gt;"")*ISNUMBER(SEARCH(SitKW,INDEX(FormData,$W426,f_Sit)&amp;""))*(ROW(SitKW)-MIN(ROW(SitKW))+1)))=0,"",INDEX(SitVal,SUMPRODUCT(MAX((SitKW&lt;&gt;"")*ISNUMBER(SEARCH(SitKW,INDEX(FormData,$W426,f_Sit)&amp;""))*(ROW(SitKW)-MIN(ROW(SitKW))+1))))),""))</f>
        <v/>
      </c>
      <c r="I426" s="14">
        <f>IF($W426="","",IFERROR(INDEX(FormData,$W426,f_Appr)&amp;"",""))</f>
        <v/>
      </c>
      <c r="J426" s="16">
        <f>IF($W426="","",IFERROR(INDEX(FormData,$W426,f_Trade)&amp;"",""))</f>
        <v/>
      </c>
      <c r="K426" s="16" t="n"/>
      <c r="L426" s="17" t="n"/>
      <c r="M426" s="16" t="n"/>
      <c r="N426" s="17" t="n"/>
      <c r="O426" s="14" t="n"/>
      <c r="P426" s="14" t="n"/>
      <c r="Q426" s="18" t="n"/>
      <c r="R426" s="18" t="n"/>
      <c r="S426" s="13">
        <f>IF($P426&lt;&gt;"✓","",IF($R426&lt;&gt;"","Done",IF($Q426="","Open — no date",IF($Q426&lt;TODAY(),"Overdue",IF($Q426-TODAY()&lt;=DueSoon,"Due soon","Scheduled")))))</f>
        <v/>
      </c>
      <c r="T426" s="14">
        <f>IF($W426="","",IFERROR(IF(INDEX(FormData,$W426,f_Consent)&amp;""="","",IF(ISNUMBER(SEARCH("yes",INDEX(FormData,$W426,f_Consent))),"Yes","No")),""))</f>
        <v/>
      </c>
      <c r="U426" s="14" t="n"/>
      <c r="V426" s="13">
        <f>IF($U426="","",IF($W426="","not found","✓"))</f>
        <v/>
      </c>
      <c r="W426">
        <f>IF($U426="","",IFERROR(MATCH($U426,INDEX(FormData,0,f_Id),0),IFERROR(MATCH(--$U426,INDEX(FormData,0,f_Id),0),IFERROR(MATCH($U426&amp;"",INDEX(FormData,0,f_Id),0),""))))</f>
        <v/>
      </c>
      <c r="X426">
        <f>IF(AND($B426&lt;&gt;"",$B426='Event Report'!$C$3),ROW(),"")</f>
        <v/>
      </c>
      <c r="Y426">
        <f>IF(AND($P426="✓",$R426=""),IF($Q426="",90000,$Q426)+ROW()/100000,"")</f>
        <v/>
      </c>
      <c r="Z426">
        <f>IF(OR($U426&lt;&gt;"",$D426&lt;&gt;"",$E426&lt;&gt;"",$N426&lt;&gt;""),1,"")</f>
        <v/>
      </c>
    </row>
    <row r="427">
      <c r="A427" s="13" t="inlineStr">
        <is>
          <t>P-0423</t>
        </is>
      </c>
      <c r="B427" s="14">
        <f>IF(AND($U427="",$C427=""),"",IFERROR(INDEX(EvID,MATCH(INDEX(FormData,$W427,f_Event),EvID,0)),IFERROR(INDEX(EvID,MATCH(INDEX(FormData,$W427,f_Event),EvName,0)),IFERROR(INDEX(EvID,MATCH(INT($C427),EvDate,0)),""))))</f>
        <v/>
      </c>
      <c r="C427" s="15">
        <f>IF($W427="","",INDEX(FormData,$W427,f_Time))</f>
        <v/>
      </c>
      <c r="D427" s="14">
        <f>IF($W427="","",IFERROR(UPPER(LEFT(TRIM(INDEX(FormData,$W427,f_Name)),1)&amp;IFERROR(MID(TRIM(INDEX(FormData,$W427,f_Name)),FIND("^",SUBSTITUTE(TRIM(INDEX(FormData,$W427,f_Name))," ","^",LEN(TRIM(INDEX(FormData,$W427,f_Name)))-LEN(SUBSTITUTE(TRIM(INDEX(FormData,$W427,f_Name))," ",""))))+1,1),"")),""))</f>
        <v/>
      </c>
      <c r="E427" s="16">
        <f>IF($W427="","",IFERROR(IF(SUMPRODUCT(MAX((WhoKW&lt;&gt;"")*ISNUMBER(SEARCH(WhoKW,INDEX(FormData,$W427,f_Who)&amp;""))*(ROW(WhoKW)-MIN(ROW(WhoKW))+1)))=0,"",INDEX(WhoVal,SUMPRODUCT(MAX((WhoKW&lt;&gt;"")*ISNUMBER(SEARCH(WhoKW,INDEX(FormData,$W427,f_Who)&amp;""))*(ROW(WhoKW)-MIN(ROW(WhoKW))+1))))),""))</f>
        <v/>
      </c>
      <c r="F427" s="17">
        <f>IF($W427="","",TRIM(IFERROR(INDEX(FormData,$W427,f_Org1)&amp;"","")&amp;" "&amp;IFERROR(INDEX(FormData,$W427,f_Org2)&amp;"","")))</f>
        <v/>
      </c>
      <c r="G427" s="16">
        <f>IF($W427="","",IFERROR(INDEX(FormData,$W427,f_Region)&amp;"",""))</f>
        <v/>
      </c>
      <c r="H427" s="16">
        <f>IF($W427="","",IFERROR(IF(SUMPRODUCT(MAX((SitKW&lt;&gt;"")*ISNUMBER(SEARCH(SitKW,INDEX(FormData,$W427,f_Sit)&amp;""))*(ROW(SitKW)-MIN(ROW(SitKW))+1)))=0,"",INDEX(SitVal,SUMPRODUCT(MAX((SitKW&lt;&gt;"")*ISNUMBER(SEARCH(SitKW,INDEX(FormData,$W427,f_Sit)&amp;""))*(ROW(SitKW)-MIN(ROW(SitKW))+1))))),""))</f>
        <v/>
      </c>
      <c r="I427" s="14">
        <f>IF($W427="","",IFERROR(INDEX(FormData,$W427,f_Appr)&amp;"",""))</f>
        <v/>
      </c>
      <c r="J427" s="16">
        <f>IF($W427="","",IFERROR(INDEX(FormData,$W427,f_Trade)&amp;"",""))</f>
        <v/>
      </c>
      <c r="K427" s="16" t="n"/>
      <c r="L427" s="17" t="n"/>
      <c r="M427" s="16" t="n"/>
      <c r="N427" s="17" t="n"/>
      <c r="O427" s="14" t="n"/>
      <c r="P427" s="14" t="n"/>
      <c r="Q427" s="18" t="n"/>
      <c r="R427" s="18" t="n"/>
      <c r="S427" s="13">
        <f>IF($P427&lt;&gt;"✓","",IF($R427&lt;&gt;"","Done",IF($Q427="","Open — no date",IF($Q427&lt;TODAY(),"Overdue",IF($Q427-TODAY()&lt;=DueSoon,"Due soon","Scheduled")))))</f>
        <v/>
      </c>
      <c r="T427" s="14">
        <f>IF($W427="","",IFERROR(IF(INDEX(FormData,$W427,f_Consent)&amp;""="","",IF(ISNUMBER(SEARCH("yes",INDEX(FormData,$W427,f_Consent))),"Yes","No")),""))</f>
        <v/>
      </c>
      <c r="U427" s="14" t="n"/>
      <c r="V427" s="13">
        <f>IF($U427="","",IF($W427="","not found","✓"))</f>
        <v/>
      </c>
      <c r="W427">
        <f>IF($U427="","",IFERROR(MATCH($U427,INDEX(FormData,0,f_Id),0),IFERROR(MATCH(--$U427,INDEX(FormData,0,f_Id),0),IFERROR(MATCH($U427&amp;"",INDEX(FormData,0,f_Id),0),""))))</f>
        <v/>
      </c>
      <c r="X427">
        <f>IF(AND($B427&lt;&gt;"",$B427='Event Report'!$C$3),ROW(),"")</f>
        <v/>
      </c>
      <c r="Y427">
        <f>IF(AND($P427="✓",$R427=""),IF($Q427="",90000,$Q427)+ROW()/100000,"")</f>
        <v/>
      </c>
      <c r="Z427">
        <f>IF(OR($U427&lt;&gt;"",$D427&lt;&gt;"",$E427&lt;&gt;"",$N427&lt;&gt;""),1,"")</f>
        <v/>
      </c>
    </row>
    <row r="428">
      <c r="A428" s="13" t="inlineStr">
        <is>
          <t>P-0424</t>
        </is>
      </c>
      <c r="B428" s="14">
        <f>IF(AND($U428="",$C428=""),"",IFERROR(INDEX(EvID,MATCH(INDEX(FormData,$W428,f_Event),EvID,0)),IFERROR(INDEX(EvID,MATCH(INDEX(FormData,$W428,f_Event),EvName,0)),IFERROR(INDEX(EvID,MATCH(INT($C428),EvDate,0)),""))))</f>
        <v/>
      </c>
      <c r="C428" s="15">
        <f>IF($W428="","",INDEX(FormData,$W428,f_Time))</f>
        <v/>
      </c>
      <c r="D428" s="14">
        <f>IF($W428="","",IFERROR(UPPER(LEFT(TRIM(INDEX(FormData,$W428,f_Name)),1)&amp;IFERROR(MID(TRIM(INDEX(FormData,$W428,f_Name)),FIND("^",SUBSTITUTE(TRIM(INDEX(FormData,$W428,f_Name))," ","^",LEN(TRIM(INDEX(FormData,$W428,f_Name)))-LEN(SUBSTITUTE(TRIM(INDEX(FormData,$W428,f_Name))," ",""))))+1,1),"")),""))</f>
        <v/>
      </c>
      <c r="E428" s="16">
        <f>IF($W428="","",IFERROR(IF(SUMPRODUCT(MAX((WhoKW&lt;&gt;"")*ISNUMBER(SEARCH(WhoKW,INDEX(FormData,$W428,f_Who)&amp;""))*(ROW(WhoKW)-MIN(ROW(WhoKW))+1)))=0,"",INDEX(WhoVal,SUMPRODUCT(MAX((WhoKW&lt;&gt;"")*ISNUMBER(SEARCH(WhoKW,INDEX(FormData,$W428,f_Who)&amp;""))*(ROW(WhoKW)-MIN(ROW(WhoKW))+1))))),""))</f>
        <v/>
      </c>
      <c r="F428" s="17">
        <f>IF($W428="","",TRIM(IFERROR(INDEX(FormData,$W428,f_Org1)&amp;"","")&amp;" "&amp;IFERROR(INDEX(FormData,$W428,f_Org2)&amp;"","")))</f>
        <v/>
      </c>
      <c r="G428" s="16">
        <f>IF($W428="","",IFERROR(INDEX(FormData,$W428,f_Region)&amp;"",""))</f>
        <v/>
      </c>
      <c r="H428" s="16">
        <f>IF($W428="","",IFERROR(IF(SUMPRODUCT(MAX((SitKW&lt;&gt;"")*ISNUMBER(SEARCH(SitKW,INDEX(FormData,$W428,f_Sit)&amp;""))*(ROW(SitKW)-MIN(ROW(SitKW))+1)))=0,"",INDEX(SitVal,SUMPRODUCT(MAX((SitKW&lt;&gt;"")*ISNUMBER(SEARCH(SitKW,INDEX(FormData,$W428,f_Sit)&amp;""))*(ROW(SitKW)-MIN(ROW(SitKW))+1))))),""))</f>
        <v/>
      </c>
      <c r="I428" s="14">
        <f>IF($W428="","",IFERROR(INDEX(FormData,$W428,f_Appr)&amp;"",""))</f>
        <v/>
      </c>
      <c r="J428" s="16">
        <f>IF($W428="","",IFERROR(INDEX(FormData,$W428,f_Trade)&amp;"",""))</f>
        <v/>
      </c>
      <c r="K428" s="16" t="n"/>
      <c r="L428" s="17" t="n"/>
      <c r="M428" s="16" t="n"/>
      <c r="N428" s="17" t="n"/>
      <c r="O428" s="14" t="n"/>
      <c r="P428" s="14" t="n"/>
      <c r="Q428" s="18" t="n"/>
      <c r="R428" s="18" t="n"/>
      <c r="S428" s="13">
        <f>IF($P428&lt;&gt;"✓","",IF($R428&lt;&gt;"","Done",IF($Q428="","Open — no date",IF($Q428&lt;TODAY(),"Overdue",IF($Q428-TODAY()&lt;=DueSoon,"Due soon","Scheduled")))))</f>
        <v/>
      </c>
      <c r="T428" s="14">
        <f>IF($W428="","",IFERROR(IF(INDEX(FormData,$W428,f_Consent)&amp;""="","",IF(ISNUMBER(SEARCH("yes",INDEX(FormData,$W428,f_Consent))),"Yes","No")),""))</f>
        <v/>
      </c>
      <c r="U428" s="14" t="n"/>
      <c r="V428" s="13">
        <f>IF($U428="","",IF($W428="","not found","✓"))</f>
        <v/>
      </c>
      <c r="W428">
        <f>IF($U428="","",IFERROR(MATCH($U428,INDEX(FormData,0,f_Id),0),IFERROR(MATCH(--$U428,INDEX(FormData,0,f_Id),0),IFERROR(MATCH($U428&amp;"",INDEX(FormData,0,f_Id),0),""))))</f>
        <v/>
      </c>
      <c r="X428">
        <f>IF(AND($B428&lt;&gt;"",$B428='Event Report'!$C$3),ROW(),"")</f>
        <v/>
      </c>
      <c r="Y428">
        <f>IF(AND($P428="✓",$R428=""),IF($Q428="",90000,$Q428)+ROW()/100000,"")</f>
        <v/>
      </c>
      <c r="Z428">
        <f>IF(OR($U428&lt;&gt;"",$D428&lt;&gt;"",$E428&lt;&gt;"",$N428&lt;&gt;""),1,"")</f>
        <v/>
      </c>
    </row>
    <row r="429">
      <c r="A429" s="13" t="inlineStr">
        <is>
          <t>P-0425</t>
        </is>
      </c>
      <c r="B429" s="14">
        <f>IF(AND($U429="",$C429=""),"",IFERROR(INDEX(EvID,MATCH(INDEX(FormData,$W429,f_Event),EvID,0)),IFERROR(INDEX(EvID,MATCH(INDEX(FormData,$W429,f_Event),EvName,0)),IFERROR(INDEX(EvID,MATCH(INT($C429),EvDate,0)),""))))</f>
        <v/>
      </c>
      <c r="C429" s="15">
        <f>IF($W429="","",INDEX(FormData,$W429,f_Time))</f>
        <v/>
      </c>
      <c r="D429" s="14">
        <f>IF($W429="","",IFERROR(UPPER(LEFT(TRIM(INDEX(FormData,$W429,f_Name)),1)&amp;IFERROR(MID(TRIM(INDEX(FormData,$W429,f_Name)),FIND("^",SUBSTITUTE(TRIM(INDEX(FormData,$W429,f_Name))," ","^",LEN(TRIM(INDEX(FormData,$W429,f_Name)))-LEN(SUBSTITUTE(TRIM(INDEX(FormData,$W429,f_Name))," ",""))))+1,1),"")),""))</f>
        <v/>
      </c>
      <c r="E429" s="16">
        <f>IF($W429="","",IFERROR(IF(SUMPRODUCT(MAX((WhoKW&lt;&gt;"")*ISNUMBER(SEARCH(WhoKW,INDEX(FormData,$W429,f_Who)&amp;""))*(ROW(WhoKW)-MIN(ROW(WhoKW))+1)))=0,"",INDEX(WhoVal,SUMPRODUCT(MAX((WhoKW&lt;&gt;"")*ISNUMBER(SEARCH(WhoKW,INDEX(FormData,$W429,f_Who)&amp;""))*(ROW(WhoKW)-MIN(ROW(WhoKW))+1))))),""))</f>
        <v/>
      </c>
      <c r="F429" s="17">
        <f>IF($W429="","",TRIM(IFERROR(INDEX(FormData,$W429,f_Org1)&amp;"","")&amp;" "&amp;IFERROR(INDEX(FormData,$W429,f_Org2)&amp;"","")))</f>
        <v/>
      </c>
      <c r="G429" s="16">
        <f>IF($W429="","",IFERROR(INDEX(FormData,$W429,f_Region)&amp;"",""))</f>
        <v/>
      </c>
      <c r="H429" s="16">
        <f>IF($W429="","",IFERROR(IF(SUMPRODUCT(MAX((SitKW&lt;&gt;"")*ISNUMBER(SEARCH(SitKW,INDEX(FormData,$W429,f_Sit)&amp;""))*(ROW(SitKW)-MIN(ROW(SitKW))+1)))=0,"",INDEX(SitVal,SUMPRODUCT(MAX((SitKW&lt;&gt;"")*ISNUMBER(SEARCH(SitKW,INDEX(FormData,$W429,f_Sit)&amp;""))*(ROW(SitKW)-MIN(ROW(SitKW))+1))))),""))</f>
        <v/>
      </c>
      <c r="I429" s="14">
        <f>IF($W429="","",IFERROR(INDEX(FormData,$W429,f_Appr)&amp;"",""))</f>
        <v/>
      </c>
      <c r="J429" s="16">
        <f>IF($W429="","",IFERROR(INDEX(FormData,$W429,f_Trade)&amp;"",""))</f>
        <v/>
      </c>
      <c r="K429" s="16" t="n"/>
      <c r="L429" s="17" t="n"/>
      <c r="M429" s="16" t="n"/>
      <c r="N429" s="17" t="n"/>
      <c r="O429" s="14" t="n"/>
      <c r="P429" s="14" t="n"/>
      <c r="Q429" s="18" t="n"/>
      <c r="R429" s="18" t="n"/>
      <c r="S429" s="13">
        <f>IF($P429&lt;&gt;"✓","",IF($R429&lt;&gt;"","Done",IF($Q429="","Open — no date",IF($Q429&lt;TODAY(),"Overdue",IF($Q429-TODAY()&lt;=DueSoon,"Due soon","Scheduled")))))</f>
        <v/>
      </c>
      <c r="T429" s="14">
        <f>IF($W429="","",IFERROR(IF(INDEX(FormData,$W429,f_Consent)&amp;""="","",IF(ISNUMBER(SEARCH("yes",INDEX(FormData,$W429,f_Consent))),"Yes","No")),""))</f>
        <v/>
      </c>
      <c r="U429" s="14" t="n"/>
      <c r="V429" s="13">
        <f>IF($U429="","",IF($W429="","not found","✓"))</f>
        <v/>
      </c>
      <c r="W429">
        <f>IF($U429="","",IFERROR(MATCH($U429,INDEX(FormData,0,f_Id),0),IFERROR(MATCH(--$U429,INDEX(FormData,0,f_Id),0),IFERROR(MATCH($U429&amp;"",INDEX(FormData,0,f_Id),0),""))))</f>
        <v/>
      </c>
      <c r="X429">
        <f>IF(AND($B429&lt;&gt;"",$B429='Event Report'!$C$3),ROW(),"")</f>
        <v/>
      </c>
      <c r="Y429">
        <f>IF(AND($P429="✓",$R429=""),IF($Q429="",90000,$Q429)+ROW()/100000,"")</f>
        <v/>
      </c>
      <c r="Z429">
        <f>IF(OR($U429&lt;&gt;"",$D429&lt;&gt;"",$E429&lt;&gt;"",$N429&lt;&gt;""),1,"")</f>
        <v/>
      </c>
    </row>
    <row r="430">
      <c r="A430" s="13" t="inlineStr">
        <is>
          <t>P-0426</t>
        </is>
      </c>
      <c r="B430" s="14">
        <f>IF(AND($U430="",$C430=""),"",IFERROR(INDEX(EvID,MATCH(INDEX(FormData,$W430,f_Event),EvID,0)),IFERROR(INDEX(EvID,MATCH(INDEX(FormData,$W430,f_Event),EvName,0)),IFERROR(INDEX(EvID,MATCH(INT($C430),EvDate,0)),""))))</f>
        <v/>
      </c>
      <c r="C430" s="15">
        <f>IF($W430="","",INDEX(FormData,$W430,f_Time))</f>
        <v/>
      </c>
      <c r="D430" s="14">
        <f>IF($W430="","",IFERROR(UPPER(LEFT(TRIM(INDEX(FormData,$W430,f_Name)),1)&amp;IFERROR(MID(TRIM(INDEX(FormData,$W430,f_Name)),FIND("^",SUBSTITUTE(TRIM(INDEX(FormData,$W430,f_Name))," ","^",LEN(TRIM(INDEX(FormData,$W430,f_Name)))-LEN(SUBSTITUTE(TRIM(INDEX(FormData,$W430,f_Name))," ",""))))+1,1),"")),""))</f>
        <v/>
      </c>
      <c r="E430" s="16">
        <f>IF($W430="","",IFERROR(IF(SUMPRODUCT(MAX((WhoKW&lt;&gt;"")*ISNUMBER(SEARCH(WhoKW,INDEX(FormData,$W430,f_Who)&amp;""))*(ROW(WhoKW)-MIN(ROW(WhoKW))+1)))=0,"",INDEX(WhoVal,SUMPRODUCT(MAX((WhoKW&lt;&gt;"")*ISNUMBER(SEARCH(WhoKW,INDEX(FormData,$W430,f_Who)&amp;""))*(ROW(WhoKW)-MIN(ROW(WhoKW))+1))))),""))</f>
        <v/>
      </c>
      <c r="F430" s="17">
        <f>IF($W430="","",TRIM(IFERROR(INDEX(FormData,$W430,f_Org1)&amp;"","")&amp;" "&amp;IFERROR(INDEX(FormData,$W430,f_Org2)&amp;"","")))</f>
        <v/>
      </c>
      <c r="G430" s="16">
        <f>IF($W430="","",IFERROR(INDEX(FormData,$W430,f_Region)&amp;"",""))</f>
        <v/>
      </c>
      <c r="H430" s="16">
        <f>IF($W430="","",IFERROR(IF(SUMPRODUCT(MAX((SitKW&lt;&gt;"")*ISNUMBER(SEARCH(SitKW,INDEX(FormData,$W430,f_Sit)&amp;""))*(ROW(SitKW)-MIN(ROW(SitKW))+1)))=0,"",INDEX(SitVal,SUMPRODUCT(MAX((SitKW&lt;&gt;"")*ISNUMBER(SEARCH(SitKW,INDEX(FormData,$W430,f_Sit)&amp;""))*(ROW(SitKW)-MIN(ROW(SitKW))+1))))),""))</f>
        <v/>
      </c>
      <c r="I430" s="14">
        <f>IF($W430="","",IFERROR(INDEX(FormData,$W430,f_Appr)&amp;"",""))</f>
        <v/>
      </c>
      <c r="J430" s="16">
        <f>IF($W430="","",IFERROR(INDEX(FormData,$W430,f_Trade)&amp;"",""))</f>
        <v/>
      </c>
      <c r="K430" s="16" t="n"/>
      <c r="L430" s="17" t="n"/>
      <c r="M430" s="16" t="n"/>
      <c r="N430" s="17" t="n"/>
      <c r="O430" s="14" t="n"/>
      <c r="P430" s="14" t="n"/>
      <c r="Q430" s="18" t="n"/>
      <c r="R430" s="18" t="n"/>
      <c r="S430" s="13">
        <f>IF($P430&lt;&gt;"✓","",IF($R430&lt;&gt;"","Done",IF($Q430="","Open — no date",IF($Q430&lt;TODAY(),"Overdue",IF($Q430-TODAY()&lt;=DueSoon,"Due soon","Scheduled")))))</f>
        <v/>
      </c>
      <c r="T430" s="14">
        <f>IF($W430="","",IFERROR(IF(INDEX(FormData,$W430,f_Consent)&amp;""="","",IF(ISNUMBER(SEARCH("yes",INDEX(FormData,$W430,f_Consent))),"Yes","No")),""))</f>
        <v/>
      </c>
      <c r="U430" s="14" t="n"/>
      <c r="V430" s="13">
        <f>IF($U430="","",IF($W430="","not found","✓"))</f>
        <v/>
      </c>
      <c r="W430">
        <f>IF($U430="","",IFERROR(MATCH($U430,INDEX(FormData,0,f_Id),0),IFERROR(MATCH(--$U430,INDEX(FormData,0,f_Id),0),IFERROR(MATCH($U430&amp;"",INDEX(FormData,0,f_Id),0),""))))</f>
        <v/>
      </c>
      <c r="X430">
        <f>IF(AND($B430&lt;&gt;"",$B430='Event Report'!$C$3),ROW(),"")</f>
        <v/>
      </c>
      <c r="Y430">
        <f>IF(AND($P430="✓",$R430=""),IF($Q430="",90000,$Q430)+ROW()/100000,"")</f>
        <v/>
      </c>
      <c r="Z430">
        <f>IF(OR($U430&lt;&gt;"",$D430&lt;&gt;"",$E430&lt;&gt;"",$N430&lt;&gt;""),1,"")</f>
        <v/>
      </c>
    </row>
    <row r="431">
      <c r="A431" s="13" t="inlineStr">
        <is>
          <t>P-0427</t>
        </is>
      </c>
      <c r="B431" s="14">
        <f>IF(AND($U431="",$C431=""),"",IFERROR(INDEX(EvID,MATCH(INDEX(FormData,$W431,f_Event),EvID,0)),IFERROR(INDEX(EvID,MATCH(INDEX(FormData,$W431,f_Event),EvName,0)),IFERROR(INDEX(EvID,MATCH(INT($C431),EvDate,0)),""))))</f>
        <v/>
      </c>
      <c r="C431" s="15">
        <f>IF($W431="","",INDEX(FormData,$W431,f_Time))</f>
        <v/>
      </c>
      <c r="D431" s="14">
        <f>IF($W431="","",IFERROR(UPPER(LEFT(TRIM(INDEX(FormData,$W431,f_Name)),1)&amp;IFERROR(MID(TRIM(INDEX(FormData,$W431,f_Name)),FIND("^",SUBSTITUTE(TRIM(INDEX(FormData,$W431,f_Name))," ","^",LEN(TRIM(INDEX(FormData,$W431,f_Name)))-LEN(SUBSTITUTE(TRIM(INDEX(FormData,$W431,f_Name))," ",""))))+1,1),"")),""))</f>
        <v/>
      </c>
      <c r="E431" s="16">
        <f>IF($W431="","",IFERROR(IF(SUMPRODUCT(MAX((WhoKW&lt;&gt;"")*ISNUMBER(SEARCH(WhoKW,INDEX(FormData,$W431,f_Who)&amp;""))*(ROW(WhoKW)-MIN(ROW(WhoKW))+1)))=0,"",INDEX(WhoVal,SUMPRODUCT(MAX((WhoKW&lt;&gt;"")*ISNUMBER(SEARCH(WhoKW,INDEX(FormData,$W431,f_Who)&amp;""))*(ROW(WhoKW)-MIN(ROW(WhoKW))+1))))),""))</f>
        <v/>
      </c>
      <c r="F431" s="17">
        <f>IF($W431="","",TRIM(IFERROR(INDEX(FormData,$W431,f_Org1)&amp;"","")&amp;" "&amp;IFERROR(INDEX(FormData,$W431,f_Org2)&amp;"","")))</f>
        <v/>
      </c>
      <c r="G431" s="16">
        <f>IF($W431="","",IFERROR(INDEX(FormData,$W431,f_Region)&amp;"",""))</f>
        <v/>
      </c>
      <c r="H431" s="16">
        <f>IF($W431="","",IFERROR(IF(SUMPRODUCT(MAX((SitKW&lt;&gt;"")*ISNUMBER(SEARCH(SitKW,INDEX(FormData,$W431,f_Sit)&amp;""))*(ROW(SitKW)-MIN(ROW(SitKW))+1)))=0,"",INDEX(SitVal,SUMPRODUCT(MAX((SitKW&lt;&gt;"")*ISNUMBER(SEARCH(SitKW,INDEX(FormData,$W431,f_Sit)&amp;""))*(ROW(SitKW)-MIN(ROW(SitKW))+1))))),""))</f>
        <v/>
      </c>
      <c r="I431" s="14">
        <f>IF($W431="","",IFERROR(INDEX(FormData,$W431,f_Appr)&amp;"",""))</f>
        <v/>
      </c>
      <c r="J431" s="16">
        <f>IF($W431="","",IFERROR(INDEX(FormData,$W431,f_Trade)&amp;"",""))</f>
        <v/>
      </c>
      <c r="K431" s="16" t="n"/>
      <c r="L431" s="17" t="n"/>
      <c r="M431" s="16" t="n"/>
      <c r="N431" s="17" t="n"/>
      <c r="O431" s="14" t="n"/>
      <c r="P431" s="14" t="n"/>
      <c r="Q431" s="18" t="n"/>
      <c r="R431" s="18" t="n"/>
      <c r="S431" s="13">
        <f>IF($P431&lt;&gt;"✓","",IF($R431&lt;&gt;"","Done",IF($Q431="","Open — no date",IF($Q431&lt;TODAY(),"Overdue",IF($Q431-TODAY()&lt;=DueSoon,"Due soon","Scheduled")))))</f>
        <v/>
      </c>
      <c r="T431" s="14">
        <f>IF($W431="","",IFERROR(IF(INDEX(FormData,$W431,f_Consent)&amp;""="","",IF(ISNUMBER(SEARCH("yes",INDEX(FormData,$W431,f_Consent))),"Yes","No")),""))</f>
        <v/>
      </c>
      <c r="U431" s="14" t="n"/>
      <c r="V431" s="13">
        <f>IF($U431="","",IF($W431="","not found","✓"))</f>
        <v/>
      </c>
      <c r="W431">
        <f>IF($U431="","",IFERROR(MATCH($U431,INDEX(FormData,0,f_Id),0),IFERROR(MATCH(--$U431,INDEX(FormData,0,f_Id),0),IFERROR(MATCH($U431&amp;"",INDEX(FormData,0,f_Id),0),""))))</f>
        <v/>
      </c>
      <c r="X431">
        <f>IF(AND($B431&lt;&gt;"",$B431='Event Report'!$C$3),ROW(),"")</f>
        <v/>
      </c>
      <c r="Y431">
        <f>IF(AND($P431="✓",$R431=""),IF($Q431="",90000,$Q431)+ROW()/100000,"")</f>
        <v/>
      </c>
      <c r="Z431">
        <f>IF(OR($U431&lt;&gt;"",$D431&lt;&gt;"",$E431&lt;&gt;"",$N431&lt;&gt;""),1,"")</f>
        <v/>
      </c>
    </row>
    <row r="432">
      <c r="A432" s="13" t="inlineStr">
        <is>
          <t>P-0428</t>
        </is>
      </c>
      <c r="B432" s="14">
        <f>IF(AND($U432="",$C432=""),"",IFERROR(INDEX(EvID,MATCH(INDEX(FormData,$W432,f_Event),EvID,0)),IFERROR(INDEX(EvID,MATCH(INDEX(FormData,$W432,f_Event),EvName,0)),IFERROR(INDEX(EvID,MATCH(INT($C432),EvDate,0)),""))))</f>
        <v/>
      </c>
      <c r="C432" s="15">
        <f>IF($W432="","",INDEX(FormData,$W432,f_Time))</f>
        <v/>
      </c>
      <c r="D432" s="14">
        <f>IF($W432="","",IFERROR(UPPER(LEFT(TRIM(INDEX(FormData,$W432,f_Name)),1)&amp;IFERROR(MID(TRIM(INDEX(FormData,$W432,f_Name)),FIND("^",SUBSTITUTE(TRIM(INDEX(FormData,$W432,f_Name))," ","^",LEN(TRIM(INDEX(FormData,$W432,f_Name)))-LEN(SUBSTITUTE(TRIM(INDEX(FormData,$W432,f_Name))," ",""))))+1,1),"")),""))</f>
        <v/>
      </c>
      <c r="E432" s="16">
        <f>IF($W432="","",IFERROR(IF(SUMPRODUCT(MAX((WhoKW&lt;&gt;"")*ISNUMBER(SEARCH(WhoKW,INDEX(FormData,$W432,f_Who)&amp;""))*(ROW(WhoKW)-MIN(ROW(WhoKW))+1)))=0,"",INDEX(WhoVal,SUMPRODUCT(MAX((WhoKW&lt;&gt;"")*ISNUMBER(SEARCH(WhoKW,INDEX(FormData,$W432,f_Who)&amp;""))*(ROW(WhoKW)-MIN(ROW(WhoKW))+1))))),""))</f>
        <v/>
      </c>
      <c r="F432" s="17">
        <f>IF($W432="","",TRIM(IFERROR(INDEX(FormData,$W432,f_Org1)&amp;"","")&amp;" "&amp;IFERROR(INDEX(FormData,$W432,f_Org2)&amp;"","")))</f>
        <v/>
      </c>
      <c r="G432" s="16">
        <f>IF($W432="","",IFERROR(INDEX(FormData,$W432,f_Region)&amp;"",""))</f>
        <v/>
      </c>
      <c r="H432" s="16">
        <f>IF($W432="","",IFERROR(IF(SUMPRODUCT(MAX((SitKW&lt;&gt;"")*ISNUMBER(SEARCH(SitKW,INDEX(FormData,$W432,f_Sit)&amp;""))*(ROW(SitKW)-MIN(ROW(SitKW))+1)))=0,"",INDEX(SitVal,SUMPRODUCT(MAX((SitKW&lt;&gt;"")*ISNUMBER(SEARCH(SitKW,INDEX(FormData,$W432,f_Sit)&amp;""))*(ROW(SitKW)-MIN(ROW(SitKW))+1))))),""))</f>
        <v/>
      </c>
      <c r="I432" s="14">
        <f>IF($W432="","",IFERROR(INDEX(FormData,$W432,f_Appr)&amp;"",""))</f>
        <v/>
      </c>
      <c r="J432" s="16">
        <f>IF($W432="","",IFERROR(INDEX(FormData,$W432,f_Trade)&amp;"",""))</f>
        <v/>
      </c>
      <c r="K432" s="16" t="n"/>
      <c r="L432" s="17" t="n"/>
      <c r="M432" s="16" t="n"/>
      <c r="N432" s="17" t="n"/>
      <c r="O432" s="14" t="n"/>
      <c r="P432" s="14" t="n"/>
      <c r="Q432" s="18" t="n"/>
      <c r="R432" s="18" t="n"/>
      <c r="S432" s="13">
        <f>IF($P432&lt;&gt;"✓","",IF($R432&lt;&gt;"","Done",IF($Q432="","Open — no date",IF($Q432&lt;TODAY(),"Overdue",IF($Q432-TODAY()&lt;=DueSoon,"Due soon","Scheduled")))))</f>
        <v/>
      </c>
      <c r="T432" s="14">
        <f>IF($W432="","",IFERROR(IF(INDEX(FormData,$W432,f_Consent)&amp;""="","",IF(ISNUMBER(SEARCH("yes",INDEX(FormData,$W432,f_Consent))),"Yes","No")),""))</f>
        <v/>
      </c>
      <c r="U432" s="14" t="n"/>
      <c r="V432" s="13">
        <f>IF($U432="","",IF($W432="","not found","✓"))</f>
        <v/>
      </c>
      <c r="W432">
        <f>IF($U432="","",IFERROR(MATCH($U432,INDEX(FormData,0,f_Id),0),IFERROR(MATCH(--$U432,INDEX(FormData,0,f_Id),0),IFERROR(MATCH($U432&amp;"",INDEX(FormData,0,f_Id),0),""))))</f>
        <v/>
      </c>
      <c r="X432">
        <f>IF(AND($B432&lt;&gt;"",$B432='Event Report'!$C$3),ROW(),"")</f>
        <v/>
      </c>
      <c r="Y432">
        <f>IF(AND($P432="✓",$R432=""),IF($Q432="",90000,$Q432)+ROW()/100000,"")</f>
        <v/>
      </c>
      <c r="Z432">
        <f>IF(OR($U432&lt;&gt;"",$D432&lt;&gt;"",$E432&lt;&gt;"",$N432&lt;&gt;""),1,"")</f>
        <v/>
      </c>
    </row>
    <row r="433">
      <c r="A433" s="13" t="inlineStr">
        <is>
          <t>P-0429</t>
        </is>
      </c>
      <c r="B433" s="14">
        <f>IF(AND($U433="",$C433=""),"",IFERROR(INDEX(EvID,MATCH(INDEX(FormData,$W433,f_Event),EvID,0)),IFERROR(INDEX(EvID,MATCH(INDEX(FormData,$W433,f_Event),EvName,0)),IFERROR(INDEX(EvID,MATCH(INT($C433),EvDate,0)),""))))</f>
        <v/>
      </c>
      <c r="C433" s="15">
        <f>IF($W433="","",INDEX(FormData,$W433,f_Time))</f>
        <v/>
      </c>
      <c r="D433" s="14">
        <f>IF($W433="","",IFERROR(UPPER(LEFT(TRIM(INDEX(FormData,$W433,f_Name)),1)&amp;IFERROR(MID(TRIM(INDEX(FormData,$W433,f_Name)),FIND("^",SUBSTITUTE(TRIM(INDEX(FormData,$W433,f_Name))," ","^",LEN(TRIM(INDEX(FormData,$W433,f_Name)))-LEN(SUBSTITUTE(TRIM(INDEX(FormData,$W433,f_Name))," ",""))))+1,1),"")),""))</f>
        <v/>
      </c>
      <c r="E433" s="16">
        <f>IF($W433="","",IFERROR(IF(SUMPRODUCT(MAX((WhoKW&lt;&gt;"")*ISNUMBER(SEARCH(WhoKW,INDEX(FormData,$W433,f_Who)&amp;""))*(ROW(WhoKW)-MIN(ROW(WhoKW))+1)))=0,"",INDEX(WhoVal,SUMPRODUCT(MAX((WhoKW&lt;&gt;"")*ISNUMBER(SEARCH(WhoKW,INDEX(FormData,$W433,f_Who)&amp;""))*(ROW(WhoKW)-MIN(ROW(WhoKW))+1))))),""))</f>
        <v/>
      </c>
      <c r="F433" s="17">
        <f>IF($W433="","",TRIM(IFERROR(INDEX(FormData,$W433,f_Org1)&amp;"","")&amp;" "&amp;IFERROR(INDEX(FormData,$W433,f_Org2)&amp;"","")))</f>
        <v/>
      </c>
      <c r="G433" s="16">
        <f>IF($W433="","",IFERROR(INDEX(FormData,$W433,f_Region)&amp;"",""))</f>
        <v/>
      </c>
      <c r="H433" s="16">
        <f>IF($W433="","",IFERROR(IF(SUMPRODUCT(MAX((SitKW&lt;&gt;"")*ISNUMBER(SEARCH(SitKW,INDEX(FormData,$W433,f_Sit)&amp;""))*(ROW(SitKW)-MIN(ROW(SitKW))+1)))=0,"",INDEX(SitVal,SUMPRODUCT(MAX((SitKW&lt;&gt;"")*ISNUMBER(SEARCH(SitKW,INDEX(FormData,$W433,f_Sit)&amp;""))*(ROW(SitKW)-MIN(ROW(SitKW))+1))))),""))</f>
        <v/>
      </c>
      <c r="I433" s="14">
        <f>IF($W433="","",IFERROR(INDEX(FormData,$W433,f_Appr)&amp;"",""))</f>
        <v/>
      </c>
      <c r="J433" s="16">
        <f>IF($W433="","",IFERROR(INDEX(FormData,$W433,f_Trade)&amp;"",""))</f>
        <v/>
      </c>
      <c r="K433" s="16" t="n"/>
      <c r="L433" s="17" t="n"/>
      <c r="M433" s="16" t="n"/>
      <c r="N433" s="17" t="n"/>
      <c r="O433" s="14" t="n"/>
      <c r="P433" s="14" t="n"/>
      <c r="Q433" s="18" t="n"/>
      <c r="R433" s="18" t="n"/>
      <c r="S433" s="13">
        <f>IF($P433&lt;&gt;"✓","",IF($R433&lt;&gt;"","Done",IF($Q433="","Open — no date",IF($Q433&lt;TODAY(),"Overdue",IF($Q433-TODAY()&lt;=DueSoon,"Due soon","Scheduled")))))</f>
        <v/>
      </c>
      <c r="T433" s="14">
        <f>IF($W433="","",IFERROR(IF(INDEX(FormData,$W433,f_Consent)&amp;""="","",IF(ISNUMBER(SEARCH("yes",INDEX(FormData,$W433,f_Consent))),"Yes","No")),""))</f>
        <v/>
      </c>
      <c r="U433" s="14" t="n"/>
      <c r="V433" s="13">
        <f>IF($U433="","",IF($W433="","not found","✓"))</f>
        <v/>
      </c>
      <c r="W433">
        <f>IF($U433="","",IFERROR(MATCH($U433,INDEX(FormData,0,f_Id),0),IFERROR(MATCH(--$U433,INDEX(FormData,0,f_Id),0),IFERROR(MATCH($U433&amp;"",INDEX(FormData,0,f_Id),0),""))))</f>
        <v/>
      </c>
      <c r="X433">
        <f>IF(AND($B433&lt;&gt;"",$B433='Event Report'!$C$3),ROW(),"")</f>
        <v/>
      </c>
      <c r="Y433">
        <f>IF(AND($P433="✓",$R433=""),IF($Q433="",90000,$Q433)+ROW()/100000,"")</f>
        <v/>
      </c>
      <c r="Z433">
        <f>IF(OR($U433&lt;&gt;"",$D433&lt;&gt;"",$E433&lt;&gt;"",$N433&lt;&gt;""),1,"")</f>
        <v/>
      </c>
    </row>
    <row r="434">
      <c r="A434" s="13" t="inlineStr">
        <is>
          <t>P-0430</t>
        </is>
      </c>
      <c r="B434" s="14">
        <f>IF(AND($U434="",$C434=""),"",IFERROR(INDEX(EvID,MATCH(INDEX(FormData,$W434,f_Event),EvID,0)),IFERROR(INDEX(EvID,MATCH(INDEX(FormData,$W434,f_Event),EvName,0)),IFERROR(INDEX(EvID,MATCH(INT($C434),EvDate,0)),""))))</f>
        <v/>
      </c>
      <c r="C434" s="15">
        <f>IF($W434="","",INDEX(FormData,$W434,f_Time))</f>
        <v/>
      </c>
      <c r="D434" s="14">
        <f>IF($W434="","",IFERROR(UPPER(LEFT(TRIM(INDEX(FormData,$W434,f_Name)),1)&amp;IFERROR(MID(TRIM(INDEX(FormData,$W434,f_Name)),FIND("^",SUBSTITUTE(TRIM(INDEX(FormData,$W434,f_Name))," ","^",LEN(TRIM(INDEX(FormData,$W434,f_Name)))-LEN(SUBSTITUTE(TRIM(INDEX(FormData,$W434,f_Name))," ",""))))+1,1),"")),""))</f>
        <v/>
      </c>
      <c r="E434" s="16">
        <f>IF($W434="","",IFERROR(IF(SUMPRODUCT(MAX((WhoKW&lt;&gt;"")*ISNUMBER(SEARCH(WhoKW,INDEX(FormData,$W434,f_Who)&amp;""))*(ROW(WhoKW)-MIN(ROW(WhoKW))+1)))=0,"",INDEX(WhoVal,SUMPRODUCT(MAX((WhoKW&lt;&gt;"")*ISNUMBER(SEARCH(WhoKW,INDEX(FormData,$W434,f_Who)&amp;""))*(ROW(WhoKW)-MIN(ROW(WhoKW))+1))))),""))</f>
        <v/>
      </c>
      <c r="F434" s="17">
        <f>IF($W434="","",TRIM(IFERROR(INDEX(FormData,$W434,f_Org1)&amp;"","")&amp;" "&amp;IFERROR(INDEX(FormData,$W434,f_Org2)&amp;"","")))</f>
        <v/>
      </c>
      <c r="G434" s="16">
        <f>IF($W434="","",IFERROR(INDEX(FormData,$W434,f_Region)&amp;"",""))</f>
        <v/>
      </c>
      <c r="H434" s="16">
        <f>IF($W434="","",IFERROR(IF(SUMPRODUCT(MAX((SitKW&lt;&gt;"")*ISNUMBER(SEARCH(SitKW,INDEX(FormData,$W434,f_Sit)&amp;""))*(ROW(SitKW)-MIN(ROW(SitKW))+1)))=0,"",INDEX(SitVal,SUMPRODUCT(MAX((SitKW&lt;&gt;"")*ISNUMBER(SEARCH(SitKW,INDEX(FormData,$W434,f_Sit)&amp;""))*(ROW(SitKW)-MIN(ROW(SitKW))+1))))),""))</f>
        <v/>
      </c>
      <c r="I434" s="14">
        <f>IF($W434="","",IFERROR(INDEX(FormData,$W434,f_Appr)&amp;"",""))</f>
        <v/>
      </c>
      <c r="J434" s="16">
        <f>IF($W434="","",IFERROR(INDEX(FormData,$W434,f_Trade)&amp;"",""))</f>
        <v/>
      </c>
      <c r="K434" s="16" t="n"/>
      <c r="L434" s="17" t="n"/>
      <c r="M434" s="16" t="n"/>
      <c r="N434" s="17" t="n"/>
      <c r="O434" s="14" t="n"/>
      <c r="P434" s="14" t="n"/>
      <c r="Q434" s="18" t="n"/>
      <c r="R434" s="18" t="n"/>
      <c r="S434" s="13">
        <f>IF($P434&lt;&gt;"✓","",IF($R434&lt;&gt;"","Done",IF($Q434="","Open — no date",IF($Q434&lt;TODAY(),"Overdue",IF($Q434-TODAY()&lt;=DueSoon,"Due soon","Scheduled")))))</f>
        <v/>
      </c>
      <c r="T434" s="14">
        <f>IF($W434="","",IFERROR(IF(INDEX(FormData,$W434,f_Consent)&amp;""="","",IF(ISNUMBER(SEARCH("yes",INDEX(FormData,$W434,f_Consent))),"Yes","No")),""))</f>
        <v/>
      </c>
      <c r="U434" s="14" t="n"/>
      <c r="V434" s="13">
        <f>IF($U434="","",IF($W434="","not found","✓"))</f>
        <v/>
      </c>
      <c r="W434">
        <f>IF($U434="","",IFERROR(MATCH($U434,INDEX(FormData,0,f_Id),0),IFERROR(MATCH(--$U434,INDEX(FormData,0,f_Id),0),IFERROR(MATCH($U434&amp;"",INDEX(FormData,0,f_Id),0),""))))</f>
        <v/>
      </c>
      <c r="X434">
        <f>IF(AND($B434&lt;&gt;"",$B434='Event Report'!$C$3),ROW(),"")</f>
        <v/>
      </c>
      <c r="Y434">
        <f>IF(AND($P434="✓",$R434=""),IF($Q434="",90000,$Q434)+ROW()/100000,"")</f>
        <v/>
      </c>
      <c r="Z434">
        <f>IF(OR($U434&lt;&gt;"",$D434&lt;&gt;"",$E434&lt;&gt;"",$N434&lt;&gt;""),1,"")</f>
        <v/>
      </c>
    </row>
    <row r="435">
      <c r="A435" s="13" t="inlineStr">
        <is>
          <t>P-0431</t>
        </is>
      </c>
      <c r="B435" s="14">
        <f>IF(AND($U435="",$C435=""),"",IFERROR(INDEX(EvID,MATCH(INDEX(FormData,$W435,f_Event),EvID,0)),IFERROR(INDEX(EvID,MATCH(INDEX(FormData,$W435,f_Event),EvName,0)),IFERROR(INDEX(EvID,MATCH(INT($C435),EvDate,0)),""))))</f>
        <v/>
      </c>
      <c r="C435" s="15">
        <f>IF($W435="","",INDEX(FormData,$W435,f_Time))</f>
        <v/>
      </c>
      <c r="D435" s="14">
        <f>IF($W435="","",IFERROR(UPPER(LEFT(TRIM(INDEX(FormData,$W435,f_Name)),1)&amp;IFERROR(MID(TRIM(INDEX(FormData,$W435,f_Name)),FIND("^",SUBSTITUTE(TRIM(INDEX(FormData,$W435,f_Name))," ","^",LEN(TRIM(INDEX(FormData,$W435,f_Name)))-LEN(SUBSTITUTE(TRIM(INDEX(FormData,$W435,f_Name))," ",""))))+1,1),"")),""))</f>
        <v/>
      </c>
      <c r="E435" s="16">
        <f>IF($W435="","",IFERROR(IF(SUMPRODUCT(MAX((WhoKW&lt;&gt;"")*ISNUMBER(SEARCH(WhoKW,INDEX(FormData,$W435,f_Who)&amp;""))*(ROW(WhoKW)-MIN(ROW(WhoKW))+1)))=0,"",INDEX(WhoVal,SUMPRODUCT(MAX((WhoKW&lt;&gt;"")*ISNUMBER(SEARCH(WhoKW,INDEX(FormData,$W435,f_Who)&amp;""))*(ROW(WhoKW)-MIN(ROW(WhoKW))+1))))),""))</f>
        <v/>
      </c>
      <c r="F435" s="17">
        <f>IF($W435="","",TRIM(IFERROR(INDEX(FormData,$W435,f_Org1)&amp;"","")&amp;" "&amp;IFERROR(INDEX(FormData,$W435,f_Org2)&amp;"","")))</f>
        <v/>
      </c>
      <c r="G435" s="16">
        <f>IF($W435="","",IFERROR(INDEX(FormData,$W435,f_Region)&amp;"",""))</f>
        <v/>
      </c>
      <c r="H435" s="16">
        <f>IF($W435="","",IFERROR(IF(SUMPRODUCT(MAX((SitKW&lt;&gt;"")*ISNUMBER(SEARCH(SitKW,INDEX(FormData,$W435,f_Sit)&amp;""))*(ROW(SitKW)-MIN(ROW(SitKW))+1)))=0,"",INDEX(SitVal,SUMPRODUCT(MAX((SitKW&lt;&gt;"")*ISNUMBER(SEARCH(SitKW,INDEX(FormData,$W435,f_Sit)&amp;""))*(ROW(SitKW)-MIN(ROW(SitKW))+1))))),""))</f>
        <v/>
      </c>
      <c r="I435" s="14">
        <f>IF($W435="","",IFERROR(INDEX(FormData,$W435,f_Appr)&amp;"",""))</f>
        <v/>
      </c>
      <c r="J435" s="16">
        <f>IF($W435="","",IFERROR(INDEX(FormData,$W435,f_Trade)&amp;"",""))</f>
        <v/>
      </c>
      <c r="K435" s="16" t="n"/>
      <c r="L435" s="17" t="n"/>
      <c r="M435" s="16" t="n"/>
      <c r="N435" s="17" t="n"/>
      <c r="O435" s="14" t="n"/>
      <c r="P435" s="14" t="n"/>
      <c r="Q435" s="18" t="n"/>
      <c r="R435" s="18" t="n"/>
      <c r="S435" s="13">
        <f>IF($P435&lt;&gt;"✓","",IF($R435&lt;&gt;"","Done",IF($Q435="","Open — no date",IF($Q435&lt;TODAY(),"Overdue",IF($Q435-TODAY()&lt;=DueSoon,"Due soon","Scheduled")))))</f>
        <v/>
      </c>
      <c r="T435" s="14">
        <f>IF($W435="","",IFERROR(IF(INDEX(FormData,$W435,f_Consent)&amp;""="","",IF(ISNUMBER(SEARCH("yes",INDEX(FormData,$W435,f_Consent))),"Yes","No")),""))</f>
        <v/>
      </c>
      <c r="U435" s="14" t="n"/>
      <c r="V435" s="13">
        <f>IF($U435="","",IF($W435="","not found","✓"))</f>
        <v/>
      </c>
      <c r="W435">
        <f>IF($U435="","",IFERROR(MATCH($U435,INDEX(FormData,0,f_Id),0),IFERROR(MATCH(--$U435,INDEX(FormData,0,f_Id),0),IFERROR(MATCH($U435&amp;"",INDEX(FormData,0,f_Id),0),""))))</f>
        <v/>
      </c>
      <c r="X435">
        <f>IF(AND($B435&lt;&gt;"",$B435='Event Report'!$C$3),ROW(),"")</f>
        <v/>
      </c>
      <c r="Y435">
        <f>IF(AND($P435="✓",$R435=""),IF($Q435="",90000,$Q435)+ROW()/100000,"")</f>
        <v/>
      </c>
      <c r="Z435">
        <f>IF(OR($U435&lt;&gt;"",$D435&lt;&gt;"",$E435&lt;&gt;"",$N435&lt;&gt;""),1,"")</f>
        <v/>
      </c>
    </row>
    <row r="436">
      <c r="A436" s="13" t="inlineStr">
        <is>
          <t>P-0432</t>
        </is>
      </c>
      <c r="B436" s="14">
        <f>IF(AND($U436="",$C436=""),"",IFERROR(INDEX(EvID,MATCH(INDEX(FormData,$W436,f_Event),EvID,0)),IFERROR(INDEX(EvID,MATCH(INDEX(FormData,$W436,f_Event),EvName,0)),IFERROR(INDEX(EvID,MATCH(INT($C436),EvDate,0)),""))))</f>
        <v/>
      </c>
      <c r="C436" s="15">
        <f>IF($W436="","",INDEX(FormData,$W436,f_Time))</f>
        <v/>
      </c>
      <c r="D436" s="14">
        <f>IF($W436="","",IFERROR(UPPER(LEFT(TRIM(INDEX(FormData,$W436,f_Name)),1)&amp;IFERROR(MID(TRIM(INDEX(FormData,$W436,f_Name)),FIND("^",SUBSTITUTE(TRIM(INDEX(FormData,$W436,f_Name))," ","^",LEN(TRIM(INDEX(FormData,$W436,f_Name)))-LEN(SUBSTITUTE(TRIM(INDEX(FormData,$W436,f_Name))," ",""))))+1,1),"")),""))</f>
        <v/>
      </c>
      <c r="E436" s="16">
        <f>IF($W436="","",IFERROR(IF(SUMPRODUCT(MAX((WhoKW&lt;&gt;"")*ISNUMBER(SEARCH(WhoKW,INDEX(FormData,$W436,f_Who)&amp;""))*(ROW(WhoKW)-MIN(ROW(WhoKW))+1)))=0,"",INDEX(WhoVal,SUMPRODUCT(MAX((WhoKW&lt;&gt;"")*ISNUMBER(SEARCH(WhoKW,INDEX(FormData,$W436,f_Who)&amp;""))*(ROW(WhoKW)-MIN(ROW(WhoKW))+1))))),""))</f>
        <v/>
      </c>
      <c r="F436" s="17">
        <f>IF($W436="","",TRIM(IFERROR(INDEX(FormData,$W436,f_Org1)&amp;"","")&amp;" "&amp;IFERROR(INDEX(FormData,$W436,f_Org2)&amp;"","")))</f>
        <v/>
      </c>
      <c r="G436" s="16">
        <f>IF($W436="","",IFERROR(INDEX(FormData,$W436,f_Region)&amp;"",""))</f>
        <v/>
      </c>
      <c r="H436" s="16">
        <f>IF($W436="","",IFERROR(IF(SUMPRODUCT(MAX((SitKW&lt;&gt;"")*ISNUMBER(SEARCH(SitKW,INDEX(FormData,$W436,f_Sit)&amp;""))*(ROW(SitKW)-MIN(ROW(SitKW))+1)))=0,"",INDEX(SitVal,SUMPRODUCT(MAX((SitKW&lt;&gt;"")*ISNUMBER(SEARCH(SitKW,INDEX(FormData,$W436,f_Sit)&amp;""))*(ROW(SitKW)-MIN(ROW(SitKW))+1))))),""))</f>
        <v/>
      </c>
      <c r="I436" s="14">
        <f>IF($W436="","",IFERROR(INDEX(FormData,$W436,f_Appr)&amp;"",""))</f>
        <v/>
      </c>
      <c r="J436" s="16">
        <f>IF($W436="","",IFERROR(INDEX(FormData,$W436,f_Trade)&amp;"",""))</f>
        <v/>
      </c>
      <c r="K436" s="16" t="n"/>
      <c r="L436" s="17" t="n"/>
      <c r="M436" s="16" t="n"/>
      <c r="N436" s="17" t="n"/>
      <c r="O436" s="14" t="n"/>
      <c r="P436" s="14" t="n"/>
      <c r="Q436" s="18" t="n"/>
      <c r="R436" s="18" t="n"/>
      <c r="S436" s="13">
        <f>IF($P436&lt;&gt;"✓","",IF($R436&lt;&gt;"","Done",IF($Q436="","Open — no date",IF($Q436&lt;TODAY(),"Overdue",IF($Q436-TODAY()&lt;=DueSoon,"Due soon","Scheduled")))))</f>
        <v/>
      </c>
      <c r="T436" s="14">
        <f>IF($W436="","",IFERROR(IF(INDEX(FormData,$W436,f_Consent)&amp;""="","",IF(ISNUMBER(SEARCH("yes",INDEX(FormData,$W436,f_Consent))),"Yes","No")),""))</f>
        <v/>
      </c>
      <c r="U436" s="14" t="n"/>
      <c r="V436" s="13">
        <f>IF($U436="","",IF($W436="","not found","✓"))</f>
        <v/>
      </c>
      <c r="W436">
        <f>IF($U436="","",IFERROR(MATCH($U436,INDEX(FormData,0,f_Id),0),IFERROR(MATCH(--$U436,INDEX(FormData,0,f_Id),0),IFERROR(MATCH($U436&amp;"",INDEX(FormData,0,f_Id),0),""))))</f>
        <v/>
      </c>
      <c r="X436">
        <f>IF(AND($B436&lt;&gt;"",$B436='Event Report'!$C$3),ROW(),"")</f>
        <v/>
      </c>
      <c r="Y436">
        <f>IF(AND($P436="✓",$R436=""),IF($Q436="",90000,$Q436)+ROW()/100000,"")</f>
        <v/>
      </c>
      <c r="Z436">
        <f>IF(OR($U436&lt;&gt;"",$D436&lt;&gt;"",$E436&lt;&gt;"",$N436&lt;&gt;""),1,"")</f>
        <v/>
      </c>
    </row>
    <row r="437">
      <c r="A437" s="13" t="inlineStr">
        <is>
          <t>P-0433</t>
        </is>
      </c>
      <c r="B437" s="14">
        <f>IF(AND($U437="",$C437=""),"",IFERROR(INDEX(EvID,MATCH(INDEX(FormData,$W437,f_Event),EvID,0)),IFERROR(INDEX(EvID,MATCH(INDEX(FormData,$W437,f_Event),EvName,0)),IFERROR(INDEX(EvID,MATCH(INT($C437),EvDate,0)),""))))</f>
        <v/>
      </c>
      <c r="C437" s="15">
        <f>IF($W437="","",INDEX(FormData,$W437,f_Time))</f>
        <v/>
      </c>
      <c r="D437" s="14">
        <f>IF($W437="","",IFERROR(UPPER(LEFT(TRIM(INDEX(FormData,$W437,f_Name)),1)&amp;IFERROR(MID(TRIM(INDEX(FormData,$W437,f_Name)),FIND("^",SUBSTITUTE(TRIM(INDEX(FormData,$W437,f_Name))," ","^",LEN(TRIM(INDEX(FormData,$W437,f_Name)))-LEN(SUBSTITUTE(TRIM(INDEX(FormData,$W437,f_Name))," ",""))))+1,1),"")),""))</f>
        <v/>
      </c>
      <c r="E437" s="16">
        <f>IF($W437="","",IFERROR(IF(SUMPRODUCT(MAX((WhoKW&lt;&gt;"")*ISNUMBER(SEARCH(WhoKW,INDEX(FormData,$W437,f_Who)&amp;""))*(ROW(WhoKW)-MIN(ROW(WhoKW))+1)))=0,"",INDEX(WhoVal,SUMPRODUCT(MAX((WhoKW&lt;&gt;"")*ISNUMBER(SEARCH(WhoKW,INDEX(FormData,$W437,f_Who)&amp;""))*(ROW(WhoKW)-MIN(ROW(WhoKW))+1))))),""))</f>
        <v/>
      </c>
      <c r="F437" s="17">
        <f>IF($W437="","",TRIM(IFERROR(INDEX(FormData,$W437,f_Org1)&amp;"","")&amp;" "&amp;IFERROR(INDEX(FormData,$W437,f_Org2)&amp;"","")))</f>
        <v/>
      </c>
      <c r="G437" s="16">
        <f>IF($W437="","",IFERROR(INDEX(FormData,$W437,f_Region)&amp;"",""))</f>
        <v/>
      </c>
      <c r="H437" s="16">
        <f>IF($W437="","",IFERROR(IF(SUMPRODUCT(MAX((SitKW&lt;&gt;"")*ISNUMBER(SEARCH(SitKW,INDEX(FormData,$W437,f_Sit)&amp;""))*(ROW(SitKW)-MIN(ROW(SitKW))+1)))=0,"",INDEX(SitVal,SUMPRODUCT(MAX((SitKW&lt;&gt;"")*ISNUMBER(SEARCH(SitKW,INDEX(FormData,$W437,f_Sit)&amp;""))*(ROW(SitKW)-MIN(ROW(SitKW))+1))))),""))</f>
        <v/>
      </c>
      <c r="I437" s="14">
        <f>IF($W437="","",IFERROR(INDEX(FormData,$W437,f_Appr)&amp;"",""))</f>
        <v/>
      </c>
      <c r="J437" s="16">
        <f>IF($W437="","",IFERROR(INDEX(FormData,$W437,f_Trade)&amp;"",""))</f>
        <v/>
      </c>
      <c r="K437" s="16" t="n"/>
      <c r="L437" s="17" t="n"/>
      <c r="M437" s="16" t="n"/>
      <c r="N437" s="17" t="n"/>
      <c r="O437" s="14" t="n"/>
      <c r="P437" s="14" t="n"/>
      <c r="Q437" s="18" t="n"/>
      <c r="R437" s="18" t="n"/>
      <c r="S437" s="13">
        <f>IF($P437&lt;&gt;"✓","",IF($R437&lt;&gt;"","Done",IF($Q437="","Open — no date",IF($Q437&lt;TODAY(),"Overdue",IF($Q437-TODAY()&lt;=DueSoon,"Due soon","Scheduled")))))</f>
        <v/>
      </c>
      <c r="T437" s="14">
        <f>IF($W437="","",IFERROR(IF(INDEX(FormData,$W437,f_Consent)&amp;""="","",IF(ISNUMBER(SEARCH("yes",INDEX(FormData,$W437,f_Consent))),"Yes","No")),""))</f>
        <v/>
      </c>
      <c r="U437" s="14" t="n"/>
      <c r="V437" s="13">
        <f>IF($U437="","",IF($W437="","not found","✓"))</f>
        <v/>
      </c>
      <c r="W437">
        <f>IF($U437="","",IFERROR(MATCH($U437,INDEX(FormData,0,f_Id),0),IFERROR(MATCH(--$U437,INDEX(FormData,0,f_Id),0),IFERROR(MATCH($U437&amp;"",INDEX(FormData,0,f_Id),0),""))))</f>
        <v/>
      </c>
      <c r="X437">
        <f>IF(AND($B437&lt;&gt;"",$B437='Event Report'!$C$3),ROW(),"")</f>
        <v/>
      </c>
      <c r="Y437">
        <f>IF(AND($P437="✓",$R437=""),IF($Q437="",90000,$Q437)+ROW()/100000,"")</f>
        <v/>
      </c>
      <c r="Z437">
        <f>IF(OR($U437&lt;&gt;"",$D437&lt;&gt;"",$E437&lt;&gt;"",$N437&lt;&gt;""),1,"")</f>
        <v/>
      </c>
    </row>
    <row r="438">
      <c r="A438" s="13" t="inlineStr">
        <is>
          <t>P-0434</t>
        </is>
      </c>
      <c r="B438" s="14">
        <f>IF(AND($U438="",$C438=""),"",IFERROR(INDEX(EvID,MATCH(INDEX(FormData,$W438,f_Event),EvID,0)),IFERROR(INDEX(EvID,MATCH(INDEX(FormData,$W438,f_Event),EvName,0)),IFERROR(INDEX(EvID,MATCH(INT($C438),EvDate,0)),""))))</f>
        <v/>
      </c>
      <c r="C438" s="15">
        <f>IF($W438="","",INDEX(FormData,$W438,f_Time))</f>
        <v/>
      </c>
      <c r="D438" s="14">
        <f>IF($W438="","",IFERROR(UPPER(LEFT(TRIM(INDEX(FormData,$W438,f_Name)),1)&amp;IFERROR(MID(TRIM(INDEX(FormData,$W438,f_Name)),FIND("^",SUBSTITUTE(TRIM(INDEX(FormData,$W438,f_Name))," ","^",LEN(TRIM(INDEX(FormData,$W438,f_Name)))-LEN(SUBSTITUTE(TRIM(INDEX(FormData,$W438,f_Name))," ",""))))+1,1),"")),""))</f>
        <v/>
      </c>
      <c r="E438" s="16">
        <f>IF($W438="","",IFERROR(IF(SUMPRODUCT(MAX((WhoKW&lt;&gt;"")*ISNUMBER(SEARCH(WhoKW,INDEX(FormData,$W438,f_Who)&amp;""))*(ROW(WhoKW)-MIN(ROW(WhoKW))+1)))=0,"",INDEX(WhoVal,SUMPRODUCT(MAX((WhoKW&lt;&gt;"")*ISNUMBER(SEARCH(WhoKW,INDEX(FormData,$W438,f_Who)&amp;""))*(ROW(WhoKW)-MIN(ROW(WhoKW))+1))))),""))</f>
        <v/>
      </c>
      <c r="F438" s="17">
        <f>IF($W438="","",TRIM(IFERROR(INDEX(FormData,$W438,f_Org1)&amp;"","")&amp;" "&amp;IFERROR(INDEX(FormData,$W438,f_Org2)&amp;"","")))</f>
        <v/>
      </c>
      <c r="G438" s="16">
        <f>IF($W438="","",IFERROR(INDEX(FormData,$W438,f_Region)&amp;"",""))</f>
        <v/>
      </c>
      <c r="H438" s="16">
        <f>IF($W438="","",IFERROR(IF(SUMPRODUCT(MAX((SitKW&lt;&gt;"")*ISNUMBER(SEARCH(SitKW,INDEX(FormData,$W438,f_Sit)&amp;""))*(ROW(SitKW)-MIN(ROW(SitKW))+1)))=0,"",INDEX(SitVal,SUMPRODUCT(MAX((SitKW&lt;&gt;"")*ISNUMBER(SEARCH(SitKW,INDEX(FormData,$W438,f_Sit)&amp;""))*(ROW(SitKW)-MIN(ROW(SitKW))+1))))),""))</f>
        <v/>
      </c>
      <c r="I438" s="14">
        <f>IF($W438="","",IFERROR(INDEX(FormData,$W438,f_Appr)&amp;"",""))</f>
        <v/>
      </c>
      <c r="J438" s="16">
        <f>IF($W438="","",IFERROR(INDEX(FormData,$W438,f_Trade)&amp;"",""))</f>
        <v/>
      </c>
      <c r="K438" s="16" t="n"/>
      <c r="L438" s="17" t="n"/>
      <c r="M438" s="16" t="n"/>
      <c r="N438" s="17" t="n"/>
      <c r="O438" s="14" t="n"/>
      <c r="P438" s="14" t="n"/>
      <c r="Q438" s="18" t="n"/>
      <c r="R438" s="18" t="n"/>
      <c r="S438" s="13">
        <f>IF($P438&lt;&gt;"✓","",IF($R438&lt;&gt;"","Done",IF($Q438="","Open — no date",IF($Q438&lt;TODAY(),"Overdue",IF($Q438-TODAY()&lt;=DueSoon,"Due soon","Scheduled")))))</f>
        <v/>
      </c>
      <c r="T438" s="14">
        <f>IF($W438="","",IFERROR(IF(INDEX(FormData,$W438,f_Consent)&amp;""="","",IF(ISNUMBER(SEARCH("yes",INDEX(FormData,$W438,f_Consent))),"Yes","No")),""))</f>
        <v/>
      </c>
      <c r="U438" s="14" t="n"/>
      <c r="V438" s="13">
        <f>IF($U438="","",IF($W438="","not found","✓"))</f>
        <v/>
      </c>
      <c r="W438">
        <f>IF($U438="","",IFERROR(MATCH($U438,INDEX(FormData,0,f_Id),0),IFERROR(MATCH(--$U438,INDEX(FormData,0,f_Id),0),IFERROR(MATCH($U438&amp;"",INDEX(FormData,0,f_Id),0),""))))</f>
        <v/>
      </c>
      <c r="X438">
        <f>IF(AND($B438&lt;&gt;"",$B438='Event Report'!$C$3),ROW(),"")</f>
        <v/>
      </c>
      <c r="Y438">
        <f>IF(AND($P438="✓",$R438=""),IF($Q438="",90000,$Q438)+ROW()/100000,"")</f>
        <v/>
      </c>
      <c r="Z438">
        <f>IF(OR($U438&lt;&gt;"",$D438&lt;&gt;"",$E438&lt;&gt;"",$N438&lt;&gt;""),1,"")</f>
        <v/>
      </c>
    </row>
    <row r="439">
      <c r="A439" s="13" t="inlineStr">
        <is>
          <t>P-0435</t>
        </is>
      </c>
      <c r="B439" s="14">
        <f>IF(AND($U439="",$C439=""),"",IFERROR(INDEX(EvID,MATCH(INDEX(FormData,$W439,f_Event),EvID,0)),IFERROR(INDEX(EvID,MATCH(INDEX(FormData,$W439,f_Event),EvName,0)),IFERROR(INDEX(EvID,MATCH(INT($C439),EvDate,0)),""))))</f>
        <v/>
      </c>
      <c r="C439" s="15">
        <f>IF($W439="","",INDEX(FormData,$W439,f_Time))</f>
        <v/>
      </c>
      <c r="D439" s="14">
        <f>IF($W439="","",IFERROR(UPPER(LEFT(TRIM(INDEX(FormData,$W439,f_Name)),1)&amp;IFERROR(MID(TRIM(INDEX(FormData,$W439,f_Name)),FIND("^",SUBSTITUTE(TRIM(INDEX(FormData,$W439,f_Name))," ","^",LEN(TRIM(INDEX(FormData,$W439,f_Name)))-LEN(SUBSTITUTE(TRIM(INDEX(FormData,$W439,f_Name))," ",""))))+1,1),"")),""))</f>
        <v/>
      </c>
      <c r="E439" s="16">
        <f>IF($W439="","",IFERROR(IF(SUMPRODUCT(MAX((WhoKW&lt;&gt;"")*ISNUMBER(SEARCH(WhoKW,INDEX(FormData,$W439,f_Who)&amp;""))*(ROW(WhoKW)-MIN(ROW(WhoKW))+1)))=0,"",INDEX(WhoVal,SUMPRODUCT(MAX((WhoKW&lt;&gt;"")*ISNUMBER(SEARCH(WhoKW,INDEX(FormData,$W439,f_Who)&amp;""))*(ROW(WhoKW)-MIN(ROW(WhoKW))+1))))),""))</f>
        <v/>
      </c>
      <c r="F439" s="17">
        <f>IF($W439="","",TRIM(IFERROR(INDEX(FormData,$W439,f_Org1)&amp;"","")&amp;" "&amp;IFERROR(INDEX(FormData,$W439,f_Org2)&amp;"","")))</f>
        <v/>
      </c>
      <c r="G439" s="16">
        <f>IF($W439="","",IFERROR(INDEX(FormData,$W439,f_Region)&amp;"",""))</f>
        <v/>
      </c>
      <c r="H439" s="16">
        <f>IF($W439="","",IFERROR(IF(SUMPRODUCT(MAX((SitKW&lt;&gt;"")*ISNUMBER(SEARCH(SitKW,INDEX(FormData,$W439,f_Sit)&amp;""))*(ROW(SitKW)-MIN(ROW(SitKW))+1)))=0,"",INDEX(SitVal,SUMPRODUCT(MAX((SitKW&lt;&gt;"")*ISNUMBER(SEARCH(SitKW,INDEX(FormData,$W439,f_Sit)&amp;""))*(ROW(SitKW)-MIN(ROW(SitKW))+1))))),""))</f>
        <v/>
      </c>
      <c r="I439" s="14">
        <f>IF($W439="","",IFERROR(INDEX(FormData,$W439,f_Appr)&amp;"",""))</f>
        <v/>
      </c>
      <c r="J439" s="16">
        <f>IF($W439="","",IFERROR(INDEX(FormData,$W439,f_Trade)&amp;"",""))</f>
        <v/>
      </c>
      <c r="K439" s="16" t="n"/>
      <c r="L439" s="17" t="n"/>
      <c r="M439" s="16" t="n"/>
      <c r="N439" s="17" t="n"/>
      <c r="O439" s="14" t="n"/>
      <c r="P439" s="14" t="n"/>
      <c r="Q439" s="18" t="n"/>
      <c r="R439" s="18" t="n"/>
      <c r="S439" s="13">
        <f>IF($P439&lt;&gt;"✓","",IF($R439&lt;&gt;"","Done",IF($Q439="","Open — no date",IF($Q439&lt;TODAY(),"Overdue",IF($Q439-TODAY()&lt;=DueSoon,"Due soon","Scheduled")))))</f>
        <v/>
      </c>
      <c r="T439" s="14">
        <f>IF($W439="","",IFERROR(IF(INDEX(FormData,$W439,f_Consent)&amp;""="","",IF(ISNUMBER(SEARCH("yes",INDEX(FormData,$W439,f_Consent))),"Yes","No")),""))</f>
        <v/>
      </c>
      <c r="U439" s="14" t="n"/>
      <c r="V439" s="13">
        <f>IF($U439="","",IF($W439="","not found","✓"))</f>
        <v/>
      </c>
      <c r="W439">
        <f>IF($U439="","",IFERROR(MATCH($U439,INDEX(FormData,0,f_Id),0),IFERROR(MATCH(--$U439,INDEX(FormData,0,f_Id),0),IFERROR(MATCH($U439&amp;"",INDEX(FormData,0,f_Id),0),""))))</f>
        <v/>
      </c>
      <c r="X439">
        <f>IF(AND($B439&lt;&gt;"",$B439='Event Report'!$C$3),ROW(),"")</f>
        <v/>
      </c>
      <c r="Y439">
        <f>IF(AND($P439="✓",$R439=""),IF($Q439="",90000,$Q439)+ROW()/100000,"")</f>
        <v/>
      </c>
      <c r="Z439">
        <f>IF(OR($U439&lt;&gt;"",$D439&lt;&gt;"",$E439&lt;&gt;"",$N439&lt;&gt;""),1,"")</f>
        <v/>
      </c>
    </row>
    <row r="440">
      <c r="A440" s="13" t="inlineStr">
        <is>
          <t>P-0436</t>
        </is>
      </c>
      <c r="B440" s="14">
        <f>IF(AND($U440="",$C440=""),"",IFERROR(INDEX(EvID,MATCH(INDEX(FormData,$W440,f_Event),EvID,0)),IFERROR(INDEX(EvID,MATCH(INDEX(FormData,$W440,f_Event),EvName,0)),IFERROR(INDEX(EvID,MATCH(INT($C440),EvDate,0)),""))))</f>
        <v/>
      </c>
      <c r="C440" s="15">
        <f>IF($W440="","",INDEX(FormData,$W440,f_Time))</f>
        <v/>
      </c>
      <c r="D440" s="14">
        <f>IF($W440="","",IFERROR(UPPER(LEFT(TRIM(INDEX(FormData,$W440,f_Name)),1)&amp;IFERROR(MID(TRIM(INDEX(FormData,$W440,f_Name)),FIND("^",SUBSTITUTE(TRIM(INDEX(FormData,$W440,f_Name))," ","^",LEN(TRIM(INDEX(FormData,$W440,f_Name)))-LEN(SUBSTITUTE(TRIM(INDEX(FormData,$W440,f_Name))," ",""))))+1,1),"")),""))</f>
        <v/>
      </c>
      <c r="E440" s="16">
        <f>IF($W440="","",IFERROR(IF(SUMPRODUCT(MAX((WhoKW&lt;&gt;"")*ISNUMBER(SEARCH(WhoKW,INDEX(FormData,$W440,f_Who)&amp;""))*(ROW(WhoKW)-MIN(ROW(WhoKW))+1)))=0,"",INDEX(WhoVal,SUMPRODUCT(MAX((WhoKW&lt;&gt;"")*ISNUMBER(SEARCH(WhoKW,INDEX(FormData,$W440,f_Who)&amp;""))*(ROW(WhoKW)-MIN(ROW(WhoKW))+1))))),""))</f>
        <v/>
      </c>
      <c r="F440" s="17">
        <f>IF($W440="","",TRIM(IFERROR(INDEX(FormData,$W440,f_Org1)&amp;"","")&amp;" "&amp;IFERROR(INDEX(FormData,$W440,f_Org2)&amp;"","")))</f>
        <v/>
      </c>
      <c r="G440" s="16">
        <f>IF($W440="","",IFERROR(INDEX(FormData,$W440,f_Region)&amp;"",""))</f>
        <v/>
      </c>
      <c r="H440" s="16">
        <f>IF($W440="","",IFERROR(IF(SUMPRODUCT(MAX((SitKW&lt;&gt;"")*ISNUMBER(SEARCH(SitKW,INDEX(FormData,$W440,f_Sit)&amp;""))*(ROW(SitKW)-MIN(ROW(SitKW))+1)))=0,"",INDEX(SitVal,SUMPRODUCT(MAX((SitKW&lt;&gt;"")*ISNUMBER(SEARCH(SitKW,INDEX(FormData,$W440,f_Sit)&amp;""))*(ROW(SitKW)-MIN(ROW(SitKW))+1))))),""))</f>
        <v/>
      </c>
      <c r="I440" s="14">
        <f>IF($W440="","",IFERROR(INDEX(FormData,$W440,f_Appr)&amp;"",""))</f>
        <v/>
      </c>
      <c r="J440" s="16">
        <f>IF($W440="","",IFERROR(INDEX(FormData,$W440,f_Trade)&amp;"",""))</f>
        <v/>
      </c>
      <c r="K440" s="16" t="n"/>
      <c r="L440" s="17" t="n"/>
      <c r="M440" s="16" t="n"/>
      <c r="N440" s="17" t="n"/>
      <c r="O440" s="14" t="n"/>
      <c r="P440" s="14" t="n"/>
      <c r="Q440" s="18" t="n"/>
      <c r="R440" s="18" t="n"/>
      <c r="S440" s="13">
        <f>IF($P440&lt;&gt;"✓","",IF($R440&lt;&gt;"","Done",IF($Q440="","Open — no date",IF($Q440&lt;TODAY(),"Overdue",IF($Q440-TODAY()&lt;=DueSoon,"Due soon","Scheduled")))))</f>
        <v/>
      </c>
      <c r="T440" s="14">
        <f>IF($W440="","",IFERROR(IF(INDEX(FormData,$W440,f_Consent)&amp;""="","",IF(ISNUMBER(SEARCH("yes",INDEX(FormData,$W440,f_Consent))),"Yes","No")),""))</f>
        <v/>
      </c>
      <c r="U440" s="14" t="n"/>
      <c r="V440" s="13">
        <f>IF($U440="","",IF($W440="","not found","✓"))</f>
        <v/>
      </c>
      <c r="W440">
        <f>IF($U440="","",IFERROR(MATCH($U440,INDEX(FormData,0,f_Id),0),IFERROR(MATCH(--$U440,INDEX(FormData,0,f_Id),0),IFERROR(MATCH($U440&amp;"",INDEX(FormData,0,f_Id),0),""))))</f>
        <v/>
      </c>
      <c r="X440">
        <f>IF(AND($B440&lt;&gt;"",$B440='Event Report'!$C$3),ROW(),"")</f>
        <v/>
      </c>
      <c r="Y440">
        <f>IF(AND($P440="✓",$R440=""),IF($Q440="",90000,$Q440)+ROW()/100000,"")</f>
        <v/>
      </c>
      <c r="Z440">
        <f>IF(OR($U440&lt;&gt;"",$D440&lt;&gt;"",$E440&lt;&gt;"",$N440&lt;&gt;""),1,"")</f>
        <v/>
      </c>
    </row>
    <row r="441">
      <c r="A441" s="13" t="inlineStr">
        <is>
          <t>P-0437</t>
        </is>
      </c>
      <c r="B441" s="14">
        <f>IF(AND($U441="",$C441=""),"",IFERROR(INDEX(EvID,MATCH(INDEX(FormData,$W441,f_Event),EvID,0)),IFERROR(INDEX(EvID,MATCH(INDEX(FormData,$W441,f_Event),EvName,0)),IFERROR(INDEX(EvID,MATCH(INT($C441),EvDate,0)),""))))</f>
        <v/>
      </c>
      <c r="C441" s="15">
        <f>IF($W441="","",INDEX(FormData,$W441,f_Time))</f>
        <v/>
      </c>
      <c r="D441" s="14">
        <f>IF($W441="","",IFERROR(UPPER(LEFT(TRIM(INDEX(FormData,$W441,f_Name)),1)&amp;IFERROR(MID(TRIM(INDEX(FormData,$W441,f_Name)),FIND("^",SUBSTITUTE(TRIM(INDEX(FormData,$W441,f_Name))," ","^",LEN(TRIM(INDEX(FormData,$W441,f_Name)))-LEN(SUBSTITUTE(TRIM(INDEX(FormData,$W441,f_Name))," ",""))))+1,1),"")),""))</f>
        <v/>
      </c>
      <c r="E441" s="16">
        <f>IF($W441="","",IFERROR(IF(SUMPRODUCT(MAX((WhoKW&lt;&gt;"")*ISNUMBER(SEARCH(WhoKW,INDEX(FormData,$W441,f_Who)&amp;""))*(ROW(WhoKW)-MIN(ROW(WhoKW))+1)))=0,"",INDEX(WhoVal,SUMPRODUCT(MAX((WhoKW&lt;&gt;"")*ISNUMBER(SEARCH(WhoKW,INDEX(FormData,$W441,f_Who)&amp;""))*(ROW(WhoKW)-MIN(ROW(WhoKW))+1))))),""))</f>
        <v/>
      </c>
      <c r="F441" s="17">
        <f>IF($W441="","",TRIM(IFERROR(INDEX(FormData,$W441,f_Org1)&amp;"","")&amp;" "&amp;IFERROR(INDEX(FormData,$W441,f_Org2)&amp;"","")))</f>
        <v/>
      </c>
      <c r="G441" s="16">
        <f>IF($W441="","",IFERROR(INDEX(FormData,$W441,f_Region)&amp;"",""))</f>
        <v/>
      </c>
      <c r="H441" s="16">
        <f>IF($W441="","",IFERROR(IF(SUMPRODUCT(MAX((SitKW&lt;&gt;"")*ISNUMBER(SEARCH(SitKW,INDEX(FormData,$W441,f_Sit)&amp;""))*(ROW(SitKW)-MIN(ROW(SitKW))+1)))=0,"",INDEX(SitVal,SUMPRODUCT(MAX((SitKW&lt;&gt;"")*ISNUMBER(SEARCH(SitKW,INDEX(FormData,$W441,f_Sit)&amp;""))*(ROW(SitKW)-MIN(ROW(SitKW))+1))))),""))</f>
        <v/>
      </c>
      <c r="I441" s="14">
        <f>IF($W441="","",IFERROR(INDEX(FormData,$W441,f_Appr)&amp;"",""))</f>
        <v/>
      </c>
      <c r="J441" s="16">
        <f>IF($W441="","",IFERROR(INDEX(FormData,$W441,f_Trade)&amp;"",""))</f>
        <v/>
      </c>
      <c r="K441" s="16" t="n"/>
      <c r="L441" s="17" t="n"/>
      <c r="M441" s="16" t="n"/>
      <c r="N441" s="17" t="n"/>
      <c r="O441" s="14" t="n"/>
      <c r="P441" s="14" t="n"/>
      <c r="Q441" s="18" t="n"/>
      <c r="R441" s="18" t="n"/>
      <c r="S441" s="13">
        <f>IF($P441&lt;&gt;"✓","",IF($R441&lt;&gt;"","Done",IF($Q441="","Open — no date",IF($Q441&lt;TODAY(),"Overdue",IF($Q441-TODAY()&lt;=DueSoon,"Due soon","Scheduled")))))</f>
        <v/>
      </c>
      <c r="T441" s="14">
        <f>IF($W441="","",IFERROR(IF(INDEX(FormData,$W441,f_Consent)&amp;""="","",IF(ISNUMBER(SEARCH("yes",INDEX(FormData,$W441,f_Consent))),"Yes","No")),""))</f>
        <v/>
      </c>
      <c r="U441" s="14" t="n"/>
      <c r="V441" s="13">
        <f>IF($U441="","",IF($W441="","not found","✓"))</f>
        <v/>
      </c>
      <c r="W441">
        <f>IF($U441="","",IFERROR(MATCH($U441,INDEX(FormData,0,f_Id),0),IFERROR(MATCH(--$U441,INDEX(FormData,0,f_Id),0),IFERROR(MATCH($U441&amp;"",INDEX(FormData,0,f_Id),0),""))))</f>
        <v/>
      </c>
      <c r="X441">
        <f>IF(AND($B441&lt;&gt;"",$B441='Event Report'!$C$3),ROW(),"")</f>
        <v/>
      </c>
      <c r="Y441">
        <f>IF(AND($P441="✓",$R441=""),IF($Q441="",90000,$Q441)+ROW()/100000,"")</f>
        <v/>
      </c>
      <c r="Z441">
        <f>IF(OR($U441&lt;&gt;"",$D441&lt;&gt;"",$E441&lt;&gt;"",$N441&lt;&gt;""),1,"")</f>
        <v/>
      </c>
    </row>
    <row r="442">
      <c r="A442" s="13" t="inlineStr">
        <is>
          <t>P-0438</t>
        </is>
      </c>
      <c r="B442" s="14">
        <f>IF(AND($U442="",$C442=""),"",IFERROR(INDEX(EvID,MATCH(INDEX(FormData,$W442,f_Event),EvID,0)),IFERROR(INDEX(EvID,MATCH(INDEX(FormData,$W442,f_Event),EvName,0)),IFERROR(INDEX(EvID,MATCH(INT($C442),EvDate,0)),""))))</f>
        <v/>
      </c>
      <c r="C442" s="15">
        <f>IF($W442="","",INDEX(FormData,$W442,f_Time))</f>
        <v/>
      </c>
      <c r="D442" s="14">
        <f>IF($W442="","",IFERROR(UPPER(LEFT(TRIM(INDEX(FormData,$W442,f_Name)),1)&amp;IFERROR(MID(TRIM(INDEX(FormData,$W442,f_Name)),FIND("^",SUBSTITUTE(TRIM(INDEX(FormData,$W442,f_Name))," ","^",LEN(TRIM(INDEX(FormData,$W442,f_Name)))-LEN(SUBSTITUTE(TRIM(INDEX(FormData,$W442,f_Name))," ",""))))+1,1),"")),""))</f>
        <v/>
      </c>
      <c r="E442" s="16">
        <f>IF($W442="","",IFERROR(IF(SUMPRODUCT(MAX((WhoKW&lt;&gt;"")*ISNUMBER(SEARCH(WhoKW,INDEX(FormData,$W442,f_Who)&amp;""))*(ROW(WhoKW)-MIN(ROW(WhoKW))+1)))=0,"",INDEX(WhoVal,SUMPRODUCT(MAX((WhoKW&lt;&gt;"")*ISNUMBER(SEARCH(WhoKW,INDEX(FormData,$W442,f_Who)&amp;""))*(ROW(WhoKW)-MIN(ROW(WhoKW))+1))))),""))</f>
        <v/>
      </c>
      <c r="F442" s="17">
        <f>IF($W442="","",TRIM(IFERROR(INDEX(FormData,$W442,f_Org1)&amp;"","")&amp;" "&amp;IFERROR(INDEX(FormData,$W442,f_Org2)&amp;"","")))</f>
        <v/>
      </c>
      <c r="G442" s="16">
        <f>IF($W442="","",IFERROR(INDEX(FormData,$W442,f_Region)&amp;"",""))</f>
        <v/>
      </c>
      <c r="H442" s="16">
        <f>IF($W442="","",IFERROR(IF(SUMPRODUCT(MAX((SitKW&lt;&gt;"")*ISNUMBER(SEARCH(SitKW,INDEX(FormData,$W442,f_Sit)&amp;""))*(ROW(SitKW)-MIN(ROW(SitKW))+1)))=0,"",INDEX(SitVal,SUMPRODUCT(MAX((SitKW&lt;&gt;"")*ISNUMBER(SEARCH(SitKW,INDEX(FormData,$W442,f_Sit)&amp;""))*(ROW(SitKW)-MIN(ROW(SitKW))+1))))),""))</f>
        <v/>
      </c>
      <c r="I442" s="14">
        <f>IF($W442="","",IFERROR(INDEX(FormData,$W442,f_Appr)&amp;"",""))</f>
        <v/>
      </c>
      <c r="J442" s="16">
        <f>IF($W442="","",IFERROR(INDEX(FormData,$W442,f_Trade)&amp;"",""))</f>
        <v/>
      </c>
      <c r="K442" s="16" t="n"/>
      <c r="L442" s="17" t="n"/>
      <c r="M442" s="16" t="n"/>
      <c r="N442" s="17" t="n"/>
      <c r="O442" s="14" t="n"/>
      <c r="P442" s="14" t="n"/>
      <c r="Q442" s="18" t="n"/>
      <c r="R442" s="18" t="n"/>
      <c r="S442" s="13">
        <f>IF($P442&lt;&gt;"✓","",IF($R442&lt;&gt;"","Done",IF($Q442="","Open — no date",IF($Q442&lt;TODAY(),"Overdue",IF($Q442-TODAY()&lt;=DueSoon,"Due soon","Scheduled")))))</f>
        <v/>
      </c>
      <c r="T442" s="14">
        <f>IF($W442="","",IFERROR(IF(INDEX(FormData,$W442,f_Consent)&amp;""="","",IF(ISNUMBER(SEARCH("yes",INDEX(FormData,$W442,f_Consent))),"Yes","No")),""))</f>
        <v/>
      </c>
      <c r="U442" s="14" t="n"/>
      <c r="V442" s="13">
        <f>IF($U442="","",IF($W442="","not found","✓"))</f>
        <v/>
      </c>
      <c r="W442">
        <f>IF($U442="","",IFERROR(MATCH($U442,INDEX(FormData,0,f_Id),0),IFERROR(MATCH(--$U442,INDEX(FormData,0,f_Id),0),IFERROR(MATCH($U442&amp;"",INDEX(FormData,0,f_Id),0),""))))</f>
        <v/>
      </c>
      <c r="X442">
        <f>IF(AND($B442&lt;&gt;"",$B442='Event Report'!$C$3),ROW(),"")</f>
        <v/>
      </c>
      <c r="Y442">
        <f>IF(AND($P442="✓",$R442=""),IF($Q442="",90000,$Q442)+ROW()/100000,"")</f>
        <v/>
      </c>
      <c r="Z442">
        <f>IF(OR($U442&lt;&gt;"",$D442&lt;&gt;"",$E442&lt;&gt;"",$N442&lt;&gt;""),1,"")</f>
        <v/>
      </c>
    </row>
    <row r="443">
      <c r="A443" s="13" t="inlineStr">
        <is>
          <t>P-0439</t>
        </is>
      </c>
      <c r="B443" s="14">
        <f>IF(AND($U443="",$C443=""),"",IFERROR(INDEX(EvID,MATCH(INDEX(FormData,$W443,f_Event),EvID,0)),IFERROR(INDEX(EvID,MATCH(INDEX(FormData,$W443,f_Event),EvName,0)),IFERROR(INDEX(EvID,MATCH(INT($C443),EvDate,0)),""))))</f>
        <v/>
      </c>
      <c r="C443" s="15">
        <f>IF($W443="","",INDEX(FormData,$W443,f_Time))</f>
        <v/>
      </c>
      <c r="D443" s="14">
        <f>IF($W443="","",IFERROR(UPPER(LEFT(TRIM(INDEX(FormData,$W443,f_Name)),1)&amp;IFERROR(MID(TRIM(INDEX(FormData,$W443,f_Name)),FIND("^",SUBSTITUTE(TRIM(INDEX(FormData,$W443,f_Name))," ","^",LEN(TRIM(INDEX(FormData,$W443,f_Name)))-LEN(SUBSTITUTE(TRIM(INDEX(FormData,$W443,f_Name))," ",""))))+1,1),"")),""))</f>
        <v/>
      </c>
      <c r="E443" s="16">
        <f>IF($W443="","",IFERROR(IF(SUMPRODUCT(MAX((WhoKW&lt;&gt;"")*ISNUMBER(SEARCH(WhoKW,INDEX(FormData,$W443,f_Who)&amp;""))*(ROW(WhoKW)-MIN(ROW(WhoKW))+1)))=0,"",INDEX(WhoVal,SUMPRODUCT(MAX((WhoKW&lt;&gt;"")*ISNUMBER(SEARCH(WhoKW,INDEX(FormData,$W443,f_Who)&amp;""))*(ROW(WhoKW)-MIN(ROW(WhoKW))+1))))),""))</f>
        <v/>
      </c>
      <c r="F443" s="17">
        <f>IF($W443="","",TRIM(IFERROR(INDEX(FormData,$W443,f_Org1)&amp;"","")&amp;" "&amp;IFERROR(INDEX(FormData,$W443,f_Org2)&amp;"","")))</f>
        <v/>
      </c>
      <c r="G443" s="16">
        <f>IF($W443="","",IFERROR(INDEX(FormData,$W443,f_Region)&amp;"",""))</f>
        <v/>
      </c>
      <c r="H443" s="16">
        <f>IF($W443="","",IFERROR(IF(SUMPRODUCT(MAX((SitKW&lt;&gt;"")*ISNUMBER(SEARCH(SitKW,INDEX(FormData,$W443,f_Sit)&amp;""))*(ROW(SitKW)-MIN(ROW(SitKW))+1)))=0,"",INDEX(SitVal,SUMPRODUCT(MAX((SitKW&lt;&gt;"")*ISNUMBER(SEARCH(SitKW,INDEX(FormData,$W443,f_Sit)&amp;""))*(ROW(SitKW)-MIN(ROW(SitKW))+1))))),""))</f>
        <v/>
      </c>
      <c r="I443" s="14">
        <f>IF($W443="","",IFERROR(INDEX(FormData,$W443,f_Appr)&amp;"",""))</f>
        <v/>
      </c>
      <c r="J443" s="16">
        <f>IF($W443="","",IFERROR(INDEX(FormData,$W443,f_Trade)&amp;"",""))</f>
        <v/>
      </c>
      <c r="K443" s="16" t="n"/>
      <c r="L443" s="17" t="n"/>
      <c r="M443" s="16" t="n"/>
      <c r="N443" s="17" t="n"/>
      <c r="O443" s="14" t="n"/>
      <c r="P443" s="14" t="n"/>
      <c r="Q443" s="18" t="n"/>
      <c r="R443" s="18" t="n"/>
      <c r="S443" s="13">
        <f>IF($P443&lt;&gt;"✓","",IF($R443&lt;&gt;"","Done",IF($Q443="","Open — no date",IF($Q443&lt;TODAY(),"Overdue",IF($Q443-TODAY()&lt;=DueSoon,"Due soon","Scheduled")))))</f>
        <v/>
      </c>
      <c r="T443" s="14">
        <f>IF($W443="","",IFERROR(IF(INDEX(FormData,$W443,f_Consent)&amp;""="","",IF(ISNUMBER(SEARCH("yes",INDEX(FormData,$W443,f_Consent))),"Yes","No")),""))</f>
        <v/>
      </c>
      <c r="U443" s="14" t="n"/>
      <c r="V443" s="13">
        <f>IF($U443="","",IF($W443="","not found","✓"))</f>
        <v/>
      </c>
      <c r="W443">
        <f>IF($U443="","",IFERROR(MATCH($U443,INDEX(FormData,0,f_Id),0),IFERROR(MATCH(--$U443,INDEX(FormData,0,f_Id),0),IFERROR(MATCH($U443&amp;"",INDEX(FormData,0,f_Id),0),""))))</f>
        <v/>
      </c>
      <c r="X443">
        <f>IF(AND($B443&lt;&gt;"",$B443='Event Report'!$C$3),ROW(),"")</f>
        <v/>
      </c>
      <c r="Y443">
        <f>IF(AND($P443="✓",$R443=""),IF($Q443="",90000,$Q443)+ROW()/100000,"")</f>
        <v/>
      </c>
      <c r="Z443">
        <f>IF(OR($U443&lt;&gt;"",$D443&lt;&gt;"",$E443&lt;&gt;"",$N443&lt;&gt;""),1,"")</f>
        <v/>
      </c>
    </row>
    <row r="444">
      <c r="A444" s="13" t="inlineStr">
        <is>
          <t>P-0440</t>
        </is>
      </c>
      <c r="B444" s="14">
        <f>IF(AND($U444="",$C444=""),"",IFERROR(INDEX(EvID,MATCH(INDEX(FormData,$W444,f_Event),EvID,0)),IFERROR(INDEX(EvID,MATCH(INDEX(FormData,$W444,f_Event),EvName,0)),IFERROR(INDEX(EvID,MATCH(INT($C444),EvDate,0)),""))))</f>
        <v/>
      </c>
      <c r="C444" s="15">
        <f>IF($W444="","",INDEX(FormData,$W444,f_Time))</f>
        <v/>
      </c>
      <c r="D444" s="14">
        <f>IF($W444="","",IFERROR(UPPER(LEFT(TRIM(INDEX(FormData,$W444,f_Name)),1)&amp;IFERROR(MID(TRIM(INDEX(FormData,$W444,f_Name)),FIND("^",SUBSTITUTE(TRIM(INDEX(FormData,$W444,f_Name))," ","^",LEN(TRIM(INDEX(FormData,$W444,f_Name)))-LEN(SUBSTITUTE(TRIM(INDEX(FormData,$W444,f_Name))," ",""))))+1,1),"")),""))</f>
        <v/>
      </c>
      <c r="E444" s="16">
        <f>IF($W444="","",IFERROR(IF(SUMPRODUCT(MAX((WhoKW&lt;&gt;"")*ISNUMBER(SEARCH(WhoKW,INDEX(FormData,$W444,f_Who)&amp;""))*(ROW(WhoKW)-MIN(ROW(WhoKW))+1)))=0,"",INDEX(WhoVal,SUMPRODUCT(MAX((WhoKW&lt;&gt;"")*ISNUMBER(SEARCH(WhoKW,INDEX(FormData,$W444,f_Who)&amp;""))*(ROW(WhoKW)-MIN(ROW(WhoKW))+1))))),""))</f>
        <v/>
      </c>
      <c r="F444" s="17">
        <f>IF($W444="","",TRIM(IFERROR(INDEX(FormData,$W444,f_Org1)&amp;"","")&amp;" "&amp;IFERROR(INDEX(FormData,$W444,f_Org2)&amp;"","")))</f>
        <v/>
      </c>
      <c r="G444" s="16">
        <f>IF($W444="","",IFERROR(INDEX(FormData,$W444,f_Region)&amp;"",""))</f>
        <v/>
      </c>
      <c r="H444" s="16">
        <f>IF($W444="","",IFERROR(IF(SUMPRODUCT(MAX((SitKW&lt;&gt;"")*ISNUMBER(SEARCH(SitKW,INDEX(FormData,$W444,f_Sit)&amp;""))*(ROW(SitKW)-MIN(ROW(SitKW))+1)))=0,"",INDEX(SitVal,SUMPRODUCT(MAX((SitKW&lt;&gt;"")*ISNUMBER(SEARCH(SitKW,INDEX(FormData,$W444,f_Sit)&amp;""))*(ROW(SitKW)-MIN(ROW(SitKW))+1))))),""))</f>
        <v/>
      </c>
      <c r="I444" s="14">
        <f>IF($W444="","",IFERROR(INDEX(FormData,$W444,f_Appr)&amp;"",""))</f>
        <v/>
      </c>
      <c r="J444" s="16">
        <f>IF($W444="","",IFERROR(INDEX(FormData,$W444,f_Trade)&amp;"",""))</f>
        <v/>
      </c>
      <c r="K444" s="16" t="n"/>
      <c r="L444" s="17" t="n"/>
      <c r="M444" s="16" t="n"/>
      <c r="N444" s="17" t="n"/>
      <c r="O444" s="14" t="n"/>
      <c r="P444" s="14" t="n"/>
      <c r="Q444" s="18" t="n"/>
      <c r="R444" s="18" t="n"/>
      <c r="S444" s="13">
        <f>IF($P444&lt;&gt;"✓","",IF($R444&lt;&gt;"","Done",IF($Q444="","Open — no date",IF($Q444&lt;TODAY(),"Overdue",IF($Q444-TODAY()&lt;=DueSoon,"Due soon","Scheduled")))))</f>
        <v/>
      </c>
      <c r="T444" s="14">
        <f>IF($W444="","",IFERROR(IF(INDEX(FormData,$W444,f_Consent)&amp;""="","",IF(ISNUMBER(SEARCH("yes",INDEX(FormData,$W444,f_Consent))),"Yes","No")),""))</f>
        <v/>
      </c>
      <c r="U444" s="14" t="n"/>
      <c r="V444" s="13">
        <f>IF($U444="","",IF($W444="","not found","✓"))</f>
        <v/>
      </c>
      <c r="W444">
        <f>IF($U444="","",IFERROR(MATCH($U444,INDEX(FormData,0,f_Id),0),IFERROR(MATCH(--$U444,INDEX(FormData,0,f_Id),0),IFERROR(MATCH($U444&amp;"",INDEX(FormData,0,f_Id),0),""))))</f>
        <v/>
      </c>
      <c r="X444">
        <f>IF(AND($B444&lt;&gt;"",$B444='Event Report'!$C$3),ROW(),"")</f>
        <v/>
      </c>
      <c r="Y444">
        <f>IF(AND($P444="✓",$R444=""),IF($Q444="",90000,$Q444)+ROW()/100000,"")</f>
        <v/>
      </c>
      <c r="Z444">
        <f>IF(OR($U444&lt;&gt;"",$D444&lt;&gt;"",$E444&lt;&gt;"",$N444&lt;&gt;""),1,"")</f>
        <v/>
      </c>
    </row>
    <row r="445">
      <c r="A445" s="13" t="inlineStr">
        <is>
          <t>P-0441</t>
        </is>
      </c>
      <c r="B445" s="14">
        <f>IF(AND($U445="",$C445=""),"",IFERROR(INDEX(EvID,MATCH(INDEX(FormData,$W445,f_Event),EvID,0)),IFERROR(INDEX(EvID,MATCH(INDEX(FormData,$W445,f_Event),EvName,0)),IFERROR(INDEX(EvID,MATCH(INT($C445),EvDate,0)),""))))</f>
        <v/>
      </c>
      <c r="C445" s="15">
        <f>IF($W445="","",INDEX(FormData,$W445,f_Time))</f>
        <v/>
      </c>
      <c r="D445" s="14">
        <f>IF($W445="","",IFERROR(UPPER(LEFT(TRIM(INDEX(FormData,$W445,f_Name)),1)&amp;IFERROR(MID(TRIM(INDEX(FormData,$W445,f_Name)),FIND("^",SUBSTITUTE(TRIM(INDEX(FormData,$W445,f_Name))," ","^",LEN(TRIM(INDEX(FormData,$W445,f_Name)))-LEN(SUBSTITUTE(TRIM(INDEX(FormData,$W445,f_Name))," ",""))))+1,1),"")),""))</f>
        <v/>
      </c>
      <c r="E445" s="16">
        <f>IF($W445="","",IFERROR(IF(SUMPRODUCT(MAX((WhoKW&lt;&gt;"")*ISNUMBER(SEARCH(WhoKW,INDEX(FormData,$W445,f_Who)&amp;""))*(ROW(WhoKW)-MIN(ROW(WhoKW))+1)))=0,"",INDEX(WhoVal,SUMPRODUCT(MAX((WhoKW&lt;&gt;"")*ISNUMBER(SEARCH(WhoKW,INDEX(FormData,$W445,f_Who)&amp;""))*(ROW(WhoKW)-MIN(ROW(WhoKW))+1))))),""))</f>
        <v/>
      </c>
      <c r="F445" s="17">
        <f>IF($W445="","",TRIM(IFERROR(INDEX(FormData,$W445,f_Org1)&amp;"","")&amp;" "&amp;IFERROR(INDEX(FormData,$W445,f_Org2)&amp;"","")))</f>
        <v/>
      </c>
      <c r="G445" s="16">
        <f>IF($W445="","",IFERROR(INDEX(FormData,$W445,f_Region)&amp;"",""))</f>
        <v/>
      </c>
      <c r="H445" s="16">
        <f>IF($W445="","",IFERROR(IF(SUMPRODUCT(MAX((SitKW&lt;&gt;"")*ISNUMBER(SEARCH(SitKW,INDEX(FormData,$W445,f_Sit)&amp;""))*(ROW(SitKW)-MIN(ROW(SitKW))+1)))=0,"",INDEX(SitVal,SUMPRODUCT(MAX((SitKW&lt;&gt;"")*ISNUMBER(SEARCH(SitKW,INDEX(FormData,$W445,f_Sit)&amp;""))*(ROW(SitKW)-MIN(ROW(SitKW))+1))))),""))</f>
        <v/>
      </c>
      <c r="I445" s="14">
        <f>IF($W445="","",IFERROR(INDEX(FormData,$W445,f_Appr)&amp;"",""))</f>
        <v/>
      </c>
      <c r="J445" s="16">
        <f>IF($W445="","",IFERROR(INDEX(FormData,$W445,f_Trade)&amp;"",""))</f>
        <v/>
      </c>
      <c r="K445" s="16" t="n"/>
      <c r="L445" s="17" t="n"/>
      <c r="M445" s="16" t="n"/>
      <c r="N445" s="17" t="n"/>
      <c r="O445" s="14" t="n"/>
      <c r="P445" s="14" t="n"/>
      <c r="Q445" s="18" t="n"/>
      <c r="R445" s="18" t="n"/>
      <c r="S445" s="13">
        <f>IF($P445&lt;&gt;"✓","",IF($R445&lt;&gt;"","Done",IF($Q445="","Open — no date",IF($Q445&lt;TODAY(),"Overdue",IF($Q445-TODAY()&lt;=DueSoon,"Due soon","Scheduled")))))</f>
        <v/>
      </c>
      <c r="T445" s="14">
        <f>IF($W445="","",IFERROR(IF(INDEX(FormData,$W445,f_Consent)&amp;""="","",IF(ISNUMBER(SEARCH("yes",INDEX(FormData,$W445,f_Consent))),"Yes","No")),""))</f>
        <v/>
      </c>
      <c r="U445" s="14" t="n"/>
      <c r="V445" s="13">
        <f>IF($U445="","",IF($W445="","not found","✓"))</f>
        <v/>
      </c>
      <c r="W445">
        <f>IF($U445="","",IFERROR(MATCH($U445,INDEX(FormData,0,f_Id),0),IFERROR(MATCH(--$U445,INDEX(FormData,0,f_Id),0),IFERROR(MATCH($U445&amp;"",INDEX(FormData,0,f_Id),0),""))))</f>
        <v/>
      </c>
      <c r="X445">
        <f>IF(AND($B445&lt;&gt;"",$B445='Event Report'!$C$3),ROW(),"")</f>
        <v/>
      </c>
      <c r="Y445">
        <f>IF(AND($P445="✓",$R445=""),IF($Q445="",90000,$Q445)+ROW()/100000,"")</f>
        <v/>
      </c>
      <c r="Z445">
        <f>IF(OR($U445&lt;&gt;"",$D445&lt;&gt;"",$E445&lt;&gt;"",$N445&lt;&gt;""),1,"")</f>
        <v/>
      </c>
    </row>
    <row r="446">
      <c r="A446" s="13" t="inlineStr">
        <is>
          <t>P-0442</t>
        </is>
      </c>
      <c r="B446" s="14">
        <f>IF(AND($U446="",$C446=""),"",IFERROR(INDEX(EvID,MATCH(INDEX(FormData,$W446,f_Event),EvID,0)),IFERROR(INDEX(EvID,MATCH(INDEX(FormData,$W446,f_Event),EvName,0)),IFERROR(INDEX(EvID,MATCH(INT($C446),EvDate,0)),""))))</f>
        <v/>
      </c>
      <c r="C446" s="15">
        <f>IF($W446="","",INDEX(FormData,$W446,f_Time))</f>
        <v/>
      </c>
      <c r="D446" s="14">
        <f>IF($W446="","",IFERROR(UPPER(LEFT(TRIM(INDEX(FormData,$W446,f_Name)),1)&amp;IFERROR(MID(TRIM(INDEX(FormData,$W446,f_Name)),FIND("^",SUBSTITUTE(TRIM(INDEX(FormData,$W446,f_Name))," ","^",LEN(TRIM(INDEX(FormData,$W446,f_Name)))-LEN(SUBSTITUTE(TRIM(INDEX(FormData,$W446,f_Name))," ",""))))+1,1),"")),""))</f>
        <v/>
      </c>
      <c r="E446" s="16">
        <f>IF($W446="","",IFERROR(IF(SUMPRODUCT(MAX((WhoKW&lt;&gt;"")*ISNUMBER(SEARCH(WhoKW,INDEX(FormData,$W446,f_Who)&amp;""))*(ROW(WhoKW)-MIN(ROW(WhoKW))+1)))=0,"",INDEX(WhoVal,SUMPRODUCT(MAX((WhoKW&lt;&gt;"")*ISNUMBER(SEARCH(WhoKW,INDEX(FormData,$W446,f_Who)&amp;""))*(ROW(WhoKW)-MIN(ROW(WhoKW))+1))))),""))</f>
        <v/>
      </c>
      <c r="F446" s="17">
        <f>IF($W446="","",TRIM(IFERROR(INDEX(FormData,$W446,f_Org1)&amp;"","")&amp;" "&amp;IFERROR(INDEX(FormData,$W446,f_Org2)&amp;"","")))</f>
        <v/>
      </c>
      <c r="G446" s="16">
        <f>IF($W446="","",IFERROR(INDEX(FormData,$W446,f_Region)&amp;"",""))</f>
        <v/>
      </c>
      <c r="H446" s="16">
        <f>IF($W446="","",IFERROR(IF(SUMPRODUCT(MAX((SitKW&lt;&gt;"")*ISNUMBER(SEARCH(SitKW,INDEX(FormData,$W446,f_Sit)&amp;""))*(ROW(SitKW)-MIN(ROW(SitKW))+1)))=0,"",INDEX(SitVal,SUMPRODUCT(MAX((SitKW&lt;&gt;"")*ISNUMBER(SEARCH(SitKW,INDEX(FormData,$W446,f_Sit)&amp;""))*(ROW(SitKW)-MIN(ROW(SitKW))+1))))),""))</f>
        <v/>
      </c>
      <c r="I446" s="14">
        <f>IF($W446="","",IFERROR(INDEX(FormData,$W446,f_Appr)&amp;"",""))</f>
        <v/>
      </c>
      <c r="J446" s="16">
        <f>IF($W446="","",IFERROR(INDEX(FormData,$W446,f_Trade)&amp;"",""))</f>
        <v/>
      </c>
      <c r="K446" s="16" t="n"/>
      <c r="L446" s="17" t="n"/>
      <c r="M446" s="16" t="n"/>
      <c r="N446" s="17" t="n"/>
      <c r="O446" s="14" t="n"/>
      <c r="P446" s="14" t="n"/>
      <c r="Q446" s="18" t="n"/>
      <c r="R446" s="18" t="n"/>
      <c r="S446" s="13">
        <f>IF($P446&lt;&gt;"✓","",IF($R446&lt;&gt;"","Done",IF($Q446="","Open — no date",IF($Q446&lt;TODAY(),"Overdue",IF($Q446-TODAY()&lt;=DueSoon,"Due soon","Scheduled")))))</f>
        <v/>
      </c>
      <c r="T446" s="14">
        <f>IF($W446="","",IFERROR(IF(INDEX(FormData,$W446,f_Consent)&amp;""="","",IF(ISNUMBER(SEARCH("yes",INDEX(FormData,$W446,f_Consent))),"Yes","No")),""))</f>
        <v/>
      </c>
      <c r="U446" s="14" t="n"/>
      <c r="V446" s="13">
        <f>IF($U446="","",IF($W446="","not found","✓"))</f>
        <v/>
      </c>
      <c r="W446">
        <f>IF($U446="","",IFERROR(MATCH($U446,INDEX(FormData,0,f_Id),0),IFERROR(MATCH(--$U446,INDEX(FormData,0,f_Id),0),IFERROR(MATCH($U446&amp;"",INDEX(FormData,0,f_Id),0),""))))</f>
        <v/>
      </c>
      <c r="X446">
        <f>IF(AND($B446&lt;&gt;"",$B446='Event Report'!$C$3),ROW(),"")</f>
        <v/>
      </c>
      <c r="Y446">
        <f>IF(AND($P446="✓",$R446=""),IF($Q446="",90000,$Q446)+ROW()/100000,"")</f>
        <v/>
      </c>
      <c r="Z446">
        <f>IF(OR($U446&lt;&gt;"",$D446&lt;&gt;"",$E446&lt;&gt;"",$N446&lt;&gt;""),1,"")</f>
        <v/>
      </c>
    </row>
    <row r="447">
      <c r="A447" s="13" t="inlineStr">
        <is>
          <t>P-0443</t>
        </is>
      </c>
      <c r="B447" s="14">
        <f>IF(AND($U447="",$C447=""),"",IFERROR(INDEX(EvID,MATCH(INDEX(FormData,$W447,f_Event),EvID,0)),IFERROR(INDEX(EvID,MATCH(INDEX(FormData,$W447,f_Event),EvName,0)),IFERROR(INDEX(EvID,MATCH(INT($C447),EvDate,0)),""))))</f>
        <v/>
      </c>
      <c r="C447" s="15">
        <f>IF($W447="","",INDEX(FormData,$W447,f_Time))</f>
        <v/>
      </c>
      <c r="D447" s="14">
        <f>IF($W447="","",IFERROR(UPPER(LEFT(TRIM(INDEX(FormData,$W447,f_Name)),1)&amp;IFERROR(MID(TRIM(INDEX(FormData,$W447,f_Name)),FIND("^",SUBSTITUTE(TRIM(INDEX(FormData,$W447,f_Name))," ","^",LEN(TRIM(INDEX(FormData,$W447,f_Name)))-LEN(SUBSTITUTE(TRIM(INDEX(FormData,$W447,f_Name))," ",""))))+1,1),"")),""))</f>
        <v/>
      </c>
      <c r="E447" s="16">
        <f>IF($W447="","",IFERROR(IF(SUMPRODUCT(MAX((WhoKW&lt;&gt;"")*ISNUMBER(SEARCH(WhoKW,INDEX(FormData,$W447,f_Who)&amp;""))*(ROW(WhoKW)-MIN(ROW(WhoKW))+1)))=0,"",INDEX(WhoVal,SUMPRODUCT(MAX((WhoKW&lt;&gt;"")*ISNUMBER(SEARCH(WhoKW,INDEX(FormData,$W447,f_Who)&amp;""))*(ROW(WhoKW)-MIN(ROW(WhoKW))+1))))),""))</f>
        <v/>
      </c>
      <c r="F447" s="17">
        <f>IF($W447="","",TRIM(IFERROR(INDEX(FormData,$W447,f_Org1)&amp;"","")&amp;" "&amp;IFERROR(INDEX(FormData,$W447,f_Org2)&amp;"","")))</f>
        <v/>
      </c>
      <c r="G447" s="16">
        <f>IF($W447="","",IFERROR(INDEX(FormData,$W447,f_Region)&amp;"",""))</f>
        <v/>
      </c>
      <c r="H447" s="16">
        <f>IF($W447="","",IFERROR(IF(SUMPRODUCT(MAX((SitKW&lt;&gt;"")*ISNUMBER(SEARCH(SitKW,INDEX(FormData,$W447,f_Sit)&amp;""))*(ROW(SitKW)-MIN(ROW(SitKW))+1)))=0,"",INDEX(SitVal,SUMPRODUCT(MAX((SitKW&lt;&gt;"")*ISNUMBER(SEARCH(SitKW,INDEX(FormData,$W447,f_Sit)&amp;""))*(ROW(SitKW)-MIN(ROW(SitKW))+1))))),""))</f>
        <v/>
      </c>
      <c r="I447" s="14">
        <f>IF($W447="","",IFERROR(INDEX(FormData,$W447,f_Appr)&amp;"",""))</f>
        <v/>
      </c>
      <c r="J447" s="16">
        <f>IF($W447="","",IFERROR(INDEX(FormData,$W447,f_Trade)&amp;"",""))</f>
        <v/>
      </c>
      <c r="K447" s="16" t="n"/>
      <c r="L447" s="17" t="n"/>
      <c r="M447" s="16" t="n"/>
      <c r="N447" s="17" t="n"/>
      <c r="O447" s="14" t="n"/>
      <c r="P447" s="14" t="n"/>
      <c r="Q447" s="18" t="n"/>
      <c r="R447" s="18" t="n"/>
      <c r="S447" s="13">
        <f>IF($P447&lt;&gt;"✓","",IF($R447&lt;&gt;"","Done",IF($Q447="","Open — no date",IF($Q447&lt;TODAY(),"Overdue",IF($Q447-TODAY()&lt;=DueSoon,"Due soon","Scheduled")))))</f>
        <v/>
      </c>
      <c r="T447" s="14">
        <f>IF($W447="","",IFERROR(IF(INDEX(FormData,$W447,f_Consent)&amp;""="","",IF(ISNUMBER(SEARCH("yes",INDEX(FormData,$W447,f_Consent))),"Yes","No")),""))</f>
        <v/>
      </c>
      <c r="U447" s="14" t="n"/>
      <c r="V447" s="13">
        <f>IF($U447="","",IF($W447="","not found","✓"))</f>
        <v/>
      </c>
      <c r="W447">
        <f>IF($U447="","",IFERROR(MATCH($U447,INDEX(FormData,0,f_Id),0),IFERROR(MATCH(--$U447,INDEX(FormData,0,f_Id),0),IFERROR(MATCH($U447&amp;"",INDEX(FormData,0,f_Id),0),""))))</f>
        <v/>
      </c>
      <c r="X447">
        <f>IF(AND($B447&lt;&gt;"",$B447='Event Report'!$C$3),ROW(),"")</f>
        <v/>
      </c>
      <c r="Y447">
        <f>IF(AND($P447="✓",$R447=""),IF($Q447="",90000,$Q447)+ROW()/100000,"")</f>
        <v/>
      </c>
      <c r="Z447">
        <f>IF(OR($U447&lt;&gt;"",$D447&lt;&gt;"",$E447&lt;&gt;"",$N447&lt;&gt;""),1,"")</f>
        <v/>
      </c>
    </row>
    <row r="448">
      <c r="A448" s="13" t="inlineStr">
        <is>
          <t>P-0444</t>
        </is>
      </c>
      <c r="B448" s="14">
        <f>IF(AND($U448="",$C448=""),"",IFERROR(INDEX(EvID,MATCH(INDEX(FormData,$W448,f_Event),EvID,0)),IFERROR(INDEX(EvID,MATCH(INDEX(FormData,$W448,f_Event),EvName,0)),IFERROR(INDEX(EvID,MATCH(INT($C448),EvDate,0)),""))))</f>
        <v/>
      </c>
      <c r="C448" s="15">
        <f>IF($W448="","",INDEX(FormData,$W448,f_Time))</f>
        <v/>
      </c>
      <c r="D448" s="14">
        <f>IF($W448="","",IFERROR(UPPER(LEFT(TRIM(INDEX(FormData,$W448,f_Name)),1)&amp;IFERROR(MID(TRIM(INDEX(FormData,$W448,f_Name)),FIND("^",SUBSTITUTE(TRIM(INDEX(FormData,$W448,f_Name))," ","^",LEN(TRIM(INDEX(FormData,$W448,f_Name)))-LEN(SUBSTITUTE(TRIM(INDEX(FormData,$W448,f_Name))," ",""))))+1,1),"")),""))</f>
        <v/>
      </c>
      <c r="E448" s="16">
        <f>IF($W448="","",IFERROR(IF(SUMPRODUCT(MAX((WhoKW&lt;&gt;"")*ISNUMBER(SEARCH(WhoKW,INDEX(FormData,$W448,f_Who)&amp;""))*(ROW(WhoKW)-MIN(ROW(WhoKW))+1)))=0,"",INDEX(WhoVal,SUMPRODUCT(MAX((WhoKW&lt;&gt;"")*ISNUMBER(SEARCH(WhoKW,INDEX(FormData,$W448,f_Who)&amp;""))*(ROW(WhoKW)-MIN(ROW(WhoKW))+1))))),""))</f>
        <v/>
      </c>
      <c r="F448" s="17">
        <f>IF($W448="","",TRIM(IFERROR(INDEX(FormData,$W448,f_Org1)&amp;"","")&amp;" "&amp;IFERROR(INDEX(FormData,$W448,f_Org2)&amp;"","")))</f>
        <v/>
      </c>
      <c r="G448" s="16">
        <f>IF($W448="","",IFERROR(INDEX(FormData,$W448,f_Region)&amp;"",""))</f>
        <v/>
      </c>
      <c r="H448" s="16">
        <f>IF($W448="","",IFERROR(IF(SUMPRODUCT(MAX((SitKW&lt;&gt;"")*ISNUMBER(SEARCH(SitKW,INDEX(FormData,$W448,f_Sit)&amp;""))*(ROW(SitKW)-MIN(ROW(SitKW))+1)))=0,"",INDEX(SitVal,SUMPRODUCT(MAX((SitKW&lt;&gt;"")*ISNUMBER(SEARCH(SitKW,INDEX(FormData,$W448,f_Sit)&amp;""))*(ROW(SitKW)-MIN(ROW(SitKW))+1))))),""))</f>
        <v/>
      </c>
      <c r="I448" s="14">
        <f>IF($W448="","",IFERROR(INDEX(FormData,$W448,f_Appr)&amp;"",""))</f>
        <v/>
      </c>
      <c r="J448" s="16">
        <f>IF($W448="","",IFERROR(INDEX(FormData,$W448,f_Trade)&amp;"",""))</f>
        <v/>
      </c>
      <c r="K448" s="16" t="n"/>
      <c r="L448" s="17" t="n"/>
      <c r="M448" s="16" t="n"/>
      <c r="N448" s="17" t="n"/>
      <c r="O448" s="14" t="n"/>
      <c r="P448" s="14" t="n"/>
      <c r="Q448" s="18" t="n"/>
      <c r="R448" s="18" t="n"/>
      <c r="S448" s="13">
        <f>IF($P448&lt;&gt;"✓","",IF($R448&lt;&gt;"","Done",IF($Q448="","Open — no date",IF($Q448&lt;TODAY(),"Overdue",IF($Q448-TODAY()&lt;=DueSoon,"Due soon","Scheduled")))))</f>
        <v/>
      </c>
      <c r="T448" s="14">
        <f>IF($W448="","",IFERROR(IF(INDEX(FormData,$W448,f_Consent)&amp;""="","",IF(ISNUMBER(SEARCH("yes",INDEX(FormData,$W448,f_Consent))),"Yes","No")),""))</f>
        <v/>
      </c>
      <c r="U448" s="14" t="n"/>
      <c r="V448" s="13">
        <f>IF($U448="","",IF($W448="","not found","✓"))</f>
        <v/>
      </c>
      <c r="W448">
        <f>IF($U448="","",IFERROR(MATCH($U448,INDEX(FormData,0,f_Id),0),IFERROR(MATCH(--$U448,INDEX(FormData,0,f_Id),0),IFERROR(MATCH($U448&amp;"",INDEX(FormData,0,f_Id),0),""))))</f>
        <v/>
      </c>
      <c r="X448">
        <f>IF(AND($B448&lt;&gt;"",$B448='Event Report'!$C$3),ROW(),"")</f>
        <v/>
      </c>
      <c r="Y448">
        <f>IF(AND($P448="✓",$R448=""),IF($Q448="",90000,$Q448)+ROW()/100000,"")</f>
        <v/>
      </c>
      <c r="Z448">
        <f>IF(OR($U448&lt;&gt;"",$D448&lt;&gt;"",$E448&lt;&gt;"",$N448&lt;&gt;""),1,"")</f>
        <v/>
      </c>
    </row>
    <row r="449">
      <c r="A449" s="13" t="inlineStr">
        <is>
          <t>P-0445</t>
        </is>
      </c>
      <c r="B449" s="14">
        <f>IF(AND($U449="",$C449=""),"",IFERROR(INDEX(EvID,MATCH(INDEX(FormData,$W449,f_Event),EvID,0)),IFERROR(INDEX(EvID,MATCH(INDEX(FormData,$W449,f_Event),EvName,0)),IFERROR(INDEX(EvID,MATCH(INT($C449),EvDate,0)),""))))</f>
        <v/>
      </c>
      <c r="C449" s="15">
        <f>IF($W449="","",INDEX(FormData,$W449,f_Time))</f>
        <v/>
      </c>
      <c r="D449" s="14">
        <f>IF($W449="","",IFERROR(UPPER(LEFT(TRIM(INDEX(FormData,$W449,f_Name)),1)&amp;IFERROR(MID(TRIM(INDEX(FormData,$W449,f_Name)),FIND("^",SUBSTITUTE(TRIM(INDEX(FormData,$W449,f_Name))," ","^",LEN(TRIM(INDEX(FormData,$W449,f_Name)))-LEN(SUBSTITUTE(TRIM(INDEX(FormData,$W449,f_Name))," ",""))))+1,1),"")),""))</f>
        <v/>
      </c>
      <c r="E449" s="16">
        <f>IF($W449="","",IFERROR(IF(SUMPRODUCT(MAX((WhoKW&lt;&gt;"")*ISNUMBER(SEARCH(WhoKW,INDEX(FormData,$W449,f_Who)&amp;""))*(ROW(WhoKW)-MIN(ROW(WhoKW))+1)))=0,"",INDEX(WhoVal,SUMPRODUCT(MAX((WhoKW&lt;&gt;"")*ISNUMBER(SEARCH(WhoKW,INDEX(FormData,$W449,f_Who)&amp;""))*(ROW(WhoKW)-MIN(ROW(WhoKW))+1))))),""))</f>
        <v/>
      </c>
      <c r="F449" s="17">
        <f>IF($W449="","",TRIM(IFERROR(INDEX(FormData,$W449,f_Org1)&amp;"","")&amp;" "&amp;IFERROR(INDEX(FormData,$W449,f_Org2)&amp;"","")))</f>
        <v/>
      </c>
      <c r="G449" s="16">
        <f>IF($W449="","",IFERROR(INDEX(FormData,$W449,f_Region)&amp;"",""))</f>
        <v/>
      </c>
      <c r="H449" s="16">
        <f>IF($W449="","",IFERROR(IF(SUMPRODUCT(MAX((SitKW&lt;&gt;"")*ISNUMBER(SEARCH(SitKW,INDEX(FormData,$W449,f_Sit)&amp;""))*(ROW(SitKW)-MIN(ROW(SitKW))+1)))=0,"",INDEX(SitVal,SUMPRODUCT(MAX((SitKW&lt;&gt;"")*ISNUMBER(SEARCH(SitKW,INDEX(FormData,$W449,f_Sit)&amp;""))*(ROW(SitKW)-MIN(ROW(SitKW))+1))))),""))</f>
        <v/>
      </c>
      <c r="I449" s="14">
        <f>IF($W449="","",IFERROR(INDEX(FormData,$W449,f_Appr)&amp;"",""))</f>
        <v/>
      </c>
      <c r="J449" s="16">
        <f>IF($W449="","",IFERROR(INDEX(FormData,$W449,f_Trade)&amp;"",""))</f>
        <v/>
      </c>
      <c r="K449" s="16" t="n"/>
      <c r="L449" s="17" t="n"/>
      <c r="M449" s="16" t="n"/>
      <c r="N449" s="17" t="n"/>
      <c r="O449" s="14" t="n"/>
      <c r="P449" s="14" t="n"/>
      <c r="Q449" s="18" t="n"/>
      <c r="R449" s="18" t="n"/>
      <c r="S449" s="13">
        <f>IF($P449&lt;&gt;"✓","",IF($R449&lt;&gt;"","Done",IF($Q449="","Open — no date",IF($Q449&lt;TODAY(),"Overdue",IF($Q449-TODAY()&lt;=DueSoon,"Due soon","Scheduled")))))</f>
        <v/>
      </c>
      <c r="T449" s="14">
        <f>IF($W449="","",IFERROR(IF(INDEX(FormData,$W449,f_Consent)&amp;""="","",IF(ISNUMBER(SEARCH("yes",INDEX(FormData,$W449,f_Consent))),"Yes","No")),""))</f>
        <v/>
      </c>
      <c r="U449" s="14" t="n"/>
      <c r="V449" s="13">
        <f>IF($U449="","",IF($W449="","not found","✓"))</f>
        <v/>
      </c>
      <c r="W449">
        <f>IF($U449="","",IFERROR(MATCH($U449,INDEX(FormData,0,f_Id),0),IFERROR(MATCH(--$U449,INDEX(FormData,0,f_Id),0),IFERROR(MATCH($U449&amp;"",INDEX(FormData,0,f_Id),0),""))))</f>
        <v/>
      </c>
      <c r="X449">
        <f>IF(AND($B449&lt;&gt;"",$B449='Event Report'!$C$3),ROW(),"")</f>
        <v/>
      </c>
      <c r="Y449">
        <f>IF(AND($P449="✓",$R449=""),IF($Q449="",90000,$Q449)+ROW()/100000,"")</f>
        <v/>
      </c>
      <c r="Z449">
        <f>IF(OR($U449&lt;&gt;"",$D449&lt;&gt;"",$E449&lt;&gt;"",$N449&lt;&gt;""),1,"")</f>
        <v/>
      </c>
    </row>
    <row r="450">
      <c r="A450" s="13" t="inlineStr">
        <is>
          <t>P-0446</t>
        </is>
      </c>
      <c r="B450" s="14">
        <f>IF(AND($U450="",$C450=""),"",IFERROR(INDEX(EvID,MATCH(INDEX(FormData,$W450,f_Event),EvID,0)),IFERROR(INDEX(EvID,MATCH(INDEX(FormData,$W450,f_Event),EvName,0)),IFERROR(INDEX(EvID,MATCH(INT($C450),EvDate,0)),""))))</f>
        <v/>
      </c>
      <c r="C450" s="15">
        <f>IF($W450="","",INDEX(FormData,$W450,f_Time))</f>
        <v/>
      </c>
      <c r="D450" s="14">
        <f>IF($W450="","",IFERROR(UPPER(LEFT(TRIM(INDEX(FormData,$W450,f_Name)),1)&amp;IFERROR(MID(TRIM(INDEX(FormData,$W450,f_Name)),FIND("^",SUBSTITUTE(TRIM(INDEX(FormData,$W450,f_Name))," ","^",LEN(TRIM(INDEX(FormData,$W450,f_Name)))-LEN(SUBSTITUTE(TRIM(INDEX(FormData,$W450,f_Name))," ",""))))+1,1),"")),""))</f>
        <v/>
      </c>
      <c r="E450" s="16">
        <f>IF($W450="","",IFERROR(IF(SUMPRODUCT(MAX((WhoKW&lt;&gt;"")*ISNUMBER(SEARCH(WhoKW,INDEX(FormData,$W450,f_Who)&amp;""))*(ROW(WhoKW)-MIN(ROW(WhoKW))+1)))=0,"",INDEX(WhoVal,SUMPRODUCT(MAX((WhoKW&lt;&gt;"")*ISNUMBER(SEARCH(WhoKW,INDEX(FormData,$W450,f_Who)&amp;""))*(ROW(WhoKW)-MIN(ROW(WhoKW))+1))))),""))</f>
        <v/>
      </c>
      <c r="F450" s="17">
        <f>IF($W450="","",TRIM(IFERROR(INDEX(FormData,$W450,f_Org1)&amp;"","")&amp;" "&amp;IFERROR(INDEX(FormData,$W450,f_Org2)&amp;"","")))</f>
        <v/>
      </c>
      <c r="G450" s="16">
        <f>IF($W450="","",IFERROR(INDEX(FormData,$W450,f_Region)&amp;"",""))</f>
        <v/>
      </c>
      <c r="H450" s="16">
        <f>IF($W450="","",IFERROR(IF(SUMPRODUCT(MAX((SitKW&lt;&gt;"")*ISNUMBER(SEARCH(SitKW,INDEX(FormData,$W450,f_Sit)&amp;""))*(ROW(SitKW)-MIN(ROW(SitKW))+1)))=0,"",INDEX(SitVal,SUMPRODUCT(MAX((SitKW&lt;&gt;"")*ISNUMBER(SEARCH(SitKW,INDEX(FormData,$W450,f_Sit)&amp;""))*(ROW(SitKW)-MIN(ROW(SitKW))+1))))),""))</f>
        <v/>
      </c>
      <c r="I450" s="14">
        <f>IF($W450="","",IFERROR(INDEX(FormData,$W450,f_Appr)&amp;"",""))</f>
        <v/>
      </c>
      <c r="J450" s="16">
        <f>IF($W450="","",IFERROR(INDEX(FormData,$W450,f_Trade)&amp;"",""))</f>
        <v/>
      </c>
      <c r="K450" s="16" t="n"/>
      <c r="L450" s="17" t="n"/>
      <c r="M450" s="16" t="n"/>
      <c r="N450" s="17" t="n"/>
      <c r="O450" s="14" t="n"/>
      <c r="P450" s="14" t="n"/>
      <c r="Q450" s="18" t="n"/>
      <c r="R450" s="18" t="n"/>
      <c r="S450" s="13">
        <f>IF($P450&lt;&gt;"✓","",IF($R450&lt;&gt;"","Done",IF($Q450="","Open — no date",IF($Q450&lt;TODAY(),"Overdue",IF($Q450-TODAY()&lt;=DueSoon,"Due soon","Scheduled")))))</f>
        <v/>
      </c>
      <c r="T450" s="14">
        <f>IF($W450="","",IFERROR(IF(INDEX(FormData,$W450,f_Consent)&amp;""="","",IF(ISNUMBER(SEARCH("yes",INDEX(FormData,$W450,f_Consent))),"Yes","No")),""))</f>
        <v/>
      </c>
      <c r="U450" s="14" t="n"/>
      <c r="V450" s="13">
        <f>IF($U450="","",IF($W450="","not found","✓"))</f>
        <v/>
      </c>
      <c r="W450">
        <f>IF($U450="","",IFERROR(MATCH($U450,INDEX(FormData,0,f_Id),0),IFERROR(MATCH(--$U450,INDEX(FormData,0,f_Id),0),IFERROR(MATCH($U450&amp;"",INDEX(FormData,0,f_Id),0),""))))</f>
        <v/>
      </c>
      <c r="X450">
        <f>IF(AND($B450&lt;&gt;"",$B450='Event Report'!$C$3),ROW(),"")</f>
        <v/>
      </c>
      <c r="Y450">
        <f>IF(AND($P450="✓",$R450=""),IF($Q450="",90000,$Q450)+ROW()/100000,"")</f>
        <v/>
      </c>
      <c r="Z450">
        <f>IF(OR($U450&lt;&gt;"",$D450&lt;&gt;"",$E450&lt;&gt;"",$N450&lt;&gt;""),1,"")</f>
        <v/>
      </c>
    </row>
    <row r="451">
      <c r="A451" s="13" t="inlineStr">
        <is>
          <t>P-0447</t>
        </is>
      </c>
      <c r="B451" s="14">
        <f>IF(AND($U451="",$C451=""),"",IFERROR(INDEX(EvID,MATCH(INDEX(FormData,$W451,f_Event),EvID,0)),IFERROR(INDEX(EvID,MATCH(INDEX(FormData,$W451,f_Event),EvName,0)),IFERROR(INDEX(EvID,MATCH(INT($C451),EvDate,0)),""))))</f>
        <v/>
      </c>
      <c r="C451" s="15">
        <f>IF($W451="","",INDEX(FormData,$W451,f_Time))</f>
        <v/>
      </c>
      <c r="D451" s="14">
        <f>IF($W451="","",IFERROR(UPPER(LEFT(TRIM(INDEX(FormData,$W451,f_Name)),1)&amp;IFERROR(MID(TRIM(INDEX(FormData,$W451,f_Name)),FIND("^",SUBSTITUTE(TRIM(INDEX(FormData,$W451,f_Name))," ","^",LEN(TRIM(INDEX(FormData,$W451,f_Name)))-LEN(SUBSTITUTE(TRIM(INDEX(FormData,$W451,f_Name))," ",""))))+1,1),"")),""))</f>
        <v/>
      </c>
      <c r="E451" s="16">
        <f>IF($W451="","",IFERROR(IF(SUMPRODUCT(MAX((WhoKW&lt;&gt;"")*ISNUMBER(SEARCH(WhoKW,INDEX(FormData,$W451,f_Who)&amp;""))*(ROW(WhoKW)-MIN(ROW(WhoKW))+1)))=0,"",INDEX(WhoVal,SUMPRODUCT(MAX((WhoKW&lt;&gt;"")*ISNUMBER(SEARCH(WhoKW,INDEX(FormData,$W451,f_Who)&amp;""))*(ROW(WhoKW)-MIN(ROW(WhoKW))+1))))),""))</f>
        <v/>
      </c>
      <c r="F451" s="17">
        <f>IF($W451="","",TRIM(IFERROR(INDEX(FormData,$W451,f_Org1)&amp;"","")&amp;" "&amp;IFERROR(INDEX(FormData,$W451,f_Org2)&amp;"","")))</f>
        <v/>
      </c>
      <c r="G451" s="16">
        <f>IF($W451="","",IFERROR(INDEX(FormData,$W451,f_Region)&amp;"",""))</f>
        <v/>
      </c>
      <c r="H451" s="16">
        <f>IF($W451="","",IFERROR(IF(SUMPRODUCT(MAX((SitKW&lt;&gt;"")*ISNUMBER(SEARCH(SitKW,INDEX(FormData,$W451,f_Sit)&amp;""))*(ROW(SitKW)-MIN(ROW(SitKW))+1)))=0,"",INDEX(SitVal,SUMPRODUCT(MAX((SitKW&lt;&gt;"")*ISNUMBER(SEARCH(SitKW,INDEX(FormData,$W451,f_Sit)&amp;""))*(ROW(SitKW)-MIN(ROW(SitKW))+1))))),""))</f>
        <v/>
      </c>
      <c r="I451" s="14">
        <f>IF($W451="","",IFERROR(INDEX(FormData,$W451,f_Appr)&amp;"",""))</f>
        <v/>
      </c>
      <c r="J451" s="16">
        <f>IF($W451="","",IFERROR(INDEX(FormData,$W451,f_Trade)&amp;"",""))</f>
        <v/>
      </c>
      <c r="K451" s="16" t="n"/>
      <c r="L451" s="17" t="n"/>
      <c r="M451" s="16" t="n"/>
      <c r="N451" s="17" t="n"/>
      <c r="O451" s="14" t="n"/>
      <c r="P451" s="14" t="n"/>
      <c r="Q451" s="18" t="n"/>
      <c r="R451" s="18" t="n"/>
      <c r="S451" s="13">
        <f>IF($P451&lt;&gt;"✓","",IF($R451&lt;&gt;"","Done",IF($Q451="","Open — no date",IF($Q451&lt;TODAY(),"Overdue",IF($Q451-TODAY()&lt;=DueSoon,"Due soon","Scheduled")))))</f>
        <v/>
      </c>
      <c r="T451" s="14">
        <f>IF($W451="","",IFERROR(IF(INDEX(FormData,$W451,f_Consent)&amp;""="","",IF(ISNUMBER(SEARCH("yes",INDEX(FormData,$W451,f_Consent))),"Yes","No")),""))</f>
        <v/>
      </c>
      <c r="U451" s="14" t="n"/>
      <c r="V451" s="13">
        <f>IF($U451="","",IF($W451="","not found","✓"))</f>
        <v/>
      </c>
      <c r="W451">
        <f>IF($U451="","",IFERROR(MATCH($U451,INDEX(FormData,0,f_Id),0),IFERROR(MATCH(--$U451,INDEX(FormData,0,f_Id),0),IFERROR(MATCH($U451&amp;"",INDEX(FormData,0,f_Id),0),""))))</f>
        <v/>
      </c>
      <c r="X451">
        <f>IF(AND($B451&lt;&gt;"",$B451='Event Report'!$C$3),ROW(),"")</f>
        <v/>
      </c>
      <c r="Y451">
        <f>IF(AND($P451="✓",$R451=""),IF($Q451="",90000,$Q451)+ROW()/100000,"")</f>
        <v/>
      </c>
      <c r="Z451">
        <f>IF(OR($U451&lt;&gt;"",$D451&lt;&gt;"",$E451&lt;&gt;"",$N451&lt;&gt;""),1,"")</f>
        <v/>
      </c>
    </row>
    <row r="452">
      <c r="A452" s="13" t="inlineStr">
        <is>
          <t>P-0448</t>
        </is>
      </c>
      <c r="B452" s="14">
        <f>IF(AND($U452="",$C452=""),"",IFERROR(INDEX(EvID,MATCH(INDEX(FormData,$W452,f_Event),EvID,0)),IFERROR(INDEX(EvID,MATCH(INDEX(FormData,$W452,f_Event),EvName,0)),IFERROR(INDEX(EvID,MATCH(INT($C452),EvDate,0)),""))))</f>
        <v/>
      </c>
      <c r="C452" s="15">
        <f>IF($W452="","",INDEX(FormData,$W452,f_Time))</f>
        <v/>
      </c>
      <c r="D452" s="14">
        <f>IF($W452="","",IFERROR(UPPER(LEFT(TRIM(INDEX(FormData,$W452,f_Name)),1)&amp;IFERROR(MID(TRIM(INDEX(FormData,$W452,f_Name)),FIND("^",SUBSTITUTE(TRIM(INDEX(FormData,$W452,f_Name))," ","^",LEN(TRIM(INDEX(FormData,$W452,f_Name)))-LEN(SUBSTITUTE(TRIM(INDEX(FormData,$W452,f_Name))," ",""))))+1,1),"")),""))</f>
        <v/>
      </c>
      <c r="E452" s="16">
        <f>IF($W452="","",IFERROR(IF(SUMPRODUCT(MAX((WhoKW&lt;&gt;"")*ISNUMBER(SEARCH(WhoKW,INDEX(FormData,$W452,f_Who)&amp;""))*(ROW(WhoKW)-MIN(ROW(WhoKW))+1)))=0,"",INDEX(WhoVal,SUMPRODUCT(MAX((WhoKW&lt;&gt;"")*ISNUMBER(SEARCH(WhoKW,INDEX(FormData,$W452,f_Who)&amp;""))*(ROW(WhoKW)-MIN(ROW(WhoKW))+1))))),""))</f>
        <v/>
      </c>
      <c r="F452" s="17">
        <f>IF($W452="","",TRIM(IFERROR(INDEX(FormData,$W452,f_Org1)&amp;"","")&amp;" "&amp;IFERROR(INDEX(FormData,$W452,f_Org2)&amp;"","")))</f>
        <v/>
      </c>
      <c r="G452" s="16">
        <f>IF($W452="","",IFERROR(INDEX(FormData,$W452,f_Region)&amp;"",""))</f>
        <v/>
      </c>
      <c r="H452" s="16">
        <f>IF($W452="","",IFERROR(IF(SUMPRODUCT(MAX((SitKW&lt;&gt;"")*ISNUMBER(SEARCH(SitKW,INDEX(FormData,$W452,f_Sit)&amp;""))*(ROW(SitKW)-MIN(ROW(SitKW))+1)))=0,"",INDEX(SitVal,SUMPRODUCT(MAX((SitKW&lt;&gt;"")*ISNUMBER(SEARCH(SitKW,INDEX(FormData,$W452,f_Sit)&amp;""))*(ROW(SitKW)-MIN(ROW(SitKW))+1))))),""))</f>
        <v/>
      </c>
      <c r="I452" s="14">
        <f>IF($W452="","",IFERROR(INDEX(FormData,$W452,f_Appr)&amp;"",""))</f>
        <v/>
      </c>
      <c r="J452" s="16">
        <f>IF($W452="","",IFERROR(INDEX(FormData,$W452,f_Trade)&amp;"",""))</f>
        <v/>
      </c>
      <c r="K452" s="16" t="n"/>
      <c r="L452" s="17" t="n"/>
      <c r="M452" s="16" t="n"/>
      <c r="N452" s="17" t="n"/>
      <c r="O452" s="14" t="n"/>
      <c r="P452" s="14" t="n"/>
      <c r="Q452" s="18" t="n"/>
      <c r="R452" s="18" t="n"/>
      <c r="S452" s="13">
        <f>IF($P452&lt;&gt;"✓","",IF($R452&lt;&gt;"","Done",IF($Q452="","Open — no date",IF($Q452&lt;TODAY(),"Overdue",IF($Q452-TODAY()&lt;=DueSoon,"Due soon","Scheduled")))))</f>
        <v/>
      </c>
      <c r="T452" s="14">
        <f>IF($W452="","",IFERROR(IF(INDEX(FormData,$W452,f_Consent)&amp;""="","",IF(ISNUMBER(SEARCH("yes",INDEX(FormData,$W452,f_Consent))),"Yes","No")),""))</f>
        <v/>
      </c>
      <c r="U452" s="14" t="n"/>
      <c r="V452" s="13">
        <f>IF($U452="","",IF($W452="","not found","✓"))</f>
        <v/>
      </c>
      <c r="W452">
        <f>IF($U452="","",IFERROR(MATCH($U452,INDEX(FormData,0,f_Id),0),IFERROR(MATCH(--$U452,INDEX(FormData,0,f_Id),0),IFERROR(MATCH($U452&amp;"",INDEX(FormData,0,f_Id),0),""))))</f>
        <v/>
      </c>
      <c r="X452">
        <f>IF(AND($B452&lt;&gt;"",$B452='Event Report'!$C$3),ROW(),"")</f>
        <v/>
      </c>
      <c r="Y452">
        <f>IF(AND($P452="✓",$R452=""),IF($Q452="",90000,$Q452)+ROW()/100000,"")</f>
        <v/>
      </c>
      <c r="Z452">
        <f>IF(OR($U452&lt;&gt;"",$D452&lt;&gt;"",$E452&lt;&gt;"",$N452&lt;&gt;""),1,"")</f>
        <v/>
      </c>
    </row>
    <row r="453">
      <c r="A453" s="13" t="inlineStr">
        <is>
          <t>P-0449</t>
        </is>
      </c>
      <c r="B453" s="14">
        <f>IF(AND($U453="",$C453=""),"",IFERROR(INDEX(EvID,MATCH(INDEX(FormData,$W453,f_Event),EvID,0)),IFERROR(INDEX(EvID,MATCH(INDEX(FormData,$W453,f_Event),EvName,0)),IFERROR(INDEX(EvID,MATCH(INT($C453),EvDate,0)),""))))</f>
        <v/>
      </c>
      <c r="C453" s="15">
        <f>IF($W453="","",INDEX(FormData,$W453,f_Time))</f>
        <v/>
      </c>
      <c r="D453" s="14">
        <f>IF($W453="","",IFERROR(UPPER(LEFT(TRIM(INDEX(FormData,$W453,f_Name)),1)&amp;IFERROR(MID(TRIM(INDEX(FormData,$W453,f_Name)),FIND("^",SUBSTITUTE(TRIM(INDEX(FormData,$W453,f_Name))," ","^",LEN(TRIM(INDEX(FormData,$W453,f_Name)))-LEN(SUBSTITUTE(TRIM(INDEX(FormData,$W453,f_Name))," ",""))))+1,1),"")),""))</f>
        <v/>
      </c>
      <c r="E453" s="16">
        <f>IF($W453="","",IFERROR(IF(SUMPRODUCT(MAX((WhoKW&lt;&gt;"")*ISNUMBER(SEARCH(WhoKW,INDEX(FormData,$W453,f_Who)&amp;""))*(ROW(WhoKW)-MIN(ROW(WhoKW))+1)))=0,"",INDEX(WhoVal,SUMPRODUCT(MAX((WhoKW&lt;&gt;"")*ISNUMBER(SEARCH(WhoKW,INDEX(FormData,$W453,f_Who)&amp;""))*(ROW(WhoKW)-MIN(ROW(WhoKW))+1))))),""))</f>
        <v/>
      </c>
      <c r="F453" s="17">
        <f>IF($W453="","",TRIM(IFERROR(INDEX(FormData,$W453,f_Org1)&amp;"","")&amp;" "&amp;IFERROR(INDEX(FormData,$W453,f_Org2)&amp;"","")))</f>
        <v/>
      </c>
      <c r="G453" s="16">
        <f>IF($W453="","",IFERROR(INDEX(FormData,$W453,f_Region)&amp;"",""))</f>
        <v/>
      </c>
      <c r="H453" s="16">
        <f>IF($W453="","",IFERROR(IF(SUMPRODUCT(MAX((SitKW&lt;&gt;"")*ISNUMBER(SEARCH(SitKW,INDEX(FormData,$W453,f_Sit)&amp;""))*(ROW(SitKW)-MIN(ROW(SitKW))+1)))=0,"",INDEX(SitVal,SUMPRODUCT(MAX((SitKW&lt;&gt;"")*ISNUMBER(SEARCH(SitKW,INDEX(FormData,$W453,f_Sit)&amp;""))*(ROW(SitKW)-MIN(ROW(SitKW))+1))))),""))</f>
        <v/>
      </c>
      <c r="I453" s="14">
        <f>IF($W453="","",IFERROR(INDEX(FormData,$W453,f_Appr)&amp;"",""))</f>
        <v/>
      </c>
      <c r="J453" s="16">
        <f>IF($W453="","",IFERROR(INDEX(FormData,$W453,f_Trade)&amp;"",""))</f>
        <v/>
      </c>
      <c r="K453" s="16" t="n"/>
      <c r="L453" s="17" t="n"/>
      <c r="M453" s="16" t="n"/>
      <c r="N453" s="17" t="n"/>
      <c r="O453" s="14" t="n"/>
      <c r="P453" s="14" t="n"/>
      <c r="Q453" s="18" t="n"/>
      <c r="R453" s="18" t="n"/>
      <c r="S453" s="13">
        <f>IF($P453&lt;&gt;"✓","",IF($R453&lt;&gt;"","Done",IF($Q453="","Open — no date",IF($Q453&lt;TODAY(),"Overdue",IF($Q453-TODAY()&lt;=DueSoon,"Due soon","Scheduled")))))</f>
        <v/>
      </c>
      <c r="T453" s="14">
        <f>IF($W453="","",IFERROR(IF(INDEX(FormData,$W453,f_Consent)&amp;""="","",IF(ISNUMBER(SEARCH("yes",INDEX(FormData,$W453,f_Consent))),"Yes","No")),""))</f>
        <v/>
      </c>
      <c r="U453" s="14" t="n"/>
      <c r="V453" s="13">
        <f>IF($U453="","",IF($W453="","not found","✓"))</f>
        <v/>
      </c>
      <c r="W453">
        <f>IF($U453="","",IFERROR(MATCH($U453,INDEX(FormData,0,f_Id),0),IFERROR(MATCH(--$U453,INDEX(FormData,0,f_Id),0),IFERROR(MATCH($U453&amp;"",INDEX(FormData,0,f_Id),0),""))))</f>
        <v/>
      </c>
      <c r="X453">
        <f>IF(AND($B453&lt;&gt;"",$B453='Event Report'!$C$3),ROW(),"")</f>
        <v/>
      </c>
      <c r="Y453">
        <f>IF(AND($P453="✓",$R453=""),IF($Q453="",90000,$Q453)+ROW()/100000,"")</f>
        <v/>
      </c>
      <c r="Z453">
        <f>IF(OR($U453&lt;&gt;"",$D453&lt;&gt;"",$E453&lt;&gt;"",$N453&lt;&gt;""),1,"")</f>
        <v/>
      </c>
    </row>
    <row r="454">
      <c r="A454" s="13" t="inlineStr">
        <is>
          <t>P-0450</t>
        </is>
      </c>
      <c r="B454" s="14">
        <f>IF(AND($U454="",$C454=""),"",IFERROR(INDEX(EvID,MATCH(INDEX(FormData,$W454,f_Event),EvID,0)),IFERROR(INDEX(EvID,MATCH(INDEX(FormData,$W454,f_Event),EvName,0)),IFERROR(INDEX(EvID,MATCH(INT($C454),EvDate,0)),""))))</f>
        <v/>
      </c>
      <c r="C454" s="15">
        <f>IF($W454="","",INDEX(FormData,$W454,f_Time))</f>
        <v/>
      </c>
      <c r="D454" s="14">
        <f>IF($W454="","",IFERROR(UPPER(LEFT(TRIM(INDEX(FormData,$W454,f_Name)),1)&amp;IFERROR(MID(TRIM(INDEX(FormData,$W454,f_Name)),FIND("^",SUBSTITUTE(TRIM(INDEX(FormData,$W454,f_Name))," ","^",LEN(TRIM(INDEX(FormData,$W454,f_Name)))-LEN(SUBSTITUTE(TRIM(INDEX(FormData,$W454,f_Name))," ",""))))+1,1),"")),""))</f>
        <v/>
      </c>
      <c r="E454" s="16">
        <f>IF($W454="","",IFERROR(IF(SUMPRODUCT(MAX((WhoKW&lt;&gt;"")*ISNUMBER(SEARCH(WhoKW,INDEX(FormData,$W454,f_Who)&amp;""))*(ROW(WhoKW)-MIN(ROW(WhoKW))+1)))=0,"",INDEX(WhoVal,SUMPRODUCT(MAX((WhoKW&lt;&gt;"")*ISNUMBER(SEARCH(WhoKW,INDEX(FormData,$W454,f_Who)&amp;""))*(ROW(WhoKW)-MIN(ROW(WhoKW))+1))))),""))</f>
        <v/>
      </c>
      <c r="F454" s="17">
        <f>IF($W454="","",TRIM(IFERROR(INDEX(FormData,$W454,f_Org1)&amp;"","")&amp;" "&amp;IFERROR(INDEX(FormData,$W454,f_Org2)&amp;"","")))</f>
        <v/>
      </c>
      <c r="G454" s="16">
        <f>IF($W454="","",IFERROR(INDEX(FormData,$W454,f_Region)&amp;"",""))</f>
        <v/>
      </c>
      <c r="H454" s="16">
        <f>IF($W454="","",IFERROR(IF(SUMPRODUCT(MAX((SitKW&lt;&gt;"")*ISNUMBER(SEARCH(SitKW,INDEX(FormData,$W454,f_Sit)&amp;""))*(ROW(SitKW)-MIN(ROW(SitKW))+1)))=0,"",INDEX(SitVal,SUMPRODUCT(MAX((SitKW&lt;&gt;"")*ISNUMBER(SEARCH(SitKW,INDEX(FormData,$W454,f_Sit)&amp;""))*(ROW(SitKW)-MIN(ROW(SitKW))+1))))),""))</f>
        <v/>
      </c>
      <c r="I454" s="14">
        <f>IF($W454="","",IFERROR(INDEX(FormData,$W454,f_Appr)&amp;"",""))</f>
        <v/>
      </c>
      <c r="J454" s="16">
        <f>IF($W454="","",IFERROR(INDEX(FormData,$W454,f_Trade)&amp;"",""))</f>
        <v/>
      </c>
      <c r="K454" s="16" t="n"/>
      <c r="L454" s="17" t="n"/>
      <c r="M454" s="16" t="n"/>
      <c r="N454" s="17" t="n"/>
      <c r="O454" s="14" t="n"/>
      <c r="P454" s="14" t="n"/>
      <c r="Q454" s="18" t="n"/>
      <c r="R454" s="18" t="n"/>
      <c r="S454" s="13">
        <f>IF($P454&lt;&gt;"✓","",IF($R454&lt;&gt;"","Done",IF($Q454="","Open — no date",IF($Q454&lt;TODAY(),"Overdue",IF($Q454-TODAY()&lt;=DueSoon,"Due soon","Scheduled")))))</f>
        <v/>
      </c>
      <c r="T454" s="14">
        <f>IF($W454="","",IFERROR(IF(INDEX(FormData,$W454,f_Consent)&amp;""="","",IF(ISNUMBER(SEARCH("yes",INDEX(FormData,$W454,f_Consent))),"Yes","No")),""))</f>
        <v/>
      </c>
      <c r="U454" s="14" t="n"/>
      <c r="V454" s="13">
        <f>IF($U454="","",IF($W454="","not found","✓"))</f>
        <v/>
      </c>
      <c r="W454">
        <f>IF($U454="","",IFERROR(MATCH($U454,INDEX(FormData,0,f_Id),0),IFERROR(MATCH(--$U454,INDEX(FormData,0,f_Id),0),IFERROR(MATCH($U454&amp;"",INDEX(FormData,0,f_Id),0),""))))</f>
        <v/>
      </c>
      <c r="X454">
        <f>IF(AND($B454&lt;&gt;"",$B454='Event Report'!$C$3),ROW(),"")</f>
        <v/>
      </c>
      <c r="Y454">
        <f>IF(AND($P454="✓",$R454=""),IF($Q454="",90000,$Q454)+ROW()/100000,"")</f>
        <v/>
      </c>
      <c r="Z454">
        <f>IF(OR($U454&lt;&gt;"",$D454&lt;&gt;"",$E454&lt;&gt;"",$N454&lt;&gt;""),1,"")</f>
        <v/>
      </c>
    </row>
    <row r="455">
      <c r="A455" s="13" t="inlineStr">
        <is>
          <t>P-0451</t>
        </is>
      </c>
      <c r="B455" s="14">
        <f>IF(AND($U455="",$C455=""),"",IFERROR(INDEX(EvID,MATCH(INDEX(FormData,$W455,f_Event),EvID,0)),IFERROR(INDEX(EvID,MATCH(INDEX(FormData,$W455,f_Event),EvName,0)),IFERROR(INDEX(EvID,MATCH(INT($C455),EvDate,0)),""))))</f>
        <v/>
      </c>
      <c r="C455" s="15">
        <f>IF($W455="","",INDEX(FormData,$W455,f_Time))</f>
        <v/>
      </c>
      <c r="D455" s="14">
        <f>IF($W455="","",IFERROR(UPPER(LEFT(TRIM(INDEX(FormData,$W455,f_Name)),1)&amp;IFERROR(MID(TRIM(INDEX(FormData,$W455,f_Name)),FIND("^",SUBSTITUTE(TRIM(INDEX(FormData,$W455,f_Name))," ","^",LEN(TRIM(INDEX(FormData,$W455,f_Name)))-LEN(SUBSTITUTE(TRIM(INDEX(FormData,$W455,f_Name))," ",""))))+1,1),"")),""))</f>
        <v/>
      </c>
      <c r="E455" s="16">
        <f>IF($W455="","",IFERROR(IF(SUMPRODUCT(MAX((WhoKW&lt;&gt;"")*ISNUMBER(SEARCH(WhoKW,INDEX(FormData,$W455,f_Who)&amp;""))*(ROW(WhoKW)-MIN(ROW(WhoKW))+1)))=0,"",INDEX(WhoVal,SUMPRODUCT(MAX((WhoKW&lt;&gt;"")*ISNUMBER(SEARCH(WhoKW,INDEX(FormData,$W455,f_Who)&amp;""))*(ROW(WhoKW)-MIN(ROW(WhoKW))+1))))),""))</f>
        <v/>
      </c>
      <c r="F455" s="17">
        <f>IF($W455="","",TRIM(IFERROR(INDEX(FormData,$W455,f_Org1)&amp;"","")&amp;" "&amp;IFERROR(INDEX(FormData,$W455,f_Org2)&amp;"","")))</f>
        <v/>
      </c>
      <c r="G455" s="16">
        <f>IF($W455="","",IFERROR(INDEX(FormData,$W455,f_Region)&amp;"",""))</f>
        <v/>
      </c>
      <c r="H455" s="16">
        <f>IF($W455="","",IFERROR(IF(SUMPRODUCT(MAX((SitKW&lt;&gt;"")*ISNUMBER(SEARCH(SitKW,INDEX(FormData,$W455,f_Sit)&amp;""))*(ROW(SitKW)-MIN(ROW(SitKW))+1)))=0,"",INDEX(SitVal,SUMPRODUCT(MAX((SitKW&lt;&gt;"")*ISNUMBER(SEARCH(SitKW,INDEX(FormData,$W455,f_Sit)&amp;""))*(ROW(SitKW)-MIN(ROW(SitKW))+1))))),""))</f>
        <v/>
      </c>
      <c r="I455" s="14">
        <f>IF($W455="","",IFERROR(INDEX(FormData,$W455,f_Appr)&amp;"",""))</f>
        <v/>
      </c>
      <c r="J455" s="16">
        <f>IF($W455="","",IFERROR(INDEX(FormData,$W455,f_Trade)&amp;"",""))</f>
        <v/>
      </c>
      <c r="K455" s="16" t="n"/>
      <c r="L455" s="17" t="n"/>
      <c r="M455" s="16" t="n"/>
      <c r="N455" s="17" t="n"/>
      <c r="O455" s="14" t="n"/>
      <c r="P455" s="14" t="n"/>
      <c r="Q455" s="18" t="n"/>
      <c r="R455" s="18" t="n"/>
      <c r="S455" s="13">
        <f>IF($P455&lt;&gt;"✓","",IF($R455&lt;&gt;"","Done",IF($Q455="","Open — no date",IF($Q455&lt;TODAY(),"Overdue",IF($Q455-TODAY()&lt;=DueSoon,"Due soon","Scheduled")))))</f>
        <v/>
      </c>
      <c r="T455" s="14">
        <f>IF($W455="","",IFERROR(IF(INDEX(FormData,$W455,f_Consent)&amp;""="","",IF(ISNUMBER(SEARCH("yes",INDEX(FormData,$W455,f_Consent))),"Yes","No")),""))</f>
        <v/>
      </c>
      <c r="U455" s="14" t="n"/>
      <c r="V455" s="13">
        <f>IF($U455="","",IF($W455="","not found","✓"))</f>
        <v/>
      </c>
      <c r="W455">
        <f>IF($U455="","",IFERROR(MATCH($U455,INDEX(FormData,0,f_Id),0),IFERROR(MATCH(--$U455,INDEX(FormData,0,f_Id),0),IFERROR(MATCH($U455&amp;"",INDEX(FormData,0,f_Id),0),""))))</f>
        <v/>
      </c>
      <c r="X455">
        <f>IF(AND($B455&lt;&gt;"",$B455='Event Report'!$C$3),ROW(),"")</f>
        <v/>
      </c>
      <c r="Y455">
        <f>IF(AND($P455="✓",$R455=""),IF($Q455="",90000,$Q455)+ROW()/100000,"")</f>
        <v/>
      </c>
      <c r="Z455">
        <f>IF(OR($U455&lt;&gt;"",$D455&lt;&gt;"",$E455&lt;&gt;"",$N455&lt;&gt;""),1,"")</f>
        <v/>
      </c>
    </row>
    <row r="456">
      <c r="A456" s="13" t="inlineStr">
        <is>
          <t>P-0452</t>
        </is>
      </c>
      <c r="B456" s="14">
        <f>IF(AND($U456="",$C456=""),"",IFERROR(INDEX(EvID,MATCH(INDEX(FormData,$W456,f_Event),EvID,0)),IFERROR(INDEX(EvID,MATCH(INDEX(FormData,$W456,f_Event),EvName,0)),IFERROR(INDEX(EvID,MATCH(INT($C456),EvDate,0)),""))))</f>
        <v/>
      </c>
      <c r="C456" s="15">
        <f>IF($W456="","",INDEX(FormData,$W456,f_Time))</f>
        <v/>
      </c>
      <c r="D456" s="14">
        <f>IF($W456="","",IFERROR(UPPER(LEFT(TRIM(INDEX(FormData,$W456,f_Name)),1)&amp;IFERROR(MID(TRIM(INDEX(FormData,$W456,f_Name)),FIND("^",SUBSTITUTE(TRIM(INDEX(FormData,$W456,f_Name))," ","^",LEN(TRIM(INDEX(FormData,$W456,f_Name)))-LEN(SUBSTITUTE(TRIM(INDEX(FormData,$W456,f_Name))," ",""))))+1,1),"")),""))</f>
        <v/>
      </c>
      <c r="E456" s="16">
        <f>IF($W456="","",IFERROR(IF(SUMPRODUCT(MAX((WhoKW&lt;&gt;"")*ISNUMBER(SEARCH(WhoKW,INDEX(FormData,$W456,f_Who)&amp;""))*(ROW(WhoKW)-MIN(ROW(WhoKW))+1)))=0,"",INDEX(WhoVal,SUMPRODUCT(MAX((WhoKW&lt;&gt;"")*ISNUMBER(SEARCH(WhoKW,INDEX(FormData,$W456,f_Who)&amp;""))*(ROW(WhoKW)-MIN(ROW(WhoKW))+1))))),""))</f>
        <v/>
      </c>
      <c r="F456" s="17">
        <f>IF($W456="","",TRIM(IFERROR(INDEX(FormData,$W456,f_Org1)&amp;"","")&amp;" "&amp;IFERROR(INDEX(FormData,$W456,f_Org2)&amp;"","")))</f>
        <v/>
      </c>
      <c r="G456" s="16">
        <f>IF($W456="","",IFERROR(INDEX(FormData,$W456,f_Region)&amp;"",""))</f>
        <v/>
      </c>
      <c r="H456" s="16">
        <f>IF($W456="","",IFERROR(IF(SUMPRODUCT(MAX((SitKW&lt;&gt;"")*ISNUMBER(SEARCH(SitKW,INDEX(FormData,$W456,f_Sit)&amp;""))*(ROW(SitKW)-MIN(ROW(SitKW))+1)))=0,"",INDEX(SitVal,SUMPRODUCT(MAX((SitKW&lt;&gt;"")*ISNUMBER(SEARCH(SitKW,INDEX(FormData,$W456,f_Sit)&amp;""))*(ROW(SitKW)-MIN(ROW(SitKW))+1))))),""))</f>
        <v/>
      </c>
      <c r="I456" s="14">
        <f>IF($W456="","",IFERROR(INDEX(FormData,$W456,f_Appr)&amp;"",""))</f>
        <v/>
      </c>
      <c r="J456" s="16">
        <f>IF($W456="","",IFERROR(INDEX(FormData,$W456,f_Trade)&amp;"",""))</f>
        <v/>
      </c>
      <c r="K456" s="16" t="n"/>
      <c r="L456" s="17" t="n"/>
      <c r="M456" s="16" t="n"/>
      <c r="N456" s="17" t="n"/>
      <c r="O456" s="14" t="n"/>
      <c r="P456" s="14" t="n"/>
      <c r="Q456" s="18" t="n"/>
      <c r="R456" s="18" t="n"/>
      <c r="S456" s="13">
        <f>IF($P456&lt;&gt;"✓","",IF($R456&lt;&gt;"","Done",IF($Q456="","Open — no date",IF($Q456&lt;TODAY(),"Overdue",IF($Q456-TODAY()&lt;=DueSoon,"Due soon","Scheduled")))))</f>
        <v/>
      </c>
      <c r="T456" s="14">
        <f>IF($W456="","",IFERROR(IF(INDEX(FormData,$W456,f_Consent)&amp;""="","",IF(ISNUMBER(SEARCH("yes",INDEX(FormData,$W456,f_Consent))),"Yes","No")),""))</f>
        <v/>
      </c>
      <c r="U456" s="14" t="n"/>
      <c r="V456" s="13">
        <f>IF($U456="","",IF($W456="","not found","✓"))</f>
        <v/>
      </c>
      <c r="W456">
        <f>IF($U456="","",IFERROR(MATCH($U456,INDEX(FormData,0,f_Id),0),IFERROR(MATCH(--$U456,INDEX(FormData,0,f_Id),0),IFERROR(MATCH($U456&amp;"",INDEX(FormData,0,f_Id),0),""))))</f>
        <v/>
      </c>
      <c r="X456">
        <f>IF(AND($B456&lt;&gt;"",$B456='Event Report'!$C$3),ROW(),"")</f>
        <v/>
      </c>
      <c r="Y456">
        <f>IF(AND($P456="✓",$R456=""),IF($Q456="",90000,$Q456)+ROW()/100000,"")</f>
        <v/>
      </c>
      <c r="Z456">
        <f>IF(OR($U456&lt;&gt;"",$D456&lt;&gt;"",$E456&lt;&gt;"",$N456&lt;&gt;""),1,"")</f>
        <v/>
      </c>
    </row>
    <row r="457">
      <c r="A457" s="13" t="inlineStr">
        <is>
          <t>P-0453</t>
        </is>
      </c>
      <c r="B457" s="14">
        <f>IF(AND($U457="",$C457=""),"",IFERROR(INDEX(EvID,MATCH(INDEX(FormData,$W457,f_Event),EvID,0)),IFERROR(INDEX(EvID,MATCH(INDEX(FormData,$W457,f_Event),EvName,0)),IFERROR(INDEX(EvID,MATCH(INT($C457),EvDate,0)),""))))</f>
        <v/>
      </c>
      <c r="C457" s="15">
        <f>IF($W457="","",INDEX(FormData,$W457,f_Time))</f>
        <v/>
      </c>
      <c r="D457" s="14">
        <f>IF($W457="","",IFERROR(UPPER(LEFT(TRIM(INDEX(FormData,$W457,f_Name)),1)&amp;IFERROR(MID(TRIM(INDEX(FormData,$W457,f_Name)),FIND("^",SUBSTITUTE(TRIM(INDEX(FormData,$W457,f_Name))," ","^",LEN(TRIM(INDEX(FormData,$W457,f_Name)))-LEN(SUBSTITUTE(TRIM(INDEX(FormData,$W457,f_Name))," ",""))))+1,1),"")),""))</f>
        <v/>
      </c>
      <c r="E457" s="16">
        <f>IF($W457="","",IFERROR(IF(SUMPRODUCT(MAX((WhoKW&lt;&gt;"")*ISNUMBER(SEARCH(WhoKW,INDEX(FormData,$W457,f_Who)&amp;""))*(ROW(WhoKW)-MIN(ROW(WhoKW))+1)))=0,"",INDEX(WhoVal,SUMPRODUCT(MAX((WhoKW&lt;&gt;"")*ISNUMBER(SEARCH(WhoKW,INDEX(FormData,$W457,f_Who)&amp;""))*(ROW(WhoKW)-MIN(ROW(WhoKW))+1))))),""))</f>
        <v/>
      </c>
      <c r="F457" s="17">
        <f>IF($W457="","",TRIM(IFERROR(INDEX(FormData,$W457,f_Org1)&amp;"","")&amp;" "&amp;IFERROR(INDEX(FormData,$W457,f_Org2)&amp;"","")))</f>
        <v/>
      </c>
      <c r="G457" s="16">
        <f>IF($W457="","",IFERROR(INDEX(FormData,$W457,f_Region)&amp;"",""))</f>
        <v/>
      </c>
      <c r="H457" s="16">
        <f>IF($W457="","",IFERROR(IF(SUMPRODUCT(MAX((SitKW&lt;&gt;"")*ISNUMBER(SEARCH(SitKW,INDEX(FormData,$W457,f_Sit)&amp;""))*(ROW(SitKW)-MIN(ROW(SitKW))+1)))=0,"",INDEX(SitVal,SUMPRODUCT(MAX((SitKW&lt;&gt;"")*ISNUMBER(SEARCH(SitKW,INDEX(FormData,$W457,f_Sit)&amp;""))*(ROW(SitKW)-MIN(ROW(SitKW))+1))))),""))</f>
        <v/>
      </c>
      <c r="I457" s="14">
        <f>IF($W457="","",IFERROR(INDEX(FormData,$W457,f_Appr)&amp;"",""))</f>
        <v/>
      </c>
      <c r="J457" s="16">
        <f>IF($W457="","",IFERROR(INDEX(FormData,$W457,f_Trade)&amp;"",""))</f>
        <v/>
      </c>
      <c r="K457" s="16" t="n"/>
      <c r="L457" s="17" t="n"/>
      <c r="M457" s="16" t="n"/>
      <c r="N457" s="17" t="n"/>
      <c r="O457" s="14" t="n"/>
      <c r="P457" s="14" t="n"/>
      <c r="Q457" s="18" t="n"/>
      <c r="R457" s="18" t="n"/>
      <c r="S457" s="13">
        <f>IF($P457&lt;&gt;"✓","",IF($R457&lt;&gt;"","Done",IF($Q457="","Open — no date",IF($Q457&lt;TODAY(),"Overdue",IF($Q457-TODAY()&lt;=DueSoon,"Due soon","Scheduled")))))</f>
        <v/>
      </c>
      <c r="T457" s="14">
        <f>IF($W457="","",IFERROR(IF(INDEX(FormData,$W457,f_Consent)&amp;""="","",IF(ISNUMBER(SEARCH("yes",INDEX(FormData,$W457,f_Consent))),"Yes","No")),""))</f>
        <v/>
      </c>
      <c r="U457" s="14" t="n"/>
      <c r="V457" s="13">
        <f>IF($U457="","",IF($W457="","not found","✓"))</f>
        <v/>
      </c>
      <c r="W457">
        <f>IF($U457="","",IFERROR(MATCH($U457,INDEX(FormData,0,f_Id),0),IFERROR(MATCH(--$U457,INDEX(FormData,0,f_Id),0),IFERROR(MATCH($U457&amp;"",INDEX(FormData,0,f_Id),0),""))))</f>
        <v/>
      </c>
      <c r="X457">
        <f>IF(AND($B457&lt;&gt;"",$B457='Event Report'!$C$3),ROW(),"")</f>
        <v/>
      </c>
      <c r="Y457">
        <f>IF(AND($P457="✓",$R457=""),IF($Q457="",90000,$Q457)+ROW()/100000,"")</f>
        <v/>
      </c>
      <c r="Z457">
        <f>IF(OR($U457&lt;&gt;"",$D457&lt;&gt;"",$E457&lt;&gt;"",$N457&lt;&gt;""),1,"")</f>
        <v/>
      </c>
    </row>
    <row r="458">
      <c r="A458" s="13" t="inlineStr">
        <is>
          <t>P-0454</t>
        </is>
      </c>
      <c r="B458" s="14">
        <f>IF(AND($U458="",$C458=""),"",IFERROR(INDEX(EvID,MATCH(INDEX(FormData,$W458,f_Event),EvID,0)),IFERROR(INDEX(EvID,MATCH(INDEX(FormData,$W458,f_Event),EvName,0)),IFERROR(INDEX(EvID,MATCH(INT($C458),EvDate,0)),""))))</f>
        <v/>
      </c>
      <c r="C458" s="15">
        <f>IF($W458="","",INDEX(FormData,$W458,f_Time))</f>
        <v/>
      </c>
      <c r="D458" s="14">
        <f>IF($W458="","",IFERROR(UPPER(LEFT(TRIM(INDEX(FormData,$W458,f_Name)),1)&amp;IFERROR(MID(TRIM(INDEX(FormData,$W458,f_Name)),FIND("^",SUBSTITUTE(TRIM(INDEX(FormData,$W458,f_Name))," ","^",LEN(TRIM(INDEX(FormData,$W458,f_Name)))-LEN(SUBSTITUTE(TRIM(INDEX(FormData,$W458,f_Name))," ",""))))+1,1),"")),""))</f>
        <v/>
      </c>
      <c r="E458" s="16">
        <f>IF($W458="","",IFERROR(IF(SUMPRODUCT(MAX((WhoKW&lt;&gt;"")*ISNUMBER(SEARCH(WhoKW,INDEX(FormData,$W458,f_Who)&amp;""))*(ROW(WhoKW)-MIN(ROW(WhoKW))+1)))=0,"",INDEX(WhoVal,SUMPRODUCT(MAX((WhoKW&lt;&gt;"")*ISNUMBER(SEARCH(WhoKW,INDEX(FormData,$W458,f_Who)&amp;""))*(ROW(WhoKW)-MIN(ROW(WhoKW))+1))))),""))</f>
        <v/>
      </c>
      <c r="F458" s="17">
        <f>IF($W458="","",TRIM(IFERROR(INDEX(FormData,$W458,f_Org1)&amp;"","")&amp;" "&amp;IFERROR(INDEX(FormData,$W458,f_Org2)&amp;"","")))</f>
        <v/>
      </c>
      <c r="G458" s="16">
        <f>IF($W458="","",IFERROR(INDEX(FormData,$W458,f_Region)&amp;"",""))</f>
        <v/>
      </c>
      <c r="H458" s="16">
        <f>IF($W458="","",IFERROR(IF(SUMPRODUCT(MAX((SitKW&lt;&gt;"")*ISNUMBER(SEARCH(SitKW,INDEX(FormData,$W458,f_Sit)&amp;""))*(ROW(SitKW)-MIN(ROW(SitKW))+1)))=0,"",INDEX(SitVal,SUMPRODUCT(MAX((SitKW&lt;&gt;"")*ISNUMBER(SEARCH(SitKW,INDEX(FormData,$W458,f_Sit)&amp;""))*(ROW(SitKW)-MIN(ROW(SitKW))+1))))),""))</f>
        <v/>
      </c>
      <c r="I458" s="14">
        <f>IF($W458="","",IFERROR(INDEX(FormData,$W458,f_Appr)&amp;"",""))</f>
        <v/>
      </c>
      <c r="J458" s="16">
        <f>IF($W458="","",IFERROR(INDEX(FormData,$W458,f_Trade)&amp;"",""))</f>
        <v/>
      </c>
      <c r="K458" s="16" t="n"/>
      <c r="L458" s="17" t="n"/>
      <c r="M458" s="16" t="n"/>
      <c r="N458" s="17" t="n"/>
      <c r="O458" s="14" t="n"/>
      <c r="P458" s="14" t="n"/>
      <c r="Q458" s="18" t="n"/>
      <c r="R458" s="18" t="n"/>
      <c r="S458" s="13">
        <f>IF($P458&lt;&gt;"✓","",IF($R458&lt;&gt;"","Done",IF($Q458="","Open — no date",IF($Q458&lt;TODAY(),"Overdue",IF($Q458-TODAY()&lt;=DueSoon,"Due soon","Scheduled")))))</f>
        <v/>
      </c>
      <c r="T458" s="14">
        <f>IF($W458="","",IFERROR(IF(INDEX(FormData,$W458,f_Consent)&amp;""="","",IF(ISNUMBER(SEARCH("yes",INDEX(FormData,$W458,f_Consent))),"Yes","No")),""))</f>
        <v/>
      </c>
      <c r="U458" s="14" t="n"/>
      <c r="V458" s="13">
        <f>IF($U458="","",IF($W458="","not found","✓"))</f>
        <v/>
      </c>
      <c r="W458">
        <f>IF($U458="","",IFERROR(MATCH($U458,INDEX(FormData,0,f_Id),0),IFERROR(MATCH(--$U458,INDEX(FormData,0,f_Id),0),IFERROR(MATCH($U458&amp;"",INDEX(FormData,0,f_Id),0),""))))</f>
        <v/>
      </c>
      <c r="X458">
        <f>IF(AND($B458&lt;&gt;"",$B458='Event Report'!$C$3),ROW(),"")</f>
        <v/>
      </c>
      <c r="Y458">
        <f>IF(AND($P458="✓",$R458=""),IF($Q458="",90000,$Q458)+ROW()/100000,"")</f>
        <v/>
      </c>
      <c r="Z458">
        <f>IF(OR($U458&lt;&gt;"",$D458&lt;&gt;"",$E458&lt;&gt;"",$N458&lt;&gt;""),1,"")</f>
        <v/>
      </c>
    </row>
    <row r="459">
      <c r="A459" s="13" t="inlineStr">
        <is>
          <t>P-0455</t>
        </is>
      </c>
      <c r="B459" s="14">
        <f>IF(AND($U459="",$C459=""),"",IFERROR(INDEX(EvID,MATCH(INDEX(FormData,$W459,f_Event),EvID,0)),IFERROR(INDEX(EvID,MATCH(INDEX(FormData,$W459,f_Event),EvName,0)),IFERROR(INDEX(EvID,MATCH(INT($C459),EvDate,0)),""))))</f>
        <v/>
      </c>
      <c r="C459" s="15">
        <f>IF($W459="","",INDEX(FormData,$W459,f_Time))</f>
        <v/>
      </c>
      <c r="D459" s="14">
        <f>IF($W459="","",IFERROR(UPPER(LEFT(TRIM(INDEX(FormData,$W459,f_Name)),1)&amp;IFERROR(MID(TRIM(INDEX(FormData,$W459,f_Name)),FIND("^",SUBSTITUTE(TRIM(INDEX(FormData,$W459,f_Name))," ","^",LEN(TRIM(INDEX(FormData,$W459,f_Name)))-LEN(SUBSTITUTE(TRIM(INDEX(FormData,$W459,f_Name))," ",""))))+1,1),"")),""))</f>
        <v/>
      </c>
      <c r="E459" s="16">
        <f>IF($W459="","",IFERROR(IF(SUMPRODUCT(MAX((WhoKW&lt;&gt;"")*ISNUMBER(SEARCH(WhoKW,INDEX(FormData,$W459,f_Who)&amp;""))*(ROW(WhoKW)-MIN(ROW(WhoKW))+1)))=0,"",INDEX(WhoVal,SUMPRODUCT(MAX((WhoKW&lt;&gt;"")*ISNUMBER(SEARCH(WhoKW,INDEX(FormData,$W459,f_Who)&amp;""))*(ROW(WhoKW)-MIN(ROW(WhoKW))+1))))),""))</f>
        <v/>
      </c>
      <c r="F459" s="17">
        <f>IF($W459="","",TRIM(IFERROR(INDEX(FormData,$W459,f_Org1)&amp;"","")&amp;" "&amp;IFERROR(INDEX(FormData,$W459,f_Org2)&amp;"","")))</f>
        <v/>
      </c>
      <c r="G459" s="16">
        <f>IF($W459="","",IFERROR(INDEX(FormData,$W459,f_Region)&amp;"",""))</f>
        <v/>
      </c>
      <c r="H459" s="16">
        <f>IF($W459="","",IFERROR(IF(SUMPRODUCT(MAX((SitKW&lt;&gt;"")*ISNUMBER(SEARCH(SitKW,INDEX(FormData,$W459,f_Sit)&amp;""))*(ROW(SitKW)-MIN(ROW(SitKW))+1)))=0,"",INDEX(SitVal,SUMPRODUCT(MAX((SitKW&lt;&gt;"")*ISNUMBER(SEARCH(SitKW,INDEX(FormData,$W459,f_Sit)&amp;""))*(ROW(SitKW)-MIN(ROW(SitKW))+1))))),""))</f>
        <v/>
      </c>
      <c r="I459" s="14">
        <f>IF($W459="","",IFERROR(INDEX(FormData,$W459,f_Appr)&amp;"",""))</f>
        <v/>
      </c>
      <c r="J459" s="16">
        <f>IF($W459="","",IFERROR(INDEX(FormData,$W459,f_Trade)&amp;"",""))</f>
        <v/>
      </c>
      <c r="K459" s="16" t="n"/>
      <c r="L459" s="17" t="n"/>
      <c r="M459" s="16" t="n"/>
      <c r="N459" s="17" t="n"/>
      <c r="O459" s="14" t="n"/>
      <c r="P459" s="14" t="n"/>
      <c r="Q459" s="18" t="n"/>
      <c r="R459" s="18" t="n"/>
      <c r="S459" s="13">
        <f>IF($P459&lt;&gt;"✓","",IF($R459&lt;&gt;"","Done",IF($Q459="","Open — no date",IF($Q459&lt;TODAY(),"Overdue",IF($Q459-TODAY()&lt;=DueSoon,"Due soon","Scheduled")))))</f>
        <v/>
      </c>
      <c r="T459" s="14">
        <f>IF($W459="","",IFERROR(IF(INDEX(FormData,$W459,f_Consent)&amp;""="","",IF(ISNUMBER(SEARCH("yes",INDEX(FormData,$W459,f_Consent))),"Yes","No")),""))</f>
        <v/>
      </c>
      <c r="U459" s="14" t="n"/>
      <c r="V459" s="13">
        <f>IF($U459="","",IF($W459="","not found","✓"))</f>
        <v/>
      </c>
      <c r="W459">
        <f>IF($U459="","",IFERROR(MATCH($U459,INDEX(FormData,0,f_Id),0),IFERROR(MATCH(--$U459,INDEX(FormData,0,f_Id),0),IFERROR(MATCH($U459&amp;"",INDEX(FormData,0,f_Id),0),""))))</f>
        <v/>
      </c>
      <c r="X459">
        <f>IF(AND($B459&lt;&gt;"",$B459='Event Report'!$C$3),ROW(),"")</f>
        <v/>
      </c>
      <c r="Y459">
        <f>IF(AND($P459="✓",$R459=""),IF($Q459="",90000,$Q459)+ROW()/100000,"")</f>
        <v/>
      </c>
      <c r="Z459">
        <f>IF(OR($U459&lt;&gt;"",$D459&lt;&gt;"",$E459&lt;&gt;"",$N459&lt;&gt;""),1,"")</f>
        <v/>
      </c>
    </row>
    <row r="460">
      <c r="A460" s="13" t="inlineStr">
        <is>
          <t>P-0456</t>
        </is>
      </c>
      <c r="B460" s="14">
        <f>IF(AND($U460="",$C460=""),"",IFERROR(INDEX(EvID,MATCH(INDEX(FormData,$W460,f_Event),EvID,0)),IFERROR(INDEX(EvID,MATCH(INDEX(FormData,$W460,f_Event),EvName,0)),IFERROR(INDEX(EvID,MATCH(INT($C460),EvDate,0)),""))))</f>
        <v/>
      </c>
      <c r="C460" s="15">
        <f>IF($W460="","",INDEX(FormData,$W460,f_Time))</f>
        <v/>
      </c>
      <c r="D460" s="14">
        <f>IF($W460="","",IFERROR(UPPER(LEFT(TRIM(INDEX(FormData,$W460,f_Name)),1)&amp;IFERROR(MID(TRIM(INDEX(FormData,$W460,f_Name)),FIND("^",SUBSTITUTE(TRIM(INDEX(FormData,$W460,f_Name))," ","^",LEN(TRIM(INDEX(FormData,$W460,f_Name)))-LEN(SUBSTITUTE(TRIM(INDEX(FormData,$W460,f_Name))," ",""))))+1,1),"")),""))</f>
        <v/>
      </c>
      <c r="E460" s="16">
        <f>IF($W460="","",IFERROR(IF(SUMPRODUCT(MAX((WhoKW&lt;&gt;"")*ISNUMBER(SEARCH(WhoKW,INDEX(FormData,$W460,f_Who)&amp;""))*(ROW(WhoKW)-MIN(ROW(WhoKW))+1)))=0,"",INDEX(WhoVal,SUMPRODUCT(MAX((WhoKW&lt;&gt;"")*ISNUMBER(SEARCH(WhoKW,INDEX(FormData,$W460,f_Who)&amp;""))*(ROW(WhoKW)-MIN(ROW(WhoKW))+1))))),""))</f>
        <v/>
      </c>
      <c r="F460" s="17">
        <f>IF($W460="","",TRIM(IFERROR(INDEX(FormData,$W460,f_Org1)&amp;"","")&amp;" "&amp;IFERROR(INDEX(FormData,$W460,f_Org2)&amp;"","")))</f>
        <v/>
      </c>
      <c r="G460" s="16">
        <f>IF($W460="","",IFERROR(INDEX(FormData,$W460,f_Region)&amp;"",""))</f>
        <v/>
      </c>
      <c r="H460" s="16">
        <f>IF($W460="","",IFERROR(IF(SUMPRODUCT(MAX((SitKW&lt;&gt;"")*ISNUMBER(SEARCH(SitKW,INDEX(FormData,$W460,f_Sit)&amp;""))*(ROW(SitKW)-MIN(ROW(SitKW))+1)))=0,"",INDEX(SitVal,SUMPRODUCT(MAX((SitKW&lt;&gt;"")*ISNUMBER(SEARCH(SitKW,INDEX(FormData,$W460,f_Sit)&amp;""))*(ROW(SitKW)-MIN(ROW(SitKW))+1))))),""))</f>
        <v/>
      </c>
      <c r="I460" s="14">
        <f>IF($W460="","",IFERROR(INDEX(FormData,$W460,f_Appr)&amp;"",""))</f>
        <v/>
      </c>
      <c r="J460" s="16">
        <f>IF($W460="","",IFERROR(INDEX(FormData,$W460,f_Trade)&amp;"",""))</f>
        <v/>
      </c>
      <c r="K460" s="16" t="n"/>
      <c r="L460" s="17" t="n"/>
      <c r="M460" s="16" t="n"/>
      <c r="N460" s="17" t="n"/>
      <c r="O460" s="14" t="n"/>
      <c r="P460" s="14" t="n"/>
      <c r="Q460" s="18" t="n"/>
      <c r="R460" s="18" t="n"/>
      <c r="S460" s="13">
        <f>IF($P460&lt;&gt;"✓","",IF($R460&lt;&gt;"","Done",IF($Q460="","Open — no date",IF($Q460&lt;TODAY(),"Overdue",IF($Q460-TODAY()&lt;=DueSoon,"Due soon","Scheduled")))))</f>
        <v/>
      </c>
      <c r="T460" s="14">
        <f>IF($W460="","",IFERROR(IF(INDEX(FormData,$W460,f_Consent)&amp;""="","",IF(ISNUMBER(SEARCH("yes",INDEX(FormData,$W460,f_Consent))),"Yes","No")),""))</f>
        <v/>
      </c>
      <c r="U460" s="14" t="n"/>
      <c r="V460" s="13">
        <f>IF($U460="","",IF($W460="","not found","✓"))</f>
        <v/>
      </c>
      <c r="W460">
        <f>IF($U460="","",IFERROR(MATCH($U460,INDEX(FormData,0,f_Id),0),IFERROR(MATCH(--$U460,INDEX(FormData,0,f_Id),0),IFERROR(MATCH($U460&amp;"",INDEX(FormData,0,f_Id),0),""))))</f>
        <v/>
      </c>
      <c r="X460">
        <f>IF(AND($B460&lt;&gt;"",$B460='Event Report'!$C$3),ROW(),"")</f>
        <v/>
      </c>
      <c r="Y460">
        <f>IF(AND($P460="✓",$R460=""),IF($Q460="",90000,$Q460)+ROW()/100000,"")</f>
        <v/>
      </c>
      <c r="Z460">
        <f>IF(OR($U460&lt;&gt;"",$D460&lt;&gt;"",$E460&lt;&gt;"",$N460&lt;&gt;""),1,"")</f>
        <v/>
      </c>
    </row>
    <row r="461">
      <c r="A461" s="13" t="inlineStr">
        <is>
          <t>P-0457</t>
        </is>
      </c>
      <c r="B461" s="14">
        <f>IF(AND($U461="",$C461=""),"",IFERROR(INDEX(EvID,MATCH(INDEX(FormData,$W461,f_Event),EvID,0)),IFERROR(INDEX(EvID,MATCH(INDEX(FormData,$W461,f_Event),EvName,0)),IFERROR(INDEX(EvID,MATCH(INT($C461),EvDate,0)),""))))</f>
        <v/>
      </c>
      <c r="C461" s="15">
        <f>IF($W461="","",INDEX(FormData,$W461,f_Time))</f>
        <v/>
      </c>
      <c r="D461" s="14">
        <f>IF($W461="","",IFERROR(UPPER(LEFT(TRIM(INDEX(FormData,$W461,f_Name)),1)&amp;IFERROR(MID(TRIM(INDEX(FormData,$W461,f_Name)),FIND("^",SUBSTITUTE(TRIM(INDEX(FormData,$W461,f_Name))," ","^",LEN(TRIM(INDEX(FormData,$W461,f_Name)))-LEN(SUBSTITUTE(TRIM(INDEX(FormData,$W461,f_Name))," ",""))))+1,1),"")),""))</f>
        <v/>
      </c>
      <c r="E461" s="16">
        <f>IF($W461="","",IFERROR(IF(SUMPRODUCT(MAX((WhoKW&lt;&gt;"")*ISNUMBER(SEARCH(WhoKW,INDEX(FormData,$W461,f_Who)&amp;""))*(ROW(WhoKW)-MIN(ROW(WhoKW))+1)))=0,"",INDEX(WhoVal,SUMPRODUCT(MAX((WhoKW&lt;&gt;"")*ISNUMBER(SEARCH(WhoKW,INDEX(FormData,$W461,f_Who)&amp;""))*(ROW(WhoKW)-MIN(ROW(WhoKW))+1))))),""))</f>
        <v/>
      </c>
      <c r="F461" s="17">
        <f>IF($W461="","",TRIM(IFERROR(INDEX(FormData,$W461,f_Org1)&amp;"","")&amp;" "&amp;IFERROR(INDEX(FormData,$W461,f_Org2)&amp;"","")))</f>
        <v/>
      </c>
      <c r="G461" s="16">
        <f>IF($W461="","",IFERROR(INDEX(FormData,$W461,f_Region)&amp;"",""))</f>
        <v/>
      </c>
      <c r="H461" s="16">
        <f>IF($W461="","",IFERROR(IF(SUMPRODUCT(MAX((SitKW&lt;&gt;"")*ISNUMBER(SEARCH(SitKW,INDEX(FormData,$W461,f_Sit)&amp;""))*(ROW(SitKW)-MIN(ROW(SitKW))+1)))=0,"",INDEX(SitVal,SUMPRODUCT(MAX((SitKW&lt;&gt;"")*ISNUMBER(SEARCH(SitKW,INDEX(FormData,$W461,f_Sit)&amp;""))*(ROW(SitKW)-MIN(ROW(SitKW))+1))))),""))</f>
        <v/>
      </c>
      <c r="I461" s="14">
        <f>IF($W461="","",IFERROR(INDEX(FormData,$W461,f_Appr)&amp;"",""))</f>
        <v/>
      </c>
      <c r="J461" s="16">
        <f>IF($W461="","",IFERROR(INDEX(FormData,$W461,f_Trade)&amp;"",""))</f>
        <v/>
      </c>
      <c r="K461" s="16" t="n"/>
      <c r="L461" s="17" t="n"/>
      <c r="M461" s="16" t="n"/>
      <c r="N461" s="17" t="n"/>
      <c r="O461" s="14" t="n"/>
      <c r="P461" s="14" t="n"/>
      <c r="Q461" s="18" t="n"/>
      <c r="R461" s="18" t="n"/>
      <c r="S461" s="13">
        <f>IF($P461&lt;&gt;"✓","",IF($R461&lt;&gt;"","Done",IF($Q461="","Open — no date",IF($Q461&lt;TODAY(),"Overdue",IF($Q461-TODAY()&lt;=DueSoon,"Due soon","Scheduled")))))</f>
        <v/>
      </c>
      <c r="T461" s="14">
        <f>IF($W461="","",IFERROR(IF(INDEX(FormData,$W461,f_Consent)&amp;""="","",IF(ISNUMBER(SEARCH("yes",INDEX(FormData,$W461,f_Consent))),"Yes","No")),""))</f>
        <v/>
      </c>
      <c r="U461" s="14" t="n"/>
      <c r="V461" s="13">
        <f>IF($U461="","",IF($W461="","not found","✓"))</f>
        <v/>
      </c>
      <c r="W461">
        <f>IF($U461="","",IFERROR(MATCH($U461,INDEX(FormData,0,f_Id),0),IFERROR(MATCH(--$U461,INDEX(FormData,0,f_Id),0),IFERROR(MATCH($U461&amp;"",INDEX(FormData,0,f_Id),0),""))))</f>
        <v/>
      </c>
      <c r="X461">
        <f>IF(AND($B461&lt;&gt;"",$B461='Event Report'!$C$3),ROW(),"")</f>
        <v/>
      </c>
      <c r="Y461">
        <f>IF(AND($P461="✓",$R461=""),IF($Q461="",90000,$Q461)+ROW()/100000,"")</f>
        <v/>
      </c>
      <c r="Z461">
        <f>IF(OR($U461&lt;&gt;"",$D461&lt;&gt;"",$E461&lt;&gt;"",$N461&lt;&gt;""),1,"")</f>
        <v/>
      </c>
    </row>
    <row r="462">
      <c r="A462" s="13" t="inlineStr">
        <is>
          <t>P-0458</t>
        </is>
      </c>
      <c r="B462" s="14">
        <f>IF(AND($U462="",$C462=""),"",IFERROR(INDEX(EvID,MATCH(INDEX(FormData,$W462,f_Event),EvID,0)),IFERROR(INDEX(EvID,MATCH(INDEX(FormData,$W462,f_Event),EvName,0)),IFERROR(INDEX(EvID,MATCH(INT($C462),EvDate,0)),""))))</f>
        <v/>
      </c>
      <c r="C462" s="15">
        <f>IF($W462="","",INDEX(FormData,$W462,f_Time))</f>
        <v/>
      </c>
      <c r="D462" s="14">
        <f>IF($W462="","",IFERROR(UPPER(LEFT(TRIM(INDEX(FormData,$W462,f_Name)),1)&amp;IFERROR(MID(TRIM(INDEX(FormData,$W462,f_Name)),FIND("^",SUBSTITUTE(TRIM(INDEX(FormData,$W462,f_Name))," ","^",LEN(TRIM(INDEX(FormData,$W462,f_Name)))-LEN(SUBSTITUTE(TRIM(INDEX(FormData,$W462,f_Name))," ",""))))+1,1),"")),""))</f>
        <v/>
      </c>
      <c r="E462" s="16">
        <f>IF($W462="","",IFERROR(IF(SUMPRODUCT(MAX((WhoKW&lt;&gt;"")*ISNUMBER(SEARCH(WhoKW,INDEX(FormData,$W462,f_Who)&amp;""))*(ROW(WhoKW)-MIN(ROW(WhoKW))+1)))=0,"",INDEX(WhoVal,SUMPRODUCT(MAX((WhoKW&lt;&gt;"")*ISNUMBER(SEARCH(WhoKW,INDEX(FormData,$W462,f_Who)&amp;""))*(ROW(WhoKW)-MIN(ROW(WhoKW))+1))))),""))</f>
        <v/>
      </c>
      <c r="F462" s="17">
        <f>IF($W462="","",TRIM(IFERROR(INDEX(FormData,$W462,f_Org1)&amp;"","")&amp;" "&amp;IFERROR(INDEX(FormData,$W462,f_Org2)&amp;"","")))</f>
        <v/>
      </c>
      <c r="G462" s="16">
        <f>IF($W462="","",IFERROR(INDEX(FormData,$W462,f_Region)&amp;"",""))</f>
        <v/>
      </c>
      <c r="H462" s="16">
        <f>IF($W462="","",IFERROR(IF(SUMPRODUCT(MAX((SitKW&lt;&gt;"")*ISNUMBER(SEARCH(SitKW,INDEX(FormData,$W462,f_Sit)&amp;""))*(ROW(SitKW)-MIN(ROW(SitKW))+1)))=0,"",INDEX(SitVal,SUMPRODUCT(MAX((SitKW&lt;&gt;"")*ISNUMBER(SEARCH(SitKW,INDEX(FormData,$W462,f_Sit)&amp;""))*(ROW(SitKW)-MIN(ROW(SitKW))+1))))),""))</f>
        <v/>
      </c>
      <c r="I462" s="14">
        <f>IF($W462="","",IFERROR(INDEX(FormData,$W462,f_Appr)&amp;"",""))</f>
        <v/>
      </c>
      <c r="J462" s="16">
        <f>IF($W462="","",IFERROR(INDEX(FormData,$W462,f_Trade)&amp;"",""))</f>
        <v/>
      </c>
      <c r="K462" s="16" t="n"/>
      <c r="L462" s="17" t="n"/>
      <c r="M462" s="16" t="n"/>
      <c r="N462" s="17" t="n"/>
      <c r="O462" s="14" t="n"/>
      <c r="P462" s="14" t="n"/>
      <c r="Q462" s="18" t="n"/>
      <c r="R462" s="18" t="n"/>
      <c r="S462" s="13">
        <f>IF($P462&lt;&gt;"✓","",IF($R462&lt;&gt;"","Done",IF($Q462="","Open — no date",IF($Q462&lt;TODAY(),"Overdue",IF($Q462-TODAY()&lt;=DueSoon,"Due soon","Scheduled")))))</f>
        <v/>
      </c>
      <c r="T462" s="14">
        <f>IF($W462="","",IFERROR(IF(INDEX(FormData,$W462,f_Consent)&amp;""="","",IF(ISNUMBER(SEARCH("yes",INDEX(FormData,$W462,f_Consent))),"Yes","No")),""))</f>
        <v/>
      </c>
      <c r="U462" s="14" t="n"/>
      <c r="V462" s="13">
        <f>IF($U462="","",IF($W462="","not found","✓"))</f>
        <v/>
      </c>
      <c r="W462">
        <f>IF($U462="","",IFERROR(MATCH($U462,INDEX(FormData,0,f_Id),0),IFERROR(MATCH(--$U462,INDEX(FormData,0,f_Id),0),IFERROR(MATCH($U462&amp;"",INDEX(FormData,0,f_Id),0),""))))</f>
        <v/>
      </c>
      <c r="X462">
        <f>IF(AND($B462&lt;&gt;"",$B462='Event Report'!$C$3),ROW(),"")</f>
        <v/>
      </c>
      <c r="Y462">
        <f>IF(AND($P462="✓",$R462=""),IF($Q462="",90000,$Q462)+ROW()/100000,"")</f>
        <v/>
      </c>
      <c r="Z462">
        <f>IF(OR($U462&lt;&gt;"",$D462&lt;&gt;"",$E462&lt;&gt;"",$N462&lt;&gt;""),1,"")</f>
        <v/>
      </c>
    </row>
    <row r="463">
      <c r="A463" s="13" t="inlineStr">
        <is>
          <t>P-0459</t>
        </is>
      </c>
      <c r="B463" s="14">
        <f>IF(AND($U463="",$C463=""),"",IFERROR(INDEX(EvID,MATCH(INDEX(FormData,$W463,f_Event),EvID,0)),IFERROR(INDEX(EvID,MATCH(INDEX(FormData,$W463,f_Event),EvName,0)),IFERROR(INDEX(EvID,MATCH(INT($C463),EvDate,0)),""))))</f>
        <v/>
      </c>
      <c r="C463" s="15">
        <f>IF($W463="","",INDEX(FormData,$W463,f_Time))</f>
        <v/>
      </c>
      <c r="D463" s="14">
        <f>IF($W463="","",IFERROR(UPPER(LEFT(TRIM(INDEX(FormData,$W463,f_Name)),1)&amp;IFERROR(MID(TRIM(INDEX(FormData,$W463,f_Name)),FIND("^",SUBSTITUTE(TRIM(INDEX(FormData,$W463,f_Name))," ","^",LEN(TRIM(INDEX(FormData,$W463,f_Name)))-LEN(SUBSTITUTE(TRIM(INDEX(FormData,$W463,f_Name))," ",""))))+1,1),"")),""))</f>
        <v/>
      </c>
      <c r="E463" s="16">
        <f>IF($W463="","",IFERROR(IF(SUMPRODUCT(MAX((WhoKW&lt;&gt;"")*ISNUMBER(SEARCH(WhoKW,INDEX(FormData,$W463,f_Who)&amp;""))*(ROW(WhoKW)-MIN(ROW(WhoKW))+1)))=0,"",INDEX(WhoVal,SUMPRODUCT(MAX((WhoKW&lt;&gt;"")*ISNUMBER(SEARCH(WhoKW,INDEX(FormData,$W463,f_Who)&amp;""))*(ROW(WhoKW)-MIN(ROW(WhoKW))+1))))),""))</f>
        <v/>
      </c>
      <c r="F463" s="17">
        <f>IF($W463="","",TRIM(IFERROR(INDEX(FormData,$W463,f_Org1)&amp;"","")&amp;" "&amp;IFERROR(INDEX(FormData,$W463,f_Org2)&amp;"","")))</f>
        <v/>
      </c>
      <c r="G463" s="16">
        <f>IF($W463="","",IFERROR(INDEX(FormData,$W463,f_Region)&amp;"",""))</f>
        <v/>
      </c>
      <c r="H463" s="16">
        <f>IF($W463="","",IFERROR(IF(SUMPRODUCT(MAX((SitKW&lt;&gt;"")*ISNUMBER(SEARCH(SitKW,INDEX(FormData,$W463,f_Sit)&amp;""))*(ROW(SitKW)-MIN(ROW(SitKW))+1)))=0,"",INDEX(SitVal,SUMPRODUCT(MAX((SitKW&lt;&gt;"")*ISNUMBER(SEARCH(SitKW,INDEX(FormData,$W463,f_Sit)&amp;""))*(ROW(SitKW)-MIN(ROW(SitKW))+1))))),""))</f>
        <v/>
      </c>
      <c r="I463" s="14">
        <f>IF($W463="","",IFERROR(INDEX(FormData,$W463,f_Appr)&amp;"",""))</f>
        <v/>
      </c>
      <c r="J463" s="16">
        <f>IF($W463="","",IFERROR(INDEX(FormData,$W463,f_Trade)&amp;"",""))</f>
        <v/>
      </c>
      <c r="K463" s="16" t="n"/>
      <c r="L463" s="17" t="n"/>
      <c r="M463" s="16" t="n"/>
      <c r="N463" s="17" t="n"/>
      <c r="O463" s="14" t="n"/>
      <c r="P463" s="14" t="n"/>
      <c r="Q463" s="18" t="n"/>
      <c r="R463" s="18" t="n"/>
      <c r="S463" s="13">
        <f>IF($P463&lt;&gt;"✓","",IF($R463&lt;&gt;"","Done",IF($Q463="","Open — no date",IF($Q463&lt;TODAY(),"Overdue",IF($Q463-TODAY()&lt;=DueSoon,"Due soon","Scheduled")))))</f>
        <v/>
      </c>
      <c r="T463" s="14">
        <f>IF($W463="","",IFERROR(IF(INDEX(FormData,$W463,f_Consent)&amp;""="","",IF(ISNUMBER(SEARCH("yes",INDEX(FormData,$W463,f_Consent))),"Yes","No")),""))</f>
        <v/>
      </c>
      <c r="U463" s="14" t="n"/>
      <c r="V463" s="13">
        <f>IF($U463="","",IF($W463="","not found","✓"))</f>
        <v/>
      </c>
      <c r="W463">
        <f>IF($U463="","",IFERROR(MATCH($U463,INDEX(FormData,0,f_Id),0),IFERROR(MATCH(--$U463,INDEX(FormData,0,f_Id),0),IFERROR(MATCH($U463&amp;"",INDEX(FormData,0,f_Id),0),""))))</f>
        <v/>
      </c>
      <c r="X463">
        <f>IF(AND($B463&lt;&gt;"",$B463='Event Report'!$C$3),ROW(),"")</f>
        <v/>
      </c>
      <c r="Y463">
        <f>IF(AND($P463="✓",$R463=""),IF($Q463="",90000,$Q463)+ROW()/100000,"")</f>
        <v/>
      </c>
      <c r="Z463">
        <f>IF(OR($U463&lt;&gt;"",$D463&lt;&gt;"",$E463&lt;&gt;"",$N463&lt;&gt;""),1,"")</f>
        <v/>
      </c>
    </row>
    <row r="464">
      <c r="A464" s="13" t="inlineStr">
        <is>
          <t>P-0460</t>
        </is>
      </c>
      <c r="B464" s="14">
        <f>IF(AND($U464="",$C464=""),"",IFERROR(INDEX(EvID,MATCH(INDEX(FormData,$W464,f_Event),EvID,0)),IFERROR(INDEX(EvID,MATCH(INDEX(FormData,$W464,f_Event),EvName,0)),IFERROR(INDEX(EvID,MATCH(INT($C464),EvDate,0)),""))))</f>
        <v/>
      </c>
      <c r="C464" s="15">
        <f>IF($W464="","",INDEX(FormData,$W464,f_Time))</f>
        <v/>
      </c>
      <c r="D464" s="14">
        <f>IF($W464="","",IFERROR(UPPER(LEFT(TRIM(INDEX(FormData,$W464,f_Name)),1)&amp;IFERROR(MID(TRIM(INDEX(FormData,$W464,f_Name)),FIND("^",SUBSTITUTE(TRIM(INDEX(FormData,$W464,f_Name))," ","^",LEN(TRIM(INDEX(FormData,$W464,f_Name)))-LEN(SUBSTITUTE(TRIM(INDEX(FormData,$W464,f_Name))," ",""))))+1,1),"")),""))</f>
        <v/>
      </c>
      <c r="E464" s="16">
        <f>IF($W464="","",IFERROR(IF(SUMPRODUCT(MAX((WhoKW&lt;&gt;"")*ISNUMBER(SEARCH(WhoKW,INDEX(FormData,$W464,f_Who)&amp;""))*(ROW(WhoKW)-MIN(ROW(WhoKW))+1)))=0,"",INDEX(WhoVal,SUMPRODUCT(MAX((WhoKW&lt;&gt;"")*ISNUMBER(SEARCH(WhoKW,INDEX(FormData,$W464,f_Who)&amp;""))*(ROW(WhoKW)-MIN(ROW(WhoKW))+1))))),""))</f>
        <v/>
      </c>
      <c r="F464" s="17">
        <f>IF($W464="","",TRIM(IFERROR(INDEX(FormData,$W464,f_Org1)&amp;"","")&amp;" "&amp;IFERROR(INDEX(FormData,$W464,f_Org2)&amp;"","")))</f>
        <v/>
      </c>
      <c r="G464" s="16">
        <f>IF($W464="","",IFERROR(INDEX(FormData,$W464,f_Region)&amp;"",""))</f>
        <v/>
      </c>
      <c r="H464" s="16">
        <f>IF($W464="","",IFERROR(IF(SUMPRODUCT(MAX((SitKW&lt;&gt;"")*ISNUMBER(SEARCH(SitKW,INDEX(FormData,$W464,f_Sit)&amp;""))*(ROW(SitKW)-MIN(ROW(SitKW))+1)))=0,"",INDEX(SitVal,SUMPRODUCT(MAX((SitKW&lt;&gt;"")*ISNUMBER(SEARCH(SitKW,INDEX(FormData,$W464,f_Sit)&amp;""))*(ROW(SitKW)-MIN(ROW(SitKW))+1))))),""))</f>
        <v/>
      </c>
      <c r="I464" s="14">
        <f>IF($W464="","",IFERROR(INDEX(FormData,$W464,f_Appr)&amp;"",""))</f>
        <v/>
      </c>
      <c r="J464" s="16">
        <f>IF($W464="","",IFERROR(INDEX(FormData,$W464,f_Trade)&amp;"",""))</f>
        <v/>
      </c>
      <c r="K464" s="16" t="n"/>
      <c r="L464" s="17" t="n"/>
      <c r="M464" s="16" t="n"/>
      <c r="N464" s="17" t="n"/>
      <c r="O464" s="14" t="n"/>
      <c r="P464" s="14" t="n"/>
      <c r="Q464" s="18" t="n"/>
      <c r="R464" s="18" t="n"/>
      <c r="S464" s="13">
        <f>IF($P464&lt;&gt;"✓","",IF($R464&lt;&gt;"","Done",IF($Q464="","Open — no date",IF($Q464&lt;TODAY(),"Overdue",IF($Q464-TODAY()&lt;=DueSoon,"Due soon","Scheduled")))))</f>
        <v/>
      </c>
      <c r="T464" s="14">
        <f>IF($W464="","",IFERROR(IF(INDEX(FormData,$W464,f_Consent)&amp;""="","",IF(ISNUMBER(SEARCH("yes",INDEX(FormData,$W464,f_Consent))),"Yes","No")),""))</f>
        <v/>
      </c>
      <c r="U464" s="14" t="n"/>
      <c r="V464" s="13">
        <f>IF($U464="","",IF($W464="","not found","✓"))</f>
        <v/>
      </c>
      <c r="W464">
        <f>IF($U464="","",IFERROR(MATCH($U464,INDEX(FormData,0,f_Id),0),IFERROR(MATCH(--$U464,INDEX(FormData,0,f_Id),0),IFERROR(MATCH($U464&amp;"",INDEX(FormData,0,f_Id),0),""))))</f>
        <v/>
      </c>
      <c r="X464">
        <f>IF(AND($B464&lt;&gt;"",$B464='Event Report'!$C$3),ROW(),"")</f>
        <v/>
      </c>
      <c r="Y464">
        <f>IF(AND($P464="✓",$R464=""),IF($Q464="",90000,$Q464)+ROW()/100000,"")</f>
        <v/>
      </c>
      <c r="Z464">
        <f>IF(OR($U464&lt;&gt;"",$D464&lt;&gt;"",$E464&lt;&gt;"",$N464&lt;&gt;""),1,"")</f>
        <v/>
      </c>
    </row>
    <row r="465">
      <c r="A465" s="13" t="inlineStr">
        <is>
          <t>P-0461</t>
        </is>
      </c>
      <c r="B465" s="14">
        <f>IF(AND($U465="",$C465=""),"",IFERROR(INDEX(EvID,MATCH(INDEX(FormData,$W465,f_Event),EvID,0)),IFERROR(INDEX(EvID,MATCH(INDEX(FormData,$W465,f_Event),EvName,0)),IFERROR(INDEX(EvID,MATCH(INT($C465),EvDate,0)),""))))</f>
        <v/>
      </c>
      <c r="C465" s="15">
        <f>IF($W465="","",INDEX(FormData,$W465,f_Time))</f>
        <v/>
      </c>
      <c r="D465" s="14">
        <f>IF($W465="","",IFERROR(UPPER(LEFT(TRIM(INDEX(FormData,$W465,f_Name)),1)&amp;IFERROR(MID(TRIM(INDEX(FormData,$W465,f_Name)),FIND("^",SUBSTITUTE(TRIM(INDEX(FormData,$W465,f_Name))," ","^",LEN(TRIM(INDEX(FormData,$W465,f_Name)))-LEN(SUBSTITUTE(TRIM(INDEX(FormData,$W465,f_Name))," ",""))))+1,1),"")),""))</f>
        <v/>
      </c>
      <c r="E465" s="16">
        <f>IF($W465="","",IFERROR(IF(SUMPRODUCT(MAX((WhoKW&lt;&gt;"")*ISNUMBER(SEARCH(WhoKW,INDEX(FormData,$W465,f_Who)&amp;""))*(ROW(WhoKW)-MIN(ROW(WhoKW))+1)))=0,"",INDEX(WhoVal,SUMPRODUCT(MAX((WhoKW&lt;&gt;"")*ISNUMBER(SEARCH(WhoKW,INDEX(FormData,$W465,f_Who)&amp;""))*(ROW(WhoKW)-MIN(ROW(WhoKW))+1))))),""))</f>
        <v/>
      </c>
      <c r="F465" s="17">
        <f>IF($W465="","",TRIM(IFERROR(INDEX(FormData,$W465,f_Org1)&amp;"","")&amp;" "&amp;IFERROR(INDEX(FormData,$W465,f_Org2)&amp;"","")))</f>
        <v/>
      </c>
      <c r="G465" s="16">
        <f>IF($W465="","",IFERROR(INDEX(FormData,$W465,f_Region)&amp;"",""))</f>
        <v/>
      </c>
      <c r="H465" s="16">
        <f>IF($W465="","",IFERROR(IF(SUMPRODUCT(MAX((SitKW&lt;&gt;"")*ISNUMBER(SEARCH(SitKW,INDEX(FormData,$W465,f_Sit)&amp;""))*(ROW(SitKW)-MIN(ROW(SitKW))+1)))=0,"",INDEX(SitVal,SUMPRODUCT(MAX((SitKW&lt;&gt;"")*ISNUMBER(SEARCH(SitKW,INDEX(FormData,$W465,f_Sit)&amp;""))*(ROW(SitKW)-MIN(ROW(SitKW))+1))))),""))</f>
        <v/>
      </c>
      <c r="I465" s="14">
        <f>IF($W465="","",IFERROR(INDEX(FormData,$W465,f_Appr)&amp;"",""))</f>
        <v/>
      </c>
      <c r="J465" s="16">
        <f>IF($W465="","",IFERROR(INDEX(FormData,$W465,f_Trade)&amp;"",""))</f>
        <v/>
      </c>
      <c r="K465" s="16" t="n"/>
      <c r="L465" s="17" t="n"/>
      <c r="M465" s="16" t="n"/>
      <c r="N465" s="17" t="n"/>
      <c r="O465" s="14" t="n"/>
      <c r="P465" s="14" t="n"/>
      <c r="Q465" s="18" t="n"/>
      <c r="R465" s="18" t="n"/>
      <c r="S465" s="13">
        <f>IF($P465&lt;&gt;"✓","",IF($R465&lt;&gt;"","Done",IF($Q465="","Open — no date",IF($Q465&lt;TODAY(),"Overdue",IF($Q465-TODAY()&lt;=DueSoon,"Due soon","Scheduled")))))</f>
        <v/>
      </c>
      <c r="T465" s="14">
        <f>IF($W465="","",IFERROR(IF(INDEX(FormData,$W465,f_Consent)&amp;""="","",IF(ISNUMBER(SEARCH("yes",INDEX(FormData,$W465,f_Consent))),"Yes","No")),""))</f>
        <v/>
      </c>
      <c r="U465" s="14" t="n"/>
      <c r="V465" s="13">
        <f>IF($U465="","",IF($W465="","not found","✓"))</f>
        <v/>
      </c>
      <c r="W465">
        <f>IF($U465="","",IFERROR(MATCH($U465,INDEX(FormData,0,f_Id),0),IFERROR(MATCH(--$U465,INDEX(FormData,0,f_Id),0),IFERROR(MATCH($U465&amp;"",INDEX(FormData,0,f_Id),0),""))))</f>
        <v/>
      </c>
      <c r="X465">
        <f>IF(AND($B465&lt;&gt;"",$B465='Event Report'!$C$3),ROW(),"")</f>
        <v/>
      </c>
      <c r="Y465">
        <f>IF(AND($P465="✓",$R465=""),IF($Q465="",90000,$Q465)+ROW()/100000,"")</f>
        <v/>
      </c>
      <c r="Z465">
        <f>IF(OR($U465&lt;&gt;"",$D465&lt;&gt;"",$E465&lt;&gt;"",$N465&lt;&gt;""),1,"")</f>
        <v/>
      </c>
    </row>
    <row r="466">
      <c r="A466" s="13" t="inlineStr">
        <is>
          <t>P-0462</t>
        </is>
      </c>
      <c r="B466" s="14">
        <f>IF(AND($U466="",$C466=""),"",IFERROR(INDEX(EvID,MATCH(INDEX(FormData,$W466,f_Event),EvID,0)),IFERROR(INDEX(EvID,MATCH(INDEX(FormData,$W466,f_Event),EvName,0)),IFERROR(INDEX(EvID,MATCH(INT($C466),EvDate,0)),""))))</f>
        <v/>
      </c>
      <c r="C466" s="15">
        <f>IF($W466="","",INDEX(FormData,$W466,f_Time))</f>
        <v/>
      </c>
      <c r="D466" s="14">
        <f>IF($W466="","",IFERROR(UPPER(LEFT(TRIM(INDEX(FormData,$W466,f_Name)),1)&amp;IFERROR(MID(TRIM(INDEX(FormData,$W466,f_Name)),FIND("^",SUBSTITUTE(TRIM(INDEX(FormData,$W466,f_Name))," ","^",LEN(TRIM(INDEX(FormData,$W466,f_Name)))-LEN(SUBSTITUTE(TRIM(INDEX(FormData,$W466,f_Name))," ",""))))+1,1),"")),""))</f>
        <v/>
      </c>
      <c r="E466" s="16">
        <f>IF($W466="","",IFERROR(IF(SUMPRODUCT(MAX((WhoKW&lt;&gt;"")*ISNUMBER(SEARCH(WhoKW,INDEX(FormData,$W466,f_Who)&amp;""))*(ROW(WhoKW)-MIN(ROW(WhoKW))+1)))=0,"",INDEX(WhoVal,SUMPRODUCT(MAX((WhoKW&lt;&gt;"")*ISNUMBER(SEARCH(WhoKW,INDEX(FormData,$W466,f_Who)&amp;""))*(ROW(WhoKW)-MIN(ROW(WhoKW))+1))))),""))</f>
        <v/>
      </c>
      <c r="F466" s="17">
        <f>IF($W466="","",TRIM(IFERROR(INDEX(FormData,$W466,f_Org1)&amp;"","")&amp;" "&amp;IFERROR(INDEX(FormData,$W466,f_Org2)&amp;"","")))</f>
        <v/>
      </c>
      <c r="G466" s="16">
        <f>IF($W466="","",IFERROR(INDEX(FormData,$W466,f_Region)&amp;"",""))</f>
        <v/>
      </c>
      <c r="H466" s="16">
        <f>IF($W466="","",IFERROR(IF(SUMPRODUCT(MAX((SitKW&lt;&gt;"")*ISNUMBER(SEARCH(SitKW,INDEX(FormData,$W466,f_Sit)&amp;""))*(ROW(SitKW)-MIN(ROW(SitKW))+1)))=0,"",INDEX(SitVal,SUMPRODUCT(MAX((SitKW&lt;&gt;"")*ISNUMBER(SEARCH(SitKW,INDEX(FormData,$W466,f_Sit)&amp;""))*(ROW(SitKW)-MIN(ROW(SitKW))+1))))),""))</f>
        <v/>
      </c>
      <c r="I466" s="14">
        <f>IF($W466="","",IFERROR(INDEX(FormData,$W466,f_Appr)&amp;"",""))</f>
        <v/>
      </c>
      <c r="J466" s="16">
        <f>IF($W466="","",IFERROR(INDEX(FormData,$W466,f_Trade)&amp;"",""))</f>
        <v/>
      </c>
      <c r="K466" s="16" t="n"/>
      <c r="L466" s="17" t="n"/>
      <c r="M466" s="16" t="n"/>
      <c r="N466" s="17" t="n"/>
      <c r="O466" s="14" t="n"/>
      <c r="P466" s="14" t="n"/>
      <c r="Q466" s="18" t="n"/>
      <c r="R466" s="18" t="n"/>
      <c r="S466" s="13">
        <f>IF($P466&lt;&gt;"✓","",IF($R466&lt;&gt;"","Done",IF($Q466="","Open — no date",IF($Q466&lt;TODAY(),"Overdue",IF($Q466-TODAY()&lt;=DueSoon,"Due soon","Scheduled")))))</f>
        <v/>
      </c>
      <c r="T466" s="14">
        <f>IF($W466="","",IFERROR(IF(INDEX(FormData,$W466,f_Consent)&amp;""="","",IF(ISNUMBER(SEARCH("yes",INDEX(FormData,$W466,f_Consent))),"Yes","No")),""))</f>
        <v/>
      </c>
      <c r="U466" s="14" t="n"/>
      <c r="V466" s="13">
        <f>IF($U466="","",IF($W466="","not found","✓"))</f>
        <v/>
      </c>
      <c r="W466">
        <f>IF($U466="","",IFERROR(MATCH($U466,INDEX(FormData,0,f_Id),0),IFERROR(MATCH(--$U466,INDEX(FormData,0,f_Id),0),IFERROR(MATCH($U466&amp;"",INDEX(FormData,0,f_Id),0),""))))</f>
        <v/>
      </c>
      <c r="X466">
        <f>IF(AND($B466&lt;&gt;"",$B466='Event Report'!$C$3),ROW(),"")</f>
        <v/>
      </c>
      <c r="Y466">
        <f>IF(AND($P466="✓",$R466=""),IF($Q466="",90000,$Q466)+ROW()/100000,"")</f>
        <v/>
      </c>
      <c r="Z466">
        <f>IF(OR($U466&lt;&gt;"",$D466&lt;&gt;"",$E466&lt;&gt;"",$N466&lt;&gt;""),1,"")</f>
        <v/>
      </c>
    </row>
    <row r="467">
      <c r="A467" s="13" t="inlineStr">
        <is>
          <t>P-0463</t>
        </is>
      </c>
      <c r="B467" s="14">
        <f>IF(AND($U467="",$C467=""),"",IFERROR(INDEX(EvID,MATCH(INDEX(FormData,$W467,f_Event),EvID,0)),IFERROR(INDEX(EvID,MATCH(INDEX(FormData,$W467,f_Event),EvName,0)),IFERROR(INDEX(EvID,MATCH(INT($C467),EvDate,0)),""))))</f>
        <v/>
      </c>
      <c r="C467" s="15">
        <f>IF($W467="","",INDEX(FormData,$W467,f_Time))</f>
        <v/>
      </c>
      <c r="D467" s="14">
        <f>IF($W467="","",IFERROR(UPPER(LEFT(TRIM(INDEX(FormData,$W467,f_Name)),1)&amp;IFERROR(MID(TRIM(INDEX(FormData,$W467,f_Name)),FIND("^",SUBSTITUTE(TRIM(INDEX(FormData,$W467,f_Name))," ","^",LEN(TRIM(INDEX(FormData,$W467,f_Name)))-LEN(SUBSTITUTE(TRIM(INDEX(FormData,$W467,f_Name))," ",""))))+1,1),"")),""))</f>
        <v/>
      </c>
      <c r="E467" s="16">
        <f>IF($W467="","",IFERROR(IF(SUMPRODUCT(MAX((WhoKW&lt;&gt;"")*ISNUMBER(SEARCH(WhoKW,INDEX(FormData,$W467,f_Who)&amp;""))*(ROW(WhoKW)-MIN(ROW(WhoKW))+1)))=0,"",INDEX(WhoVal,SUMPRODUCT(MAX((WhoKW&lt;&gt;"")*ISNUMBER(SEARCH(WhoKW,INDEX(FormData,$W467,f_Who)&amp;""))*(ROW(WhoKW)-MIN(ROW(WhoKW))+1))))),""))</f>
        <v/>
      </c>
      <c r="F467" s="17">
        <f>IF($W467="","",TRIM(IFERROR(INDEX(FormData,$W467,f_Org1)&amp;"","")&amp;" "&amp;IFERROR(INDEX(FormData,$W467,f_Org2)&amp;"","")))</f>
        <v/>
      </c>
      <c r="G467" s="16">
        <f>IF($W467="","",IFERROR(INDEX(FormData,$W467,f_Region)&amp;"",""))</f>
        <v/>
      </c>
      <c r="H467" s="16">
        <f>IF($W467="","",IFERROR(IF(SUMPRODUCT(MAX((SitKW&lt;&gt;"")*ISNUMBER(SEARCH(SitKW,INDEX(FormData,$W467,f_Sit)&amp;""))*(ROW(SitKW)-MIN(ROW(SitKW))+1)))=0,"",INDEX(SitVal,SUMPRODUCT(MAX((SitKW&lt;&gt;"")*ISNUMBER(SEARCH(SitKW,INDEX(FormData,$W467,f_Sit)&amp;""))*(ROW(SitKW)-MIN(ROW(SitKW))+1))))),""))</f>
        <v/>
      </c>
      <c r="I467" s="14">
        <f>IF($W467="","",IFERROR(INDEX(FormData,$W467,f_Appr)&amp;"",""))</f>
        <v/>
      </c>
      <c r="J467" s="16">
        <f>IF($W467="","",IFERROR(INDEX(FormData,$W467,f_Trade)&amp;"",""))</f>
        <v/>
      </c>
      <c r="K467" s="16" t="n"/>
      <c r="L467" s="17" t="n"/>
      <c r="M467" s="16" t="n"/>
      <c r="N467" s="17" t="n"/>
      <c r="O467" s="14" t="n"/>
      <c r="P467" s="14" t="n"/>
      <c r="Q467" s="18" t="n"/>
      <c r="R467" s="18" t="n"/>
      <c r="S467" s="13">
        <f>IF($P467&lt;&gt;"✓","",IF($R467&lt;&gt;"","Done",IF($Q467="","Open — no date",IF($Q467&lt;TODAY(),"Overdue",IF($Q467-TODAY()&lt;=DueSoon,"Due soon","Scheduled")))))</f>
        <v/>
      </c>
      <c r="T467" s="14">
        <f>IF($W467="","",IFERROR(IF(INDEX(FormData,$W467,f_Consent)&amp;""="","",IF(ISNUMBER(SEARCH("yes",INDEX(FormData,$W467,f_Consent))),"Yes","No")),""))</f>
        <v/>
      </c>
      <c r="U467" s="14" t="n"/>
      <c r="V467" s="13">
        <f>IF($U467="","",IF($W467="","not found","✓"))</f>
        <v/>
      </c>
      <c r="W467">
        <f>IF($U467="","",IFERROR(MATCH($U467,INDEX(FormData,0,f_Id),0),IFERROR(MATCH(--$U467,INDEX(FormData,0,f_Id),0),IFERROR(MATCH($U467&amp;"",INDEX(FormData,0,f_Id),0),""))))</f>
        <v/>
      </c>
      <c r="X467">
        <f>IF(AND($B467&lt;&gt;"",$B467='Event Report'!$C$3),ROW(),"")</f>
        <v/>
      </c>
      <c r="Y467">
        <f>IF(AND($P467="✓",$R467=""),IF($Q467="",90000,$Q467)+ROW()/100000,"")</f>
        <v/>
      </c>
      <c r="Z467">
        <f>IF(OR($U467&lt;&gt;"",$D467&lt;&gt;"",$E467&lt;&gt;"",$N467&lt;&gt;""),1,"")</f>
        <v/>
      </c>
    </row>
    <row r="468">
      <c r="A468" s="13" t="inlineStr">
        <is>
          <t>P-0464</t>
        </is>
      </c>
      <c r="B468" s="14">
        <f>IF(AND($U468="",$C468=""),"",IFERROR(INDEX(EvID,MATCH(INDEX(FormData,$W468,f_Event),EvID,0)),IFERROR(INDEX(EvID,MATCH(INDEX(FormData,$W468,f_Event),EvName,0)),IFERROR(INDEX(EvID,MATCH(INT($C468),EvDate,0)),""))))</f>
        <v/>
      </c>
      <c r="C468" s="15">
        <f>IF($W468="","",INDEX(FormData,$W468,f_Time))</f>
        <v/>
      </c>
      <c r="D468" s="14">
        <f>IF($W468="","",IFERROR(UPPER(LEFT(TRIM(INDEX(FormData,$W468,f_Name)),1)&amp;IFERROR(MID(TRIM(INDEX(FormData,$W468,f_Name)),FIND("^",SUBSTITUTE(TRIM(INDEX(FormData,$W468,f_Name))," ","^",LEN(TRIM(INDEX(FormData,$W468,f_Name)))-LEN(SUBSTITUTE(TRIM(INDEX(FormData,$W468,f_Name))," ",""))))+1,1),"")),""))</f>
        <v/>
      </c>
      <c r="E468" s="16">
        <f>IF($W468="","",IFERROR(IF(SUMPRODUCT(MAX((WhoKW&lt;&gt;"")*ISNUMBER(SEARCH(WhoKW,INDEX(FormData,$W468,f_Who)&amp;""))*(ROW(WhoKW)-MIN(ROW(WhoKW))+1)))=0,"",INDEX(WhoVal,SUMPRODUCT(MAX((WhoKW&lt;&gt;"")*ISNUMBER(SEARCH(WhoKW,INDEX(FormData,$W468,f_Who)&amp;""))*(ROW(WhoKW)-MIN(ROW(WhoKW))+1))))),""))</f>
        <v/>
      </c>
      <c r="F468" s="17">
        <f>IF($W468="","",TRIM(IFERROR(INDEX(FormData,$W468,f_Org1)&amp;"","")&amp;" "&amp;IFERROR(INDEX(FormData,$W468,f_Org2)&amp;"","")))</f>
        <v/>
      </c>
      <c r="G468" s="16">
        <f>IF($W468="","",IFERROR(INDEX(FormData,$W468,f_Region)&amp;"",""))</f>
        <v/>
      </c>
      <c r="H468" s="16">
        <f>IF($W468="","",IFERROR(IF(SUMPRODUCT(MAX((SitKW&lt;&gt;"")*ISNUMBER(SEARCH(SitKW,INDEX(FormData,$W468,f_Sit)&amp;""))*(ROW(SitKW)-MIN(ROW(SitKW))+1)))=0,"",INDEX(SitVal,SUMPRODUCT(MAX((SitKW&lt;&gt;"")*ISNUMBER(SEARCH(SitKW,INDEX(FormData,$W468,f_Sit)&amp;""))*(ROW(SitKW)-MIN(ROW(SitKW))+1))))),""))</f>
        <v/>
      </c>
      <c r="I468" s="14">
        <f>IF($W468="","",IFERROR(INDEX(FormData,$W468,f_Appr)&amp;"",""))</f>
        <v/>
      </c>
      <c r="J468" s="16">
        <f>IF($W468="","",IFERROR(INDEX(FormData,$W468,f_Trade)&amp;"",""))</f>
        <v/>
      </c>
      <c r="K468" s="16" t="n"/>
      <c r="L468" s="17" t="n"/>
      <c r="M468" s="16" t="n"/>
      <c r="N468" s="17" t="n"/>
      <c r="O468" s="14" t="n"/>
      <c r="P468" s="14" t="n"/>
      <c r="Q468" s="18" t="n"/>
      <c r="R468" s="18" t="n"/>
      <c r="S468" s="13">
        <f>IF($P468&lt;&gt;"✓","",IF($R468&lt;&gt;"","Done",IF($Q468="","Open — no date",IF($Q468&lt;TODAY(),"Overdue",IF($Q468-TODAY()&lt;=DueSoon,"Due soon","Scheduled")))))</f>
        <v/>
      </c>
      <c r="T468" s="14">
        <f>IF($W468="","",IFERROR(IF(INDEX(FormData,$W468,f_Consent)&amp;""="","",IF(ISNUMBER(SEARCH("yes",INDEX(FormData,$W468,f_Consent))),"Yes","No")),""))</f>
        <v/>
      </c>
      <c r="U468" s="14" t="n"/>
      <c r="V468" s="13">
        <f>IF($U468="","",IF($W468="","not found","✓"))</f>
        <v/>
      </c>
      <c r="W468">
        <f>IF($U468="","",IFERROR(MATCH($U468,INDEX(FormData,0,f_Id),0),IFERROR(MATCH(--$U468,INDEX(FormData,0,f_Id),0),IFERROR(MATCH($U468&amp;"",INDEX(FormData,0,f_Id),0),""))))</f>
        <v/>
      </c>
      <c r="X468">
        <f>IF(AND($B468&lt;&gt;"",$B468='Event Report'!$C$3),ROW(),"")</f>
        <v/>
      </c>
      <c r="Y468">
        <f>IF(AND($P468="✓",$R468=""),IF($Q468="",90000,$Q468)+ROW()/100000,"")</f>
        <v/>
      </c>
      <c r="Z468">
        <f>IF(OR($U468&lt;&gt;"",$D468&lt;&gt;"",$E468&lt;&gt;"",$N468&lt;&gt;""),1,"")</f>
        <v/>
      </c>
    </row>
    <row r="469">
      <c r="A469" s="13" t="inlineStr">
        <is>
          <t>P-0465</t>
        </is>
      </c>
      <c r="B469" s="14">
        <f>IF(AND($U469="",$C469=""),"",IFERROR(INDEX(EvID,MATCH(INDEX(FormData,$W469,f_Event),EvID,0)),IFERROR(INDEX(EvID,MATCH(INDEX(FormData,$W469,f_Event),EvName,0)),IFERROR(INDEX(EvID,MATCH(INT($C469),EvDate,0)),""))))</f>
        <v/>
      </c>
      <c r="C469" s="15">
        <f>IF($W469="","",INDEX(FormData,$W469,f_Time))</f>
        <v/>
      </c>
      <c r="D469" s="14">
        <f>IF($W469="","",IFERROR(UPPER(LEFT(TRIM(INDEX(FormData,$W469,f_Name)),1)&amp;IFERROR(MID(TRIM(INDEX(FormData,$W469,f_Name)),FIND("^",SUBSTITUTE(TRIM(INDEX(FormData,$W469,f_Name))," ","^",LEN(TRIM(INDEX(FormData,$W469,f_Name)))-LEN(SUBSTITUTE(TRIM(INDEX(FormData,$W469,f_Name))," ",""))))+1,1),"")),""))</f>
        <v/>
      </c>
      <c r="E469" s="16">
        <f>IF($W469="","",IFERROR(IF(SUMPRODUCT(MAX((WhoKW&lt;&gt;"")*ISNUMBER(SEARCH(WhoKW,INDEX(FormData,$W469,f_Who)&amp;""))*(ROW(WhoKW)-MIN(ROW(WhoKW))+1)))=0,"",INDEX(WhoVal,SUMPRODUCT(MAX((WhoKW&lt;&gt;"")*ISNUMBER(SEARCH(WhoKW,INDEX(FormData,$W469,f_Who)&amp;""))*(ROW(WhoKW)-MIN(ROW(WhoKW))+1))))),""))</f>
        <v/>
      </c>
      <c r="F469" s="17">
        <f>IF($W469="","",TRIM(IFERROR(INDEX(FormData,$W469,f_Org1)&amp;"","")&amp;" "&amp;IFERROR(INDEX(FormData,$W469,f_Org2)&amp;"","")))</f>
        <v/>
      </c>
      <c r="G469" s="16">
        <f>IF($W469="","",IFERROR(INDEX(FormData,$W469,f_Region)&amp;"",""))</f>
        <v/>
      </c>
      <c r="H469" s="16">
        <f>IF($W469="","",IFERROR(IF(SUMPRODUCT(MAX((SitKW&lt;&gt;"")*ISNUMBER(SEARCH(SitKW,INDEX(FormData,$W469,f_Sit)&amp;""))*(ROW(SitKW)-MIN(ROW(SitKW))+1)))=0,"",INDEX(SitVal,SUMPRODUCT(MAX((SitKW&lt;&gt;"")*ISNUMBER(SEARCH(SitKW,INDEX(FormData,$W469,f_Sit)&amp;""))*(ROW(SitKW)-MIN(ROW(SitKW))+1))))),""))</f>
        <v/>
      </c>
      <c r="I469" s="14">
        <f>IF($W469="","",IFERROR(INDEX(FormData,$W469,f_Appr)&amp;"",""))</f>
        <v/>
      </c>
      <c r="J469" s="16">
        <f>IF($W469="","",IFERROR(INDEX(FormData,$W469,f_Trade)&amp;"",""))</f>
        <v/>
      </c>
      <c r="K469" s="16" t="n"/>
      <c r="L469" s="17" t="n"/>
      <c r="M469" s="16" t="n"/>
      <c r="N469" s="17" t="n"/>
      <c r="O469" s="14" t="n"/>
      <c r="P469" s="14" t="n"/>
      <c r="Q469" s="18" t="n"/>
      <c r="R469" s="18" t="n"/>
      <c r="S469" s="13">
        <f>IF($P469&lt;&gt;"✓","",IF($R469&lt;&gt;"","Done",IF($Q469="","Open — no date",IF($Q469&lt;TODAY(),"Overdue",IF($Q469-TODAY()&lt;=DueSoon,"Due soon","Scheduled")))))</f>
        <v/>
      </c>
      <c r="T469" s="14">
        <f>IF($W469="","",IFERROR(IF(INDEX(FormData,$W469,f_Consent)&amp;""="","",IF(ISNUMBER(SEARCH("yes",INDEX(FormData,$W469,f_Consent))),"Yes","No")),""))</f>
        <v/>
      </c>
      <c r="U469" s="14" t="n"/>
      <c r="V469" s="13">
        <f>IF($U469="","",IF($W469="","not found","✓"))</f>
        <v/>
      </c>
      <c r="W469">
        <f>IF($U469="","",IFERROR(MATCH($U469,INDEX(FormData,0,f_Id),0),IFERROR(MATCH(--$U469,INDEX(FormData,0,f_Id),0),IFERROR(MATCH($U469&amp;"",INDEX(FormData,0,f_Id),0),""))))</f>
        <v/>
      </c>
      <c r="X469">
        <f>IF(AND($B469&lt;&gt;"",$B469='Event Report'!$C$3),ROW(),"")</f>
        <v/>
      </c>
      <c r="Y469">
        <f>IF(AND($P469="✓",$R469=""),IF($Q469="",90000,$Q469)+ROW()/100000,"")</f>
        <v/>
      </c>
      <c r="Z469">
        <f>IF(OR($U469&lt;&gt;"",$D469&lt;&gt;"",$E469&lt;&gt;"",$N469&lt;&gt;""),1,"")</f>
        <v/>
      </c>
    </row>
    <row r="470">
      <c r="A470" s="13" t="inlineStr">
        <is>
          <t>P-0466</t>
        </is>
      </c>
      <c r="B470" s="14">
        <f>IF(AND($U470="",$C470=""),"",IFERROR(INDEX(EvID,MATCH(INDEX(FormData,$W470,f_Event),EvID,0)),IFERROR(INDEX(EvID,MATCH(INDEX(FormData,$W470,f_Event),EvName,0)),IFERROR(INDEX(EvID,MATCH(INT($C470),EvDate,0)),""))))</f>
        <v/>
      </c>
      <c r="C470" s="15">
        <f>IF($W470="","",INDEX(FormData,$W470,f_Time))</f>
        <v/>
      </c>
      <c r="D470" s="14">
        <f>IF($W470="","",IFERROR(UPPER(LEFT(TRIM(INDEX(FormData,$W470,f_Name)),1)&amp;IFERROR(MID(TRIM(INDEX(FormData,$W470,f_Name)),FIND("^",SUBSTITUTE(TRIM(INDEX(FormData,$W470,f_Name))," ","^",LEN(TRIM(INDEX(FormData,$W470,f_Name)))-LEN(SUBSTITUTE(TRIM(INDEX(FormData,$W470,f_Name))," ",""))))+1,1),"")),""))</f>
        <v/>
      </c>
      <c r="E470" s="16">
        <f>IF($W470="","",IFERROR(IF(SUMPRODUCT(MAX((WhoKW&lt;&gt;"")*ISNUMBER(SEARCH(WhoKW,INDEX(FormData,$W470,f_Who)&amp;""))*(ROW(WhoKW)-MIN(ROW(WhoKW))+1)))=0,"",INDEX(WhoVal,SUMPRODUCT(MAX((WhoKW&lt;&gt;"")*ISNUMBER(SEARCH(WhoKW,INDEX(FormData,$W470,f_Who)&amp;""))*(ROW(WhoKW)-MIN(ROW(WhoKW))+1))))),""))</f>
        <v/>
      </c>
      <c r="F470" s="17">
        <f>IF($W470="","",TRIM(IFERROR(INDEX(FormData,$W470,f_Org1)&amp;"","")&amp;" "&amp;IFERROR(INDEX(FormData,$W470,f_Org2)&amp;"","")))</f>
        <v/>
      </c>
      <c r="G470" s="16">
        <f>IF($W470="","",IFERROR(INDEX(FormData,$W470,f_Region)&amp;"",""))</f>
        <v/>
      </c>
      <c r="H470" s="16">
        <f>IF($W470="","",IFERROR(IF(SUMPRODUCT(MAX((SitKW&lt;&gt;"")*ISNUMBER(SEARCH(SitKW,INDEX(FormData,$W470,f_Sit)&amp;""))*(ROW(SitKW)-MIN(ROW(SitKW))+1)))=0,"",INDEX(SitVal,SUMPRODUCT(MAX((SitKW&lt;&gt;"")*ISNUMBER(SEARCH(SitKW,INDEX(FormData,$W470,f_Sit)&amp;""))*(ROW(SitKW)-MIN(ROW(SitKW))+1))))),""))</f>
        <v/>
      </c>
      <c r="I470" s="14">
        <f>IF($W470="","",IFERROR(INDEX(FormData,$W470,f_Appr)&amp;"",""))</f>
        <v/>
      </c>
      <c r="J470" s="16">
        <f>IF($W470="","",IFERROR(INDEX(FormData,$W470,f_Trade)&amp;"",""))</f>
        <v/>
      </c>
      <c r="K470" s="16" t="n"/>
      <c r="L470" s="17" t="n"/>
      <c r="M470" s="16" t="n"/>
      <c r="N470" s="17" t="n"/>
      <c r="O470" s="14" t="n"/>
      <c r="P470" s="14" t="n"/>
      <c r="Q470" s="18" t="n"/>
      <c r="R470" s="18" t="n"/>
      <c r="S470" s="13">
        <f>IF($P470&lt;&gt;"✓","",IF($R470&lt;&gt;"","Done",IF($Q470="","Open — no date",IF($Q470&lt;TODAY(),"Overdue",IF($Q470-TODAY()&lt;=DueSoon,"Due soon","Scheduled")))))</f>
        <v/>
      </c>
      <c r="T470" s="14">
        <f>IF($W470="","",IFERROR(IF(INDEX(FormData,$W470,f_Consent)&amp;""="","",IF(ISNUMBER(SEARCH("yes",INDEX(FormData,$W470,f_Consent))),"Yes","No")),""))</f>
        <v/>
      </c>
      <c r="U470" s="14" t="n"/>
      <c r="V470" s="13">
        <f>IF($U470="","",IF($W470="","not found","✓"))</f>
        <v/>
      </c>
      <c r="W470">
        <f>IF($U470="","",IFERROR(MATCH($U470,INDEX(FormData,0,f_Id),0),IFERROR(MATCH(--$U470,INDEX(FormData,0,f_Id),0),IFERROR(MATCH($U470&amp;"",INDEX(FormData,0,f_Id),0),""))))</f>
        <v/>
      </c>
      <c r="X470">
        <f>IF(AND($B470&lt;&gt;"",$B470='Event Report'!$C$3),ROW(),"")</f>
        <v/>
      </c>
      <c r="Y470">
        <f>IF(AND($P470="✓",$R470=""),IF($Q470="",90000,$Q470)+ROW()/100000,"")</f>
        <v/>
      </c>
      <c r="Z470">
        <f>IF(OR($U470&lt;&gt;"",$D470&lt;&gt;"",$E470&lt;&gt;"",$N470&lt;&gt;""),1,"")</f>
        <v/>
      </c>
    </row>
    <row r="471">
      <c r="A471" s="13" t="inlineStr">
        <is>
          <t>P-0467</t>
        </is>
      </c>
      <c r="B471" s="14">
        <f>IF(AND($U471="",$C471=""),"",IFERROR(INDEX(EvID,MATCH(INDEX(FormData,$W471,f_Event),EvID,0)),IFERROR(INDEX(EvID,MATCH(INDEX(FormData,$W471,f_Event),EvName,0)),IFERROR(INDEX(EvID,MATCH(INT($C471),EvDate,0)),""))))</f>
        <v/>
      </c>
      <c r="C471" s="15">
        <f>IF($W471="","",INDEX(FormData,$W471,f_Time))</f>
        <v/>
      </c>
      <c r="D471" s="14">
        <f>IF($W471="","",IFERROR(UPPER(LEFT(TRIM(INDEX(FormData,$W471,f_Name)),1)&amp;IFERROR(MID(TRIM(INDEX(FormData,$W471,f_Name)),FIND("^",SUBSTITUTE(TRIM(INDEX(FormData,$W471,f_Name))," ","^",LEN(TRIM(INDEX(FormData,$W471,f_Name)))-LEN(SUBSTITUTE(TRIM(INDEX(FormData,$W471,f_Name))," ",""))))+1,1),"")),""))</f>
        <v/>
      </c>
      <c r="E471" s="16">
        <f>IF($W471="","",IFERROR(IF(SUMPRODUCT(MAX((WhoKW&lt;&gt;"")*ISNUMBER(SEARCH(WhoKW,INDEX(FormData,$W471,f_Who)&amp;""))*(ROW(WhoKW)-MIN(ROW(WhoKW))+1)))=0,"",INDEX(WhoVal,SUMPRODUCT(MAX((WhoKW&lt;&gt;"")*ISNUMBER(SEARCH(WhoKW,INDEX(FormData,$W471,f_Who)&amp;""))*(ROW(WhoKW)-MIN(ROW(WhoKW))+1))))),""))</f>
        <v/>
      </c>
      <c r="F471" s="17">
        <f>IF($W471="","",TRIM(IFERROR(INDEX(FormData,$W471,f_Org1)&amp;"","")&amp;" "&amp;IFERROR(INDEX(FormData,$W471,f_Org2)&amp;"","")))</f>
        <v/>
      </c>
      <c r="G471" s="16">
        <f>IF($W471="","",IFERROR(INDEX(FormData,$W471,f_Region)&amp;"",""))</f>
        <v/>
      </c>
      <c r="H471" s="16">
        <f>IF($W471="","",IFERROR(IF(SUMPRODUCT(MAX((SitKW&lt;&gt;"")*ISNUMBER(SEARCH(SitKW,INDEX(FormData,$W471,f_Sit)&amp;""))*(ROW(SitKW)-MIN(ROW(SitKW))+1)))=0,"",INDEX(SitVal,SUMPRODUCT(MAX((SitKW&lt;&gt;"")*ISNUMBER(SEARCH(SitKW,INDEX(FormData,$W471,f_Sit)&amp;""))*(ROW(SitKW)-MIN(ROW(SitKW))+1))))),""))</f>
        <v/>
      </c>
      <c r="I471" s="14">
        <f>IF($W471="","",IFERROR(INDEX(FormData,$W471,f_Appr)&amp;"",""))</f>
        <v/>
      </c>
      <c r="J471" s="16">
        <f>IF($W471="","",IFERROR(INDEX(FormData,$W471,f_Trade)&amp;"",""))</f>
        <v/>
      </c>
      <c r="K471" s="16" t="n"/>
      <c r="L471" s="17" t="n"/>
      <c r="M471" s="16" t="n"/>
      <c r="N471" s="17" t="n"/>
      <c r="O471" s="14" t="n"/>
      <c r="P471" s="14" t="n"/>
      <c r="Q471" s="18" t="n"/>
      <c r="R471" s="18" t="n"/>
      <c r="S471" s="13">
        <f>IF($P471&lt;&gt;"✓","",IF($R471&lt;&gt;"","Done",IF($Q471="","Open — no date",IF($Q471&lt;TODAY(),"Overdue",IF($Q471-TODAY()&lt;=DueSoon,"Due soon","Scheduled")))))</f>
        <v/>
      </c>
      <c r="T471" s="14">
        <f>IF($W471="","",IFERROR(IF(INDEX(FormData,$W471,f_Consent)&amp;""="","",IF(ISNUMBER(SEARCH("yes",INDEX(FormData,$W471,f_Consent))),"Yes","No")),""))</f>
        <v/>
      </c>
      <c r="U471" s="14" t="n"/>
      <c r="V471" s="13">
        <f>IF($U471="","",IF($W471="","not found","✓"))</f>
        <v/>
      </c>
      <c r="W471">
        <f>IF($U471="","",IFERROR(MATCH($U471,INDEX(FormData,0,f_Id),0),IFERROR(MATCH(--$U471,INDEX(FormData,0,f_Id),0),IFERROR(MATCH($U471&amp;"",INDEX(FormData,0,f_Id),0),""))))</f>
        <v/>
      </c>
      <c r="X471">
        <f>IF(AND($B471&lt;&gt;"",$B471='Event Report'!$C$3),ROW(),"")</f>
        <v/>
      </c>
      <c r="Y471">
        <f>IF(AND($P471="✓",$R471=""),IF($Q471="",90000,$Q471)+ROW()/100000,"")</f>
        <v/>
      </c>
      <c r="Z471">
        <f>IF(OR($U471&lt;&gt;"",$D471&lt;&gt;"",$E471&lt;&gt;"",$N471&lt;&gt;""),1,"")</f>
        <v/>
      </c>
    </row>
    <row r="472">
      <c r="A472" s="13" t="inlineStr">
        <is>
          <t>P-0468</t>
        </is>
      </c>
      <c r="B472" s="14">
        <f>IF(AND($U472="",$C472=""),"",IFERROR(INDEX(EvID,MATCH(INDEX(FormData,$W472,f_Event),EvID,0)),IFERROR(INDEX(EvID,MATCH(INDEX(FormData,$W472,f_Event),EvName,0)),IFERROR(INDEX(EvID,MATCH(INT($C472),EvDate,0)),""))))</f>
        <v/>
      </c>
      <c r="C472" s="15">
        <f>IF($W472="","",INDEX(FormData,$W472,f_Time))</f>
        <v/>
      </c>
      <c r="D472" s="14">
        <f>IF($W472="","",IFERROR(UPPER(LEFT(TRIM(INDEX(FormData,$W472,f_Name)),1)&amp;IFERROR(MID(TRIM(INDEX(FormData,$W472,f_Name)),FIND("^",SUBSTITUTE(TRIM(INDEX(FormData,$W472,f_Name))," ","^",LEN(TRIM(INDEX(FormData,$W472,f_Name)))-LEN(SUBSTITUTE(TRIM(INDEX(FormData,$W472,f_Name))," ",""))))+1,1),"")),""))</f>
        <v/>
      </c>
      <c r="E472" s="16">
        <f>IF($W472="","",IFERROR(IF(SUMPRODUCT(MAX((WhoKW&lt;&gt;"")*ISNUMBER(SEARCH(WhoKW,INDEX(FormData,$W472,f_Who)&amp;""))*(ROW(WhoKW)-MIN(ROW(WhoKW))+1)))=0,"",INDEX(WhoVal,SUMPRODUCT(MAX((WhoKW&lt;&gt;"")*ISNUMBER(SEARCH(WhoKW,INDEX(FormData,$W472,f_Who)&amp;""))*(ROW(WhoKW)-MIN(ROW(WhoKW))+1))))),""))</f>
        <v/>
      </c>
      <c r="F472" s="17">
        <f>IF($W472="","",TRIM(IFERROR(INDEX(FormData,$W472,f_Org1)&amp;"","")&amp;" "&amp;IFERROR(INDEX(FormData,$W472,f_Org2)&amp;"","")))</f>
        <v/>
      </c>
      <c r="G472" s="16">
        <f>IF($W472="","",IFERROR(INDEX(FormData,$W472,f_Region)&amp;"",""))</f>
        <v/>
      </c>
      <c r="H472" s="16">
        <f>IF($W472="","",IFERROR(IF(SUMPRODUCT(MAX((SitKW&lt;&gt;"")*ISNUMBER(SEARCH(SitKW,INDEX(FormData,$W472,f_Sit)&amp;""))*(ROW(SitKW)-MIN(ROW(SitKW))+1)))=0,"",INDEX(SitVal,SUMPRODUCT(MAX((SitKW&lt;&gt;"")*ISNUMBER(SEARCH(SitKW,INDEX(FormData,$W472,f_Sit)&amp;""))*(ROW(SitKW)-MIN(ROW(SitKW))+1))))),""))</f>
        <v/>
      </c>
      <c r="I472" s="14">
        <f>IF($W472="","",IFERROR(INDEX(FormData,$W472,f_Appr)&amp;"",""))</f>
        <v/>
      </c>
      <c r="J472" s="16">
        <f>IF($W472="","",IFERROR(INDEX(FormData,$W472,f_Trade)&amp;"",""))</f>
        <v/>
      </c>
      <c r="K472" s="16" t="n"/>
      <c r="L472" s="17" t="n"/>
      <c r="M472" s="16" t="n"/>
      <c r="N472" s="17" t="n"/>
      <c r="O472" s="14" t="n"/>
      <c r="P472" s="14" t="n"/>
      <c r="Q472" s="18" t="n"/>
      <c r="R472" s="18" t="n"/>
      <c r="S472" s="13">
        <f>IF($P472&lt;&gt;"✓","",IF($R472&lt;&gt;"","Done",IF($Q472="","Open — no date",IF($Q472&lt;TODAY(),"Overdue",IF($Q472-TODAY()&lt;=DueSoon,"Due soon","Scheduled")))))</f>
        <v/>
      </c>
      <c r="T472" s="14">
        <f>IF($W472="","",IFERROR(IF(INDEX(FormData,$W472,f_Consent)&amp;""="","",IF(ISNUMBER(SEARCH("yes",INDEX(FormData,$W472,f_Consent))),"Yes","No")),""))</f>
        <v/>
      </c>
      <c r="U472" s="14" t="n"/>
      <c r="V472" s="13">
        <f>IF($U472="","",IF($W472="","not found","✓"))</f>
        <v/>
      </c>
      <c r="W472">
        <f>IF($U472="","",IFERROR(MATCH($U472,INDEX(FormData,0,f_Id),0),IFERROR(MATCH(--$U472,INDEX(FormData,0,f_Id),0),IFERROR(MATCH($U472&amp;"",INDEX(FormData,0,f_Id),0),""))))</f>
        <v/>
      </c>
      <c r="X472">
        <f>IF(AND($B472&lt;&gt;"",$B472='Event Report'!$C$3),ROW(),"")</f>
        <v/>
      </c>
      <c r="Y472">
        <f>IF(AND($P472="✓",$R472=""),IF($Q472="",90000,$Q472)+ROW()/100000,"")</f>
        <v/>
      </c>
      <c r="Z472">
        <f>IF(OR($U472&lt;&gt;"",$D472&lt;&gt;"",$E472&lt;&gt;"",$N472&lt;&gt;""),1,"")</f>
        <v/>
      </c>
    </row>
    <row r="473">
      <c r="A473" s="13" t="inlineStr">
        <is>
          <t>P-0469</t>
        </is>
      </c>
      <c r="B473" s="14">
        <f>IF(AND($U473="",$C473=""),"",IFERROR(INDEX(EvID,MATCH(INDEX(FormData,$W473,f_Event),EvID,0)),IFERROR(INDEX(EvID,MATCH(INDEX(FormData,$W473,f_Event),EvName,0)),IFERROR(INDEX(EvID,MATCH(INT($C473),EvDate,0)),""))))</f>
        <v/>
      </c>
      <c r="C473" s="15">
        <f>IF($W473="","",INDEX(FormData,$W473,f_Time))</f>
        <v/>
      </c>
      <c r="D473" s="14">
        <f>IF($W473="","",IFERROR(UPPER(LEFT(TRIM(INDEX(FormData,$W473,f_Name)),1)&amp;IFERROR(MID(TRIM(INDEX(FormData,$W473,f_Name)),FIND("^",SUBSTITUTE(TRIM(INDEX(FormData,$W473,f_Name))," ","^",LEN(TRIM(INDEX(FormData,$W473,f_Name)))-LEN(SUBSTITUTE(TRIM(INDEX(FormData,$W473,f_Name))," ",""))))+1,1),"")),""))</f>
        <v/>
      </c>
      <c r="E473" s="16">
        <f>IF($W473="","",IFERROR(IF(SUMPRODUCT(MAX((WhoKW&lt;&gt;"")*ISNUMBER(SEARCH(WhoKW,INDEX(FormData,$W473,f_Who)&amp;""))*(ROW(WhoKW)-MIN(ROW(WhoKW))+1)))=0,"",INDEX(WhoVal,SUMPRODUCT(MAX((WhoKW&lt;&gt;"")*ISNUMBER(SEARCH(WhoKW,INDEX(FormData,$W473,f_Who)&amp;""))*(ROW(WhoKW)-MIN(ROW(WhoKW))+1))))),""))</f>
        <v/>
      </c>
      <c r="F473" s="17">
        <f>IF($W473="","",TRIM(IFERROR(INDEX(FormData,$W473,f_Org1)&amp;"","")&amp;" "&amp;IFERROR(INDEX(FormData,$W473,f_Org2)&amp;"","")))</f>
        <v/>
      </c>
      <c r="G473" s="16">
        <f>IF($W473="","",IFERROR(INDEX(FormData,$W473,f_Region)&amp;"",""))</f>
        <v/>
      </c>
      <c r="H473" s="16">
        <f>IF($W473="","",IFERROR(IF(SUMPRODUCT(MAX((SitKW&lt;&gt;"")*ISNUMBER(SEARCH(SitKW,INDEX(FormData,$W473,f_Sit)&amp;""))*(ROW(SitKW)-MIN(ROW(SitKW))+1)))=0,"",INDEX(SitVal,SUMPRODUCT(MAX((SitKW&lt;&gt;"")*ISNUMBER(SEARCH(SitKW,INDEX(FormData,$W473,f_Sit)&amp;""))*(ROW(SitKW)-MIN(ROW(SitKW))+1))))),""))</f>
        <v/>
      </c>
      <c r="I473" s="14">
        <f>IF($W473="","",IFERROR(INDEX(FormData,$W473,f_Appr)&amp;"",""))</f>
        <v/>
      </c>
      <c r="J473" s="16">
        <f>IF($W473="","",IFERROR(INDEX(FormData,$W473,f_Trade)&amp;"",""))</f>
        <v/>
      </c>
      <c r="K473" s="16" t="n"/>
      <c r="L473" s="17" t="n"/>
      <c r="M473" s="16" t="n"/>
      <c r="N473" s="17" t="n"/>
      <c r="O473" s="14" t="n"/>
      <c r="P473" s="14" t="n"/>
      <c r="Q473" s="18" t="n"/>
      <c r="R473" s="18" t="n"/>
      <c r="S473" s="13">
        <f>IF($P473&lt;&gt;"✓","",IF($R473&lt;&gt;"","Done",IF($Q473="","Open — no date",IF($Q473&lt;TODAY(),"Overdue",IF($Q473-TODAY()&lt;=DueSoon,"Due soon","Scheduled")))))</f>
        <v/>
      </c>
      <c r="T473" s="14">
        <f>IF($W473="","",IFERROR(IF(INDEX(FormData,$W473,f_Consent)&amp;""="","",IF(ISNUMBER(SEARCH("yes",INDEX(FormData,$W473,f_Consent))),"Yes","No")),""))</f>
        <v/>
      </c>
      <c r="U473" s="14" t="n"/>
      <c r="V473" s="13">
        <f>IF($U473="","",IF($W473="","not found","✓"))</f>
        <v/>
      </c>
      <c r="W473">
        <f>IF($U473="","",IFERROR(MATCH($U473,INDEX(FormData,0,f_Id),0),IFERROR(MATCH(--$U473,INDEX(FormData,0,f_Id),0),IFERROR(MATCH($U473&amp;"",INDEX(FormData,0,f_Id),0),""))))</f>
        <v/>
      </c>
      <c r="X473">
        <f>IF(AND($B473&lt;&gt;"",$B473='Event Report'!$C$3),ROW(),"")</f>
        <v/>
      </c>
      <c r="Y473">
        <f>IF(AND($P473="✓",$R473=""),IF($Q473="",90000,$Q473)+ROW()/100000,"")</f>
        <v/>
      </c>
      <c r="Z473">
        <f>IF(OR($U473&lt;&gt;"",$D473&lt;&gt;"",$E473&lt;&gt;"",$N473&lt;&gt;""),1,"")</f>
        <v/>
      </c>
    </row>
    <row r="474">
      <c r="A474" s="13" t="inlineStr">
        <is>
          <t>P-0470</t>
        </is>
      </c>
      <c r="B474" s="14">
        <f>IF(AND($U474="",$C474=""),"",IFERROR(INDEX(EvID,MATCH(INDEX(FormData,$W474,f_Event),EvID,0)),IFERROR(INDEX(EvID,MATCH(INDEX(FormData,$W474,f_Event),EvName,0)),IFERROR(INDEX(EvID,MATCH(INT($C474),EvDate,0)),""))))</f>
        <v/>
      </c>
      <c r="C474" s="15">
        <f>IF($W474="","",INDEX(FormData,$W474,f_Time))</f>
        <v/>
      </c>
      <c r="D474" s="14">
        <f>IF($W474="","",IFERROR(UPPER(LEFT(TRIM(INDEX(FormData,$W474,f_Name)),1)&amp;IFERROR(MID(TRIM(INDEX(FormData,$W474,f_Name)),FIND("^",SUBSTITUTE(TRIM(INDEX(FormData,$W474,f_Name))," ","^",LEN(TRIM(INDEX(FormData,$W474,f_Name)))-LEN(SUBSTITUTE(TRIM(INDEX(FormData,$W474,f_Name))," ",""))))+1,1),"")),""))</f>
        <v/>
      </c>
      <c r="E474" s="16">
        <f>IF($W474="","",IFERROR(IF(SUMPRODUCT(MAX((WhoKW&lt;&gt;"")*ISNUMBER(SEARCH(WhoKW,INDEX(FormData,$W474,f_Who)&amp;""))*(ROW(WhoKW)-MIN(ROW(WhoKW))+1)))=0,"",INDEX(WhoVal,SUMPRODUCT(MAX((WhoKW&lt;&gt;"")*ISNUMBER(SEARCH(WhoKW,INDEX(FormData,$W474,f_Who)&amp;""))*(ROW(WhoKW)-MIN(ROW(WhoKW))+1))))),""))</f>
        <v/>
      </c>
      <c r="F474" s="17">
        <f>IF($W474="","",TRIM(IFERROR(INDEX(FormData,$W474,f_Org1)&amp;"","")&amp;" "&amp;IFERROR(INDEX(FormData,$W474,f_Org2)&amp;"","")))</f>
        <v/>
      </c>
      <c r="G474" s="16">
        <f>IF($W474="","",IFERROR(INDEX(FormData,$W474,f_Region)&amp;"",""))</f>
        <v/>
      </c>
      <c r="H474" s="16">
        <f>IF($W474="","",IFERROR(IF(SUMPRODUCT(MAX((SitKW&lt;&gt;"")*ISNUMBER(SEARCH(SitKW,INDEX(FormData,$W474,f_Sit)&amp;""))*(ROW(SitKW)-MIN(ROW(SitKW))+1)))=0,"",INDEX(SitVal,SUMPRODUCT(MAX((SitKW&lt;&gt;"")*ISNUMBER(SEARCH(SitKW,INDEX(FormData,$W474,f_Sit)&amp;""))*(ROW(SitKW)-MIN(ROW(SitKW))+1))))),""))</f>
        <v/>
      </c>
      <c r="I474" s="14">
        <f>IF($W474="","",IFERROR(INDEX(FormData,$W474,f_Appr)&amp;"",""))</f>
        <v/>
      </c>
      <c r="J474" s="16">
        <f>IF($W474="","",IFERROR(INDEX(FormData,$W474,f_Trade)&amp;"",""))</f>
        <v/>
      </c>
      <c r="K474" s="16" t="n"/>
      <c r="L474" s="17" t="n"/>
      <c r="M474" s="16" t="n"/>
      <c r="N474" s="17" t="n"/>
      <c r="O474" s="14" t="n"/>
      <c r="P474" s="14" t="n"/>
      <c r="Q474" s="18" t="n"/>
      <c r="R474" s="18" t="n"/>
      <c r="S474" s="13">
        <f>IF($P474&lt;&gt;"✓","",IF($R474&lt;&gt;"","Done",IF($Q474="","Open — no date",IF($Q474&lt;TODAY(),"Overdue",IF($Q474-TODAY()&lt;=DueSoon,"Due soon","Scheduled")))))</f>
        <v/>
      </c>
      <c r="T474" s="14">
        <f>IF($W474="","",IFERROR(IF(INDEX(FormData,$W474,f_Consent)&amp;""="","",IF(ISNUMBER(SEARCH("yes",INDEX(FormData,$W474,f_Consent))),"Yes","No")),""))</f>
        <v/>
      </c>
      <c r="U474" s="14" t="n"/>
      <c r="V474" s="13">
        <f>IF($U474="","",IF($W474="","not found","✓"))</f>
        <v/>
      </c>
      <c r="W474">
        <f>IF($U474="","",IFERROR(MATCH($U474,INDEX(FormData,0,f_Id),0),IFERROR(MATCH(--$U474,INDEX(FormData,0,f_Id),0),IFERROR(MATCH($U474&amp;"",INDEX(FormData,0,f_Id),0),""))))</f>
        <v/>
      </c>
      <c r="X474">
        <f>IF(AND($B474&lt;&gt;"",$B474='Event Report'!$C$3),ROW(),"")</f>
        <v/>
      </c>
      <c r="Y474">
        <f>IF(AND($P474="✓",$R474=""),IF($Q474="",90000,$Q474)+ROW()/100000,"")</f>
        <v/>
      </c>
      <c r="Z474">
        <f>IF(OR($U474&lt;&gt;"",$D474&lt;&gt;"",$E474&lt;&gt;"",$N474&lt;&gt;""),1,"")</f>
        <v/>
      </c>
    </row>
    <row r="475">
      <c r="A475" s="13" t="inlineStr">
        <is>
          <t>P-0471</t>
        </is>
      </c>
      <c r="B475" s="14">
        <f>IF(AND($U475="",$C475=""),"",IFERROR(INDEX(EvID,MATCH(INDEX(FormData,$W475,f_Event),EvID,0)),IFERROR(INDEX(EvID,MATCH(INDEX(FormData,$W475,f_Event),EvName,0)),IFERROR(INDEX(EvID,MATCH(INT($C475),EvDate,0)),""))))</f>
        <v/>
      </c>
      <c r="C475" s="15">
        <f>IF($W475="","",INDEX(FormData,$W475,f_Time))</f>
        <v/>
      </c>
      <c r="D475" s="14">
        <f>IF($W475="","",IFERROR(UPPER(LEFT(TRIM(INDEX(FormData,$W475,f_Name)),1)&amp;IFERROR(MID(TRIM(INDEX(FormData,$W475,f_Name)),FIND("^",SUBSTITUTE(TRIM(INDEX(FormData,$W475,f_Name))," ","^",LEN(TRIM(INDEX(FormData,$W475,f_Name)))-LEN(SUBSTITUTE(TRIM(INDEX(FormData,$W475,f_Name))," ",""))))+1,1),"")),""))</f>
        <v/>
      </c>
      <c r="E475" s="16">
        <f>IF($W475="","",IFERROR(IF(SUMPRODUCT(MAX((WhoKW&lt;&gt;"")*ISNUMBER(SEARCH(WhoKW,INDEX(FormData,$W475,f_Who)&amp;""))*(ROW(WhoKW)-MIN(ROW(WhoKW))+1)))=0,"",INDEX(WhoVal,SUMPRODUCT(MAX((WhoKW&lt;&gt;"")*ISNUMBER(SEARCH(WhoKW,INDEX(FormData,$W475,f_Who)&amp;""))*(ROW(WhoKW)-MIN(ROW(WhoKW))+1))))),""))</f>
        <v/>
      </c>
      <c r="F475" s="17">
        <f>IF($W475="","",TRIM(IFERROR(INDEX(FormData,$W475,f_Org1)&amp;"","")&amp;" "&amp;IFERROR(INDEX(FormData,$W475,f_Org2)&amp;"","")))</f>
        <v/>
      </c>
      <c r="G475" s="16">
        <f>IF($W475="","",IFERROR(INDEX(FormData,$W475,f_Region)&amp;"",""))</f>
        <v/>
      </c>
      <c r="H475" s="16">
        <f>IF($W475="","",IFERROR(IF(SUMPRODUCT(MAX((SitKW&lt;&gt;"")*ISNUMBER(SEARCH(SitKW,INDEX(FormData,$W475,f_Sit)&amp;""))*(ROW(SitKW)-MIN(ROW(SitKW))+1)))=0,"",INDEX(SitVal,SUMPRODUCT(MAX((SitKW&lt;&gt;"")*ISNUMBER(SEARCH(SitKW,INDEX(FormData,$W475,f_Sit)&amp;""))*(ROW(SitKW)-MIN(ROW(SitKW))+1))))),""))</f>
        <v/>
      </c>
      <c r="I475" s="14">
        <f>IF($W475="","",IFERROR(INDEX(FormData,$W475,f_Appr)&amp;"",""))</f>
        <v/>
      </c>
      <c r="J475" s="16">
        <f>IF($W475="","",IFERROR(INDEX(FormData,$W475,f_Trade)&amp;"",""))</f>
        <v/>
      </c>
      <c r="K475" s="16" t="n"/>
      <c r="L475" s="17" t="n"/>
      <c r="M475" s="16" t="n"/>
      <c r="N475" s="17" t="n"/>
      <c r="O475" s="14" t="n"/>
      <c r="P475" s="14" t="n"/>
      <c r="Q475" s="18" t="n"/>
      <c r="R475" s="18" t="n"/>
      <c r="S475" s="13">
        <f>IF($P475&lt;&gt;"✓","",IF($R475&lt;&gt;"","Done",IF($Q475="","Open — no date",IF($Q475&lt;TODAY(),"Overdue",IF($Q475-TODAY()&lt;=DueSoon,"Due soon","Scheduled")))))</f>
        <v/>
      </c>
      <c r="T475" s="14">
        <f>IF($W475="","",IFERROR(IF(INDEX(FormData,$W475,f_Consent)&amp;""="","",IF(ISNUMBER(SEARCH("yes",INDEX(FormData,$W475,f_Consent))),"Yes","No")),""))</f>
        <v/>
      </c>
      <c r="U475" s="14" t="n"/>
      <c r="V475" s="13">
        <f>IF($U475="","",IF($W475="","not found","✓"))</f>
        <v/>
      </c>
      <c r="W475">
        <f>IF($U475="","",IFERROR(MATCH($U475,INDEX(FormData,0,f_Id),0),IFERROR(MATCH(--$U475,INDEX(FormData,0,f_Id),0),IFERROR(MATCH($U475&amp;"",INDEX(FormData,0,f_Id),0),""))))</f>
        <v/>
      </c>
      <c r="X475">
        <f>IF(AND($B475&lt;&gt;"",$B475='Event Report'!$C$3),ROW(),"")</f>
        <v/>
      </c>
      <c r="Y475">
        <f>IF(AND($P475="✓",$R475=""),IF($Q475="",90000,$Q475)+ROW()/100000,"")</f>
        <v/>
      </c>
      <c r="Z475">
        <f>IF(OR($U475&lt;&gt;"",$D475&lt;&gt;"",$E475&lt;&gt;"",$N475&lt;&gt;""),1,"")</f>
        <v/>
      </c>
    </row>
    <row r="476">
      <c r="A476" s="13" t="inlineStr">
        <is>
          <t>P-0472</t>
        </is>
      </c>
      <c r="B476" s="14">
        <f>IF(AND($U476="",$C476=""),"",IFERROR(INDEX(EvID,MATCH(INDEX(FormData,$W476,f_Event),EvID,0)),IFERROR(INDEX(EvID,MATCH(INDEX(FormData,$W476,f_Event),EvName,0)),IFERROR(INDEX(EvID,MATCH(INT($C476),EvDate,0)),""))))</f>
        <v/>
      </c>
      <c r="C476" s="15">
        <f>IF($W476="","",INDEX(FormData,$W476,f_Time))</f>
        <v/>
      </c>
      <c r="D476" s="14">
        <f>IF($W476="","",IFERROR(UPPER(LEFT(TRIM(INDEX(FormData,$W476,f_Name)),1)&amp;IFERROR(MID(TRIM(INDEX(FormData,$W476,f_Name)),FIND("^",SUBSTITUTE(TRIM(INDEX(FormData,$W476,f_Name))," ","^",LEN(TRIM(INDEX(FormData,$W476,f_Name)))-LEN(SUBSTITUTE(TRIM(INDEX(FormData,$W476,f_Name))," ",""))))+1,1),"")),""))</f>
        <v/>
      </c>
      <c r="E476" s="16">
        <f>IF($W476="","",IFERROR(IF(SUMPRODUCT(MAX((WhoKW&lt;&gt;"")*ISNUMBER(SEARCH(WhoKW,INDEX(FormData,$W476,f_Who)&amp;""))*(ROW(WhoKW)-MIN(ROW(WhoKW))+1)))=0,"",INDEX(WhoVal,SUMPRODUCT(MAX((WhoKW&lt;&gt;"")*ISNUMBER(SEARCH(WhoKW,INDEX(FormData,$W476,f_Who)&amp;""))*(ROW(WhoKW)-MIN(ROW(WhoKW))+1))))),""))</f>
        <v/>
      </c>
      <c r="F476" s="17">
        <f>IF($W476="","",TRIM(IFERROR(INDEX(FormData,$W476,f_Org1)&amp;"","")&amp;" "&amp;IFERROR(INDEX(FormData,$W476,f_Org2)&amp;"","")))</f>
        <v/>
      </c>
      <c r="G476" s="16">
        <f>IF($W476="","",IFERROR(INDEX(FormData,$W476,f_Region)&amp;"",""))</f>
        <v/>
      </c>
      <c r="H476" s="16">
        <f>IF($W476="","",IFERROR(IF(SUMPRODUCT(MAX((SitKW&lt;&gt;"")*ISNUMBER(SEARCH(SitKW,INDEX(FormData,$W476,f_Sit)&amp;""))*(ROW(SitKW)-MIN(ROW(SitKW))+1)))=0,"",INDEX(SitVal,SUMPRODUCT(MAX((SitKW&lt;&gt;"")*ISNUMBER(SEARCH(SitKW,INDEX(FormData,$W476,f_Sit)&amp;""))*(ROW(SitKW)-MIN(ROW(SitKW))+1))))),""))</f>
        <v/>
      </c>
      <c r="I476" s="14">
        <f>IF($W476="","",IFERROR(INDEX(FormData,$W476,f_Appr)&amp;"",""))</f>
        <v/>
      </c>
      <c r="J476" s="16">
        <f>IF($W476="","",IFERROR(INDEX(FormData,$W476,f_Trade)&amp;"",""))</f>
        <v/>
      </c>
      <c r="K476" s="16" t="n"/>
      <c r="L476" s="17" t="n"/>
      <c r="M476" s="16" t="n"/>
      <c r="N476" s="17" t="n"/>
      <c r="O476" s="14" t="n"/>
      <c r="P476" s="14" t="n"/>
      <c r="Q476" s="18" t="n"/>
      <c r="R476" s="18" t="n"/>
      <c r="S476" s="13">
        <f>IF($P476&lt;&gt;"✓","",IF($R476&lt;&gt;"","Done",IF($Q476="","Open — no date",IF($Q476&lt;TODAY(),"Overdue",IF($Q476-TODAY()&lt;=DueSoon,"Due soon","Scheduled")))))</f>
        <v/>
      </c>
      <c r="T476" s="14">
        <f>IF($W476="","",IFERROR(IF(INDEX(FormData,$W476,f_Consent)&amp;""="","",IF(ISNUMBER(SEARCH("yes",INDEX(FormData,$W476,f_Consent))),"Yes","No")),""))</f>
        <v/>
      </c>
      <c r="U476" s="14" t="n"/>
      <c r="V476" s="13">
        <f>IF($U476="","",IF($W476="","not found","✓"))</f>
        <v/>
      </c>
      <c r="W476">
        <f>IF($U476="","",IFERROR(MATCH($U476,INDEX(FormData,0,f_Id),0),IFERROR(MATCH(--$U476,INDEX(FormData,0,f_Id),0),IFERROR(MATCH($U476&amp;"",INDEX(FormData,0,f_Id),0),""))))</f>
        <v/>
      </c>
      <c r="X476">
        <f>IF(AND($B476&lt;&gt;"",$B476='Event Report'!$C$3),ROW(),"")</f>
        <v/>
      </c>
      <c r="Y476">
        <f>IF(AND($P476="✓",$R476=""),IF($Q476="",90000,$Q476)+ROW()/100000,"")</f>
        <v/>
      </c>
      <c r="Z476">
        <f>IF(OR($U476&lt;&gt;"",$D476&lt;&gt;"",$E476&lt;&gt;"",$N476&lt;&gt;""),1,"")</f>
        <v/>
      </c>
    </row>
    <row r="477">
      <c r="A477" s="13" t="inlineStr">
        <is>
          <t>P-0473</t>
        </is>
      </c>
      <c r="B477" s="14">
        <f>IF(AND($U477="",$C477=""),"",IFERROR(INDEX(EvID,MATCH(INDEX(FormData,$W477,f_Event),EvID,0)),IFERROR(INDEX(EvID,MATCH(INDEX(FormData,$W477,f_Event),EvName,0)),IFERROR(INDEX(EvID,MATCH(INT($C477),EvDate,0)),""))))</f>
        <v/>
      </c>
      <c r="C477" s="15">
        <f>IF($W477="","",INDEX(FormData,$W477,f_Time))</f>
        <v/>
      </c>
      <c r="D477" s="14">
        <f>IF($W477="","",IFERROR(UPPER(LEFT(TRIM(INDEX(FormData,$W477,f_Name)),1)&amp;IFERROR(MID(TRIM(INDEX(FormData,$W477,f_Name)),FIND("^",SUBSTITUTE(TRIM(INDEX(FormData,$W477,f_Name))," ","^",LEN(TRIM(INDEX(FormData,$W477,f_Name)))-LEN(SUBSTITUTE(TRIM(INDEX(FormData,$W477,f_Name))," ",""))))+1,1),"")),""))</f>
        <v/>
      </c>
      <c r="E477" s="16">
        <f>IF($W477="","",IFERROR(IF(SUMPRODUCT(MAX((WhoKW&lt;&gt;"")*ISNUMBER(SEARCH(WhoKW,INDEX(FormData,$W477,f_Who)&amp;""))*(ROW(WhoKW)-MIN(ROW(WhoKW))+1)))=0,"",INDEX(WhoVal,SUMPRODUCT(MAX((WhoKW&lt;&gt;"")*ISNUMBER(SEARCH(WhoKW,INDEX(FormData,$W477,f_Who)&amp;""))*(ROW(WhoKW)-MIN(ROW(WhoKW))+1))))),""))</f>
        <v/>
      </c>
      <c r="F477" s="17">
        <f>IF($W477="","",TRIM(IFERROR(INDEX(FormData,$W477,f_Org1)&amp;"","")&amp;" "&amp;IFERROR(INDEX(FormData,$W477,f_Org2)&amp;"","")))</f>
        <v/>
      </c>
      <c r="G477" s="16">
        <f>IF($W477="","",IFERROR(INDEX(FormData,$W477,f_Region)&amp;"",""))</f>
        <v/>
      </c>
      <c r="H477" s="16">
        <f>IF($W477="","",IFERROR(IF(SUMPRODUCT(MAX((SitKW&lt;&gt;"")*ISNUMBER(SEARCH(SitKW,INDEX(FormData,$W477,f_Sit)&amp;""))*(ROW(SitKW)-MIN(ROW(SitKW))+1)))=0,"",INDEX(SitVal,SUMPRODUCT(MAX((SitKW&lt;&gt;"")*ISNUMBER(SEARCH(SitKW,INDEX(FormData,$W477,f_Sit)&amp;""))*(ROW(SitKW)-MIN(ROW(SitKW))+1))))),""))</f>
        <v/>
      </c>
      <c r="I477" s="14">
        <f>IF($W477="","",IFERROR(INDEX(FormData,$W477,f_Appr)&amp;"",""))</f>
        <v/>
      </c>
      <c r="J477" s="16">
        <f>IF($W477="","",IFERROR(INDEX(FormData,$W477,f_Trade)&amp;"",""))</f>
        <v/>
      </c>
      <c r="K477" s="16" t="n"/>
      <c r="L477" s="17" t="n"/>
      <c r="M477" s="16" t="n"/>
      <c r="N477" s="17" t="n"/>
      <c r="O477" s="14" t="n"/>
      <c r="P477" s="14" t="n"/>
      <c r="Q477" s="18" t="n"/>
      <c r="R477" s="18" t="n"/>
      <c r="S477" s="13">
        <f>IF($P477&lt;&gt;"✓","",IF($R477&lt;&gt;"","Done",IF($Q477="","Open — no date",IF($Q477&lt;TODAY(),"Overdue",IF($Q477-TODAY()&lt;=DueSoon,"Due soon","Scheduled")))))</f>
        <v/>
      </c>
      <c r="T477" s="14">
        <f>IF($W477="","",IFERROR(IF(INDEX(FormData,$W477,f_Consent)&amp;""="","",IF(ISNUMBER(SEARCH("yes",INDEX(FormData,$W477,f_Consent))),"Yes","No")),""))</f>
        <v/>
      </c>
      <c r="U477" s="14" t="n"/>
      <c r="V477" s="13">
        <f>IF($U477="","",IF($W477="","not found","✓"))</f>
        <v/>
      </c>
      <c r="W477">
        <f>IF($U477="","",IFERROR(MATCH($U477,INDEX(FormData,0,f_Id),0),IFERROR(MATCH(--$U477,INDEX(FormData,0,f_Id),0),IFERROR(MATCH($U477&amp;"",INDEX(FormData,0,f_Id),0),""))))</f>
        <v/>
      </c>
      <c r="X477">
        <f>IF(AND($B477&lt;&gt;"",$B477='Event Report'!$C$3),ROW(),"")</f>
        <v/>
      </c>
      <c r="Y477">
        <f>IF(AND($P477="✓",$R477=""),IF($Q477="",90000,$Q477)+ROW()/100000,"")</f>
        <v/>
      </c>
      <c r="Z477">
        <f>IF(OR($U477&lt;&gt;"",$D477&lt;&gt;"",$E477&lt;&gt;"",$N477&lt;&gt;""),1,"")</f>
        <v/>
      </c>
    </row>
    <row r="478">
      <c r="A478" s="13" t="inlineStr">
        <is>
          <t>P-0474</t>
        </is>
      </c>
      <c r="B478" s="14">
        <f>IF(AND($U478="",$C478=""),"",IFERROR(INDEX(EvID,MATCH(INDEX(FormData,$W478,f_Event),EvID,0)),IFERROR(INDEX(EvID,MATCH(INDEX(FormData,$W478,f_Event),EvName,0)),IFERROR(INDEX(EvID,MATCH(INT($C478),EvDate,0)),""))))</f>
        <v/>
      </c>
      <c r="C478" s="15">
        <f>IF($W478="","",INDEX(FormData,$W478,f_Time))</f>
        <v/>
      </c>
      <c r="D478" s="14">
        <f>IF($W478="","",IFERROR(UPPER(LEFT(TRIM(INDEX(FormData,$W478,f_Name)),1)&amp;IFERROR(MID(TRIM(INDEX(FormData,$W478,f_Name)),FIND("^",SUBSTITUTE(TRIM(INDEX(FormData,$W478,f_Name))," ","^",LEN(TRIM(INDEX(FormData,$W478,f_Name)))-LEN(SUBSTITUTE(TRIM(INDEX(FormData,$W478,f_Name))," ",""))))+1,1),"")),""))</f>
        <v/>
      </c>
      <c r="E478" s="16">
        <f>IF($W478="","",IFERROR(IF(SUMPRODUCT(MAX((WhoKW&lt;&gt;"")*ISNUMBER(SEARCH(WhoKW,INDEX(FormData,$W478,f_Who)&amp;""))*(ROW(WhoKW)-MIN(ROW(WhoKW))+1)))=0,"",INDEX(WhoVal,SUMPRODUCT(MAX((WhoKW&lt;&gt;"")*ISNUMBER(SEARCH(WhoKW,INDEX(FormData,$W478,f_Who)&amp;""))*(ROW(WhoKW)-MIN(ROW(WhoKW))+1))))),""))</f>
        <v/>
      </c>
      <c r="F478" s="17">
        <f>IF($W478="","",TRIM(IFERROR(INDEX(FormData,$W478,f_Org1)&amp;"","")&amp;" "&amp;IFERROR(INDEX(FormData,$W478,f_Org2)&amp;"","")))</f>
        <v/>
      </c>
      <c r="G478" s="16">
        <f>IF($W478="","",IFERROR(INDEX(FormData,$W478,f_Region)&amp;"",""))</f>
        <v/>
      </c>
      <c r="H478" s="16">
        <f>IF($W478="","",IFERROR(IF(SUMPRODUCT(MAX((SitKW&lt;&gt;"")*ISNUMBER(SEARCH(SitKW,INDEX(FormData,$W478,f_Sit)&amp;""))*(ROW(SitKW)-MIN(ROW(SitKW))+1)))=0,"",INDEX(SitVal,SUMPRODUCT(MAX((SitKW&lt;&gt;"")*ISNUMBER(SEARCH(SitKW,INDEX(FormData,$W478,f_Sit)&amp;""))*(ROW(SitKW)-MIN(ROW(SitKW))+1))))),""))</f>
        <v/>
      </c>
      <c r="I478" s="14">
        <f>IF($W478="","",IFERROR(INDEX(FormData,$W478,f_Appr)&amp;"",""))</f>
        <v/>
      </c>
      <c r="J478" s="16">
        <f>IF($W478="","",IFERROR(INDEX(FormData,$W478,f_Trade)&amp;"",""))</f>
        <v/>
      </c>
      <c r="K478" s="16" t="n"/>
      <c r="L478" s="17" t="n"/>
      <c r="M478" s="16" t="n"/>
      <c r="N478" s="17" t="n"/>
      <c r="O478" s="14" t="n"/>
      <c r="P478" s="14" t="n"/>
      <c r="Q478" s="18" t="n"/>
      <c r="R478" s="18" t="n"/>
      <c r="S478" s="13">
        <f>IF($P478&lt;&gt;"✓","",IF($R478&lt;&gt;"","Done",IF($Q478="","Open — no date",IF($Q478&lt;TODAY(),"Overdue",IF($Q478-TODAY()&lt;=DueSoon,"Due soon","Scheduled")))))</f>
        <v/>
      </c>
      <c r="T478" s="14">
        <f>IF($W478="","",IFERROR(IF(INDEX(FormData,$W478,f_Consent)&amp;""="","",IF(ISNUMBER(SEARCH("yes",INDEX(FormData,$W478,f_Consent))),"Yes","No")),""))</f>
        <v/>
      </c>
      <c r="U478" s="14" t="n"/>
      <c r="V478" s="13">
        <f>IF($U478="","",IF($W478="","not found","✓"))</f>
        <v/>
      </c>
      <c r="W478">
        <f>IF($U478="","",IFERROR(MATCH($U478,INDEX(FormData,0,f_Id),0),IFERROR(MATCH(--$U478,INDEX(FormData,0,f_Id),0),IFERROR(MATCH($U478&amp;"",INDEX(FormData,0,f_Id),0),""))))</f>
        <v/>
      </c>
      <c r="X478">
        <f>IF(AND($B478&lt;&gt;"",$B478='Event Report'!$C$3),ROW(),"")</f>
        <v/>
      </c>
      <c r="Y478">
        <f>IF(AND($P478="✓",$R478=""),IF($Q478="",90000,$Q478)+ROW()/100000,"")</f>
        <v/>
      </c>
      <c r="Z478">
        <f>IF(OR($U478&lt;&gt;"",$D478&lt;&gt;"",$E478&lt;&gt;"",$N478&lt;&gt;""),1,"")</f>
        <v/>
      </c>
    </row>
    <row r="479">
      <c r="A479" s="13" t="inlineStr">
        <is>
          <t>P-0475</t>
        </is>
      </c>
      <c r="B479" s="14">
        <f>IF(AND($U479="",$C479=""),"",IFERROR(INDEX(EvID,MATCH(INDEX(FormData,$W479,f_Event),EvID,0)),IFERROR(INDEX(EvID,MATCH(INDEX(FormData,$W479,f_Event),EvName,0)),IFERROR(INDEX(EvID,MATCH(INT($C479),EvDate,0)),""))))</f>
        <v/>
      </c>
      <c r="C479" s="15">
        <f>IF($W479="","",INDEX(FormData,$W479,f_Time))</f>
        <v/>
      </c>
      <c r="D479" s="14">
        <f>IF($W479="","",IFERROR(UPPER(LEFT(TRIM(INDEX(FormData,$W479,f_Name)),1)&amp;IFERROR(MID(TRIM(INDEX(FormData,$W479,f_Name)),FIND("^",SUBSTITUTE(TRIM(INDEX(FormData,$W479,f_Name))," ","^",LEN(TRIM(INDEX(FormData,$W479,f_Name)))-LEN(SUBSTITUTE(TRIM(INDEX(FormData,$W479,f_Name))," ",""))))+1,1),"")),""))</f>
        <v/>
      </c>
      <c r="E479" s="16">
        <f>IF($W479="","",IFERROR(IF(SUMPRODUCT(MAX((WhoKW&lt;&gt;"")*ISNUMBER(SEARCH(WhoKW,INDEX(FormData,$W479,f_Who)&amp;""))*(ROW(WhoKW)-MIN(ROW(WhoKW))+1)))=0,"",INDEX(WhoVal,SUMPRODUCT(MAX((WhoKW&lt;&gt;"")*ISNUMBER(SEARCH(WhoKW,INDEX(FormData,$W479,f_Who)&amp;""))*(ROW(WhoKW)-MIN(ROW(WhoKW))+1))))),""))</f>
        <v/>
      </c>
      <c r="F479" s="17">
        <f>IF($W479="","",TRIM(IFERROR(INDEX(FormData,$W479,f_Org1)&amp;"","")&amp;" "&amp;IFERROR(INDEX(FormData,$W479,f_Org2)&amp;"","")))</f>
        <v/>
      </c>
      <c r="G479" s="16">
        <f>IF($W479="","",IFERROR(INDEX(FormData,$W479,f_Region)&amp;"",""))</f>
        <v/>
      </c>
      <c r="H479" s="16">
        <f>IF($W479="","",IFERROR(IF(SUMPRODUCT(MAX((SitKW&lt;&gt;"")*ISNUMBER(SEARCH(SitKW,INDEX(FormData,$W479,f_Sit)&amp;""))*(ROW(SitKW)-MIN(ROW(SitKW))+1)))=0,"",INDEX(SitVal,SUMPRODUCT(MAX((SitKW&lt;&gt;"")*ISNUMBER(SEARCH(SitKW,INDEX(FormData,$W479,f_Sit)&amp;""))*(ROW(SitKW)-MIN(ROW(SitKW))+1))))),""))</f>
        <v/>
      </c>
      <c r="I479" s="14">
        <f>IF($W479="","",IFERROR(INDEX(FormData,$W479,f_Appr)&amp;"",""))</f>
        <v/>
      </c>
      <c r="J479" s="16">
        <f>IF($W479="","",IFERROR(INDEX(FormData,$W479,f_Trade)&amp;"",""))</f>
        <v/>
      </c>
      <c r="K479" s="16" t="n"/>
      <c r="L479" s="17" t="n"/>
      <c r="M479" s="16" t="n"/>
      <c r="N479" s="17" t="n"/>
      <c r="O479" s="14" t="n"/>
      <c r="P479" s="14" t="n"/>
      <c r="Q479" s="18" t="n"/>
      <c r="R479" s="18" t="n"/>
      <c r="S479" s="13">
        <f>IF($P479&lt;&gt;"✓","",IF($R479&lt;&gt;"","Done",IF($Q479="","Open — no date",IF($Q479&lt;TODAY(),"Overdue",IF($Q479-TODAY()&lt;=DueSoon,"Due soon","Scheduled")))))</f>
        <v/>
      </c>
      <c r="T479" s="14">
        <f>IF($W479="","",IFERROR(IF(INDEX(FormData,$W479,f_Consent)&amp;""="","",IF(ISNUMBER(SEARCH("yes",INDEX(FormData,$W479,f_Consent))),"Yes","No")),""))</f>
        <v/>
      </c>
      <c r="U479" s="14" t="n"/>
      <c r="V479" s="13">
        <f>IF($U479="","",IF($W479="","not found","✓"))</f>
        <v/>
      </c>
      <c r="W479">
        <f>IF($U479="","",IFERROR(MATCH($U479,INDEX(FormData,0,f_Id),0),IFERROR(MATCH(--$U479,INDEX(FormData,0,f_Id),0),IFERROR(MATCH($U479&amp;"",INDEX(FormData,0,f_Id),0),""))))</f>
        <v/>
      </c>
      <c r="X479">
        <f>IF(AND($B479&lt;&gt;"",$B479='Event Report'!$C$3),ROW(),"")</f>
        <v/>
      </c>
      <c r="Y479">
        <f>IF(AND($P479="✓",$R479=""),IF($Q479="",90000,$Q479)+ROW()/100000,"")</f>
        <v/>
      </c>
      <c r="Z479">
        <f>IF(OR($U479&lt;&gt;"",$D479&lt;&gt;"",$E479&lt;&gt;"",$N479&lt;&gt;""),1,"")</f>
        <v/>
      </c>
    </row>
    <row r="480">
      <c r="A480" s="13" t="inlineStr">
        <is>
          <t>P-0476</t>
        </is>
      </c>
      <c r="B480" s="14">
        <f>IF(AND($U480="",$C480=""),"",IFERROR(INDEX(EvID,MATCH(INDEX(FormData,$W480,f_Event),EvID,0)),IFERROR(INDEX(EvID,MATCH(INDEX(FormData,$W480,f_Event),EvName,0)),IFERROR(INDEX(EvID,MATCH(INT($C480),EvDate,0)),""))))</f>
        <v/>
      </c>
      <c r="C480" s="15">
        <f>IF($W480="","",INDEX(FormData,$W480,f_Time))</f>
        <v/>
      </c>
      <c r="D480" s="14">
        <f>IF($W480="","",IFERROR(UPPER(LEFT(TRIM(INDEX(FormData,$W480,f_Name)),1)&amp;IFERROR(MID(TRIM(INDEX(FormData,$W480,f_Name)),FIND("^",SUBSTITUTE(TRIM(INDEX(FormData,$W480,f_Name))," ","^",LEN(TRIM(INDEX(FormData,$W480,f_Name)))-LEN(SUBSTITUTE(TRIM(INDEX(FormData,$W480,f_Name))," ",""))))+1,1),"")),""))</f>
        <v/>
      </c>
      <c r="E480" s="16">
        <f>IF($W480="","",IFERROR(IF(SUMPRODUCT(MAX((WhoKW&lt;&gt;"")*ISNUMBER(SEARCH(WhoKW,INDEX(FormData,$W480,f_Who)&amp;""))*(ROW(WhoKW)-MIN(ROW(WhoKW))+1)))=0,"",INDEX(WhoVal,SUMPRODUCT(MAX((WhoKW&lt;&gt;"")*ISNUMBER(SEARCH(WhoKW,INDEX(FormData,$W480,f_Who)&amp;""))*(ROW(WhoKW)-MIN(ROW(WhoKW))+1))))),""))</f>
        <v/>
      </c>
      <c r="F480" s="17">
        <f>IF($W480="","",TRIM(IFERROR(INDEX(FormData,$W480,f_Org1)&amp;"","")&amp;" "&amp;IFERROR(INDEX(FormData,$W480,f_Org2)&amp;"","")))</f>
        <v/>
      </c>
      <c r="G480" s="16">
        <f>IF($W480="","",IFERROR(INDEX(FormData,$W480,f_Region)&amp;"",""))</f>
        <v/>
      </c>
      <c r="H480" s="16">
        <f>IF($W480="","",IFERROR(IF(SUMPRODUCT(MAX((SitKW&lt;&gt;"")*ISNUMBER(SEARCH(SitKW,INDEX(FormData,$W480,f_Sit)&amp;""))*(ROW(SitKW)-MIN(ROW(SitKW))+1)))=0,"",INDEX(SitVal,SUMPRODUCT(MAX((SitKW&lt;&gt;"")*ISNUMBER(SEARCH(SitKW,INDEX(FormData,$W480,f_Sit)&amp;""))*(ROW(SitKW)-MIN(ROW(SitKW))+1))))),""))</f>
        <v/>
      </c>
      <c r="I480" s="14">
        <f>IF($W480="","",IFERROR(INDEX(FormData,$W480,f_Appr)&amp;"",""))</f>
        <v/>
      </c>
      <c r="J480" s="16">
        <f>IF($W480="","",IFERROR(INDEX(FormData,$W480,f_Trade)&amp;"",""))</f>
        <v/>
      </c>
      <c r="K480" s="16" t="n"/>
      <c r="L480" s="17" t="n"/>
      <c r="M480" s="16" t="n"/>
      <c r="N480" s="17" t="n"/>
      <c r="O480" s="14" t="n"/>
      <c r="P480" s="14" t="n"/>
      <c r="Q480" s="18" t="n"/>
      <c r="R480" s="18" t="n"/>
      <c r="S480" s="13">
        <f>IF($P480&lt;&gt;"✓","",IF($R480&lt;&gt;"","Done",IF($Q480="","Open — no date",IF($Q480&lt;TODAY(),"Overdue",IF($Q480-TODAY()&lt;=DueSoon,"Due soon","Scheduled")))))</f>
        <v/>
      </c>
      <c r="T480" s="14">
        <f>IF($W480="","",IFERROR(IF(INDEX(FormData,$W480,f_Consent)&amp;""="","",IF(ISNUMBER(SEARCH("yes",INDEX(FormData,$W480,f_Consent))),"Yes","No")),""))</f>
        <v/>
      </c>
      <c r="U480" s="14" t="n"/>
      <c r="V480" s="13">
        <f>IF($U480="","",IF($W480="","not found","✓"))</f>
        <v/>
      </c>
      <c r="W480">
        <f>IF($U480="","",IFERROR(MATCH($U480,INDEX(FormData,0,f_Id),0),IFERROR(MATCH(--$U480,INDEX(FormData,0,f_Id),0),IFERROR(MATCH($U480&amp;"",INDEX(FormData,0,f_Id),0),""))))</f>
        <v/>
      </c>
      <c r="X480">
        <f>IF(AND($B480&lt;&gt;"",$B480='Event Report'!$C$3),ROW(),"")</f>
        <v/>
      </c>
      <c r="Y480">
        <f>IF(AND($P480="✓",$R480=""),IF($Q480="",90000,$Q480)+ROW()/100000,"")</f>
        <v/>
      </c>
      <c r="Z480">
        <f>IF(OR($U480&lt;&gt;"",$D480&lt;&gt;"",$E480&lt;&gt;"",$N480&lt;&gt;""),1,"")</f>
        <v/>
      </c>
    </row>
    <row r="481">
      <c r="A481" s="13" t="inlineStr">
        <is>
          <t>P-0477</t>
        </is>
      </c>
      <c r="B481" s="14">
        <f>IF(AND($U481="",$C481=""),"",IFERROR(INDEX(EvID,MATCH(INDEX(FormData,$W481,f_Event),EvID,0)),IFERROR(INDEX(EvID,MATCH(INDEX(FormData,$W481,f_Event),EvName,0)),IFERROR(INDEX(EvID,MATCH(INT($C481),EvDate,0)),""))))</f>
        <v/>
      </c>
      <c r="C481" s="15">
        <f>IF($W481="","",INDEX(FormData,$W481,f_Time))</f>
        <v/>
      </c>
      <c r="D481" s="14">
        <f>IF($W481="","",IFERROR(UPPER(LEFT(TRIM(INDEX(FormData,$W481,f_Name)),1)&amp;IFERROR(MID(TRIM(INDEX(FormData,$W481,f_Name)),FIND("^",SUBSTITUTE(TRIM(INDEX(FormData,$W481,f_Name))," ","^",LEN(TRIM(INDEX(FormData,$W481,f_Name)))-LEN(SUBSTITUTE(TRIM(INDEX(FormData,$W481,f_Name))," ",""))))+1,1),"")),""))</f>
        <v/>
      </c>
      <c r="E481" s="16">
        <f>IF($W481="","",IFERROR(IF(SUMPRODUCT(MAX((WhoKW&lt;&gt;"")*ISNUMBER(SEARCH(WhoKW,INDEX(FormData,$W481,f_Who)&amp;""))*(ROW(WhoKW)-MIN(ROW(WhoKW))+1)))=0,"",INDEX(WhoVal,SUMPRODUCT(MAX((WhoKW&lt;&gt;"")*ISNUMBER(SEARCH(WhoKW,INDEX(FormData,$W481,f_Who)&amp;""))*(ROW(WhoKW)-MIN(ROW(WhoKW))+1))))),""))</f>
        <v/>
      </c>
      <c r="F481" s="17">
        <f>IF($W481="","",TRIM(IFERROR(INDEX(FormData,$W481,f_Org1)&amp;"","")&amp;" "&amp;IFERROR(INDEX(FormData,$W481,f_Org2)&amp;"","")))</f>
        <v/>
      </c>
      <c r="G481" s="16">
        <f>IF($W481="","",IFERROR(INDEX(FormData,$W481,f_Region)&amp;"",""))</f>
        <v/>
      </c>
      <c r="H481" s="16">
        <f>IF($W481="","",IFERROR(IF(SUMPRODUCT(MAX((SitKW&lt;&gt;"")*ISNUMBER(SEARCH(SitKW,INDEX(FormData,$W481,f_Sit)&amp;""))*(ROW(SitKW)-MIN(ROW(SitKW))+1)))=0,"",INDEX(SitVal,SUMPRODUCT(MAX((SitKW&lt;&gt;"")*ISNUMBER(SEARCH(SitKW,INDEX(FormData,$W481,f_Sit)&amp;""))*(ROW(SitKW)-MIN(ROW(SitKW))+1))))),""))</f>
        <v/>
      </c>
      <c r="I481" s="14">
        <f>IF($W481="","",IFERROR(INDEX(FormData,$W481,f_Appr)&amp;"",""))</f>
        <v/>
      </c>
      <c r="J481" s="16">
        <f>IF($W481="","",IFERROR(INDEX(FormData,$W481,f_Trade)&amp;"",""))</f>
        <v/>
      </c>
      <c r="K481" s="16" t="n"/>
      <c r="L481" s="17" t="n"/>
      <c r="M481" s="16" t="n"/>
      <c r="N481" s="17" t="n"/>
      <c r="O481" s="14" t="n"/>
      <c r="P481" s="14" t="n"/>
      <c r="Q481" s="18" t="n"/>
      <c r="R481" s="18" t="n"/>
      <c r="S481" s="13">
        <f>IF($P481&lt;&gt;"✓","",IF($R481&lt;&gt;"","Done",IF($Q481="","Open — no date",IF($Q481&lt;TODAY(),"Overdue",IF($Q481-TODAY()&lt;=DueSoon,"Due soon","Scheduled")))))</f>
        <v/>
      </c>
      <c r="T481" s="14">
        <f>IF($W481="","",IFERROR(IF(INDEX(FormData,$W481,f_Consent)&amp;""="","",IF(ISNUMBER(SEARCH("yes",INDEX(FormData,$W481,f_Consent))),"Yes","No")),""))</f>
        <v/>
      </c>
      <c r="U481" s="14" t="n"/>
      <c r="V481" s="13">
        <f>IF($U481="","",IF($W481="","not found","✓"))</f>
        <v/>
      </c>
      <c r="W481">
        <f>IF($U481="","",IFERROR(MATCH($U481,INDEX(FormData,0,f_Id),0),IFERROR(MATCH(--$U481,INDEX(FormData,0,f_Id),0),IFERROR(MATCH($U481&amp;"",INDEX(FormData,0,f_Id),0),""))))</f>
        <v/>
      </c>
      <c r="X481">
        <f>IF(AND($B481&lt;&gt;"",$B481='Event Report'!$C$3),ROW(),"")</f>
        <v/>
      </c>
      <c r="Y481">
        <f>IF(AND($P481="✓",$R481=""),IF($Q481="",90000,$Q481)+ROW()/100000,"")</f>
        <v/>
      </c>
      <c r="Z481">
        <f>IF(OR($U481&lt;&gt;"",$D481&lt;&gt;"",$E481&lt;&gt;"",$N481&lt;&gt;""),1,"")</f>
        <v/>
      </c>
    </row>
    <row r="482">
      <c r="A482" s="13" t="inlineStr">
        <is>
          <t>P-0478</t>
        </is>
      </c>
      <c r="B482" s="14">
        <f>IF(AND($U482="",$C482=""),"",IFERROR(INDEX(EvID,MATCH(INDEX(FormData,$W482,f_Event),EvID,0)),IFERROR(INDEX(EvID,MATCH(INDEX(FormData,$W482,f_Event),EvName,0)),IFERROR(INDEX(EvID,MATCH(INT($C482),EvDate,0)),""))))</f>
        <v/>
      </c>
      <c r="C482" s="15">
        <f>IF($W482="","",INDEX(FormData,$W482,f_Time))</f>
        <v/>
      </c>
      <c r="D482" s="14">
        <f>IF($W482="","",IFERROR(UPPER(LEFT(TRIM(INDEX(FormData,$W482,f_Name)),1)&amp;IFERROR(MID(TRIM(INDEX(FormData,$W482,f_Name)),FIND("^",SUBSTITUTE(TRIM(INDEX(FormData,$W482,f_Name))," ","^",LEN(TRIM(INDEX(FormData,$W482,f_Name)))-LEN(SUBSTITUTE(TRIM(INDEX(FormData,$W482,f_Name))," ",""))))+1,1),"")),""))</f>
        <v/>
      </c>
      <c r="E482" s="16">
        <f>IF($W482="","",IFERROR(IF(SUMPRODUCT(MAX((WhoKW&lt;&gt;"")*ISNUMBER(SEARCH(WhoKW,INDEX(FormData,$W482,f_Who)&amp;""))*(ROW(WhoKW)-MIN(ROW(WhoKW))+1)))=0,"",INDEX(WhoVal,SUMPRODUCT(MAX((WhoKW&lt;&gt;"")*ISNUMBER(SEARCH(WhoKW,INDEX(FormData,$W482,f_Who)&amp;""))*(ROW(WhoKW)-MIN(ROW(WhoKW))+1))))),""))</f>
        <v/>
      </c>
      <c r="F482" s="17">
        <f>IF($W482="","",TRIM(IFERROR(INDEX(FormData,$W482,f_Org1)&amp;"","")&amp;" "&amp;IFERROR(INDEX(FormData,$W482,f_Org2)&amp;"","")))</f>
        <v/>
      </c>
      <c r="G482" s="16">
        <f>IF($W482="","",IFERROR(INDEX(FormData,$W482,f_Region)&amp;"",""))</f>
        <v/>
      </c>
      <c r="H482" s="16">
        <f>IF($W482="","",IFERROR(IF(SUMPRODUCT(MAX((SitKW&lt;&gt;"")*ISNUMBER(SEARCH(SitKW,INDEX(FormData,$W482,f_Sit)&amp;""))*(ROW(SitKW)-MIN(ROW(SitKW))+1)))=0,"",INDEX(SitVal,SUMPRODUCT(MAX((SitKW&lt;&gt;"")*ISNUMBER(SEARCH(SitKW,INDEX(FormData,$W482,f_Sit)&amp;""))*(ROW(SitKW)-MIN(ROW(SitKW))+1))))),""))</f>
        <v/>
      </c>
      <c r="I482" s="14">
        <f>IF($W482="","",IFERROR(INDEX(FormData,$W482,f_Appr)&amp;"",""))</f>
        <v/>
      </c>
      <c r="J482" s="16">
        <f>IF($W482="","",IFERROR(INDEX(FormData,$W482,f_Trade)&amp;"",""))</f>
        <v/>
      </c>
      <c r="K482" s="16" t="n"/>
      <c r="L482" s="17" t="n"/>
      <c r="M482" s="16" t="n"/>
      <c r="N482" s="17" t="n"/>
      <c r="O482" s="14" t="n"/>
      <c r="P482" s="14" t="n"/>
      <c r="Q482" s="18" t="n"/>
      <c r="R482" s="18" t="n"/>
      <c r="S482" s="13">
        <f>IF($P482&lt;&gt;"✓","",IF($R482&lt;&gt;"","Done",IF($Q482="","Open — no date",IF($Q482&lt;TODAY(),"Overdue",IF($Q482-TODAY()&lt;=DueSoon,"Due soon","Scheduled")))))</f>
        <v/>
      </c>
      <c r="T482" s="14">
        <f>IF($W482="","",IFERROR(IF(INDEX(FormData,$W482,f_Consent)&amp;""="","",IF(ISNUMBER(SEARCH("yes",INDEX(FormData,$W482,f_Consent))),"Yes","No")),""))</f>
        <v/>
      </c>
      <c r="U482" s="14" t="n"/>
      <c r="V482" s="13">
        <f>IF($U482="","",IF($W482="","not found","✓"))</f>
        <v/>
      </c>
      <c r="W482">
        <f>IF($U482="","",IFERROR(MATCH($U482,INDEX(FormData,0,f_Id),0),IFERROR(MATCH(--$U482,INDEX(FormData,0,f_Id),0),IFERROR(MATCH($U482&amp;"",INDEX(FormData,0,f_Id),0),""))))</f>
        <v/>
      </c>
      <c r="X482">
        <f>IF(AND($B482&lt;&gt;"",$B482='Event Report'!$C$3),ROW(),"")</f>
        <v/>
      </c>
      <c r="Y482">
        <f>IF(AND($P482="✓",$R482=""),IF($Q482="",90000,$Q482)+ROW()/100000,"")</f>
        <v/>
      </c>
      <c r="Z482">
        <f>IF(OR($U482&lt;&gt;"",$D482&lt;&gt;"",$E482&lt;&gt;"",$N482&lt;&gt;""),1,"")</f>
        <v/>
      </c>
    </row>
    <row r="483">
      <c r="A483" s="13" t="inlineStr">
        <is>
          <t>P-0479</t>
        </is>
      </c>
      <c r="B483" s="14">
        <f>IF(AND($U483="",$C483=""),"",IFERROR(INDEX(EvID,MATCH(INDEX(FormData,$W483,f_Event),EvID,0)),IFERROR(INDEX(EvID,MATCH(INDEX(FormData,$W483,f_Event),EvName,0)),IFERROR(INDEX(EvID,MATCH(INT($C483),EvDate,0)),""))))</f>
        <v/>
      </c>
      <c r="C483" s="15">
        <f>IF($W483="","",INDEX(FormData,$W483,f_Time))</f>
        <v/>
      </c>
      <c r="D483" s="14">
        <f>IF($W483="","",IFERROR(UPPER(LEFT(TRIM(INDEX(FormData,$W483,f_Name)),1)&amp;IFERROR(MID(TRIM(INDEX(FormData,$W483,f_Name)),FIND("^",SUBSTITUTE(TRIM(INDEX(FormData,$W483,f_Name))," ","^",LEN(TRIM(INDEX(FormData,$W483,f_Name)))-LEN(SUBSTITUTE(TRIM(INDEX(FormData,$W483,f_Name))," ",""))))+1,1),"")),""))</f>
        <v/>
      </c>
      <c r="E483" s="16">
        <f>IF($W483="","",IFERROR(IF(SUMPRODUCT(MAX((WhoKW&lt;&gt;"")*ISNUMBER(SEARCH(WhoKW,INDEX(FormData,$W483,f_Who)&amp;""))*(ROW(WhoKW)-MIN(ROW(WhoKW))+1)))=0,"",INDEX(WhoVal,SUMPRODUCT(MAX((WhoKW&lt;&gt;"")*ISNUMBER(SEARCH(WhoKW,INDEX(FormData,$W483,f_Who)&amp;""))*(ROW(WhoKW)-MIN(ROW(WhoKW))+1))))),""))</f>
        <v/>
      </c>
      <c r="F483" s="17">
        <f>IF($W483="","",TRIM(IFERROR(INDEX(FormData,$W483,f_Org1)&amp;"","")&amp;" "&amp;IFERROR(INDEX(FormData,$W483,f_Org2)&amp;"","")))</f>
        <v/>
      </c>
      <c r="G483" s="16">
        <f>IF($W483="","",IFERROR(INDEX(FormData,$W483,f_Region)&amp;"",""))</f>
        <v/>
      </c>
      <c r="H483" s="16">
        <f>IF($W483="","",IFERROR(IF(SUMPRODUCT(MAX((SitKW&lt;&gt;"")*ISNUMBER(SEARCH(SitKW,INDEX(FormData,$W483,f_Sit)&amp;""))*(ROW(SitKW)-MIN(ROW(SitKW))+1)))=0,"",INDEX(SitVal,SUMPRODUCT(MAX((SitKW&lt;&gt;"")*ISNUMBER(SEARCH(SitKW,INDEX(FormData,$W483,f_Sit)&amp;""))*(ROW(SitKW)-MIN(ROW(SitKW))+1))))),""))</f>
        <v/>
      </c>
      <c r="I483" s="14">
        <f>IF($W483="","",IFERROR(INDEX(FormData,$W483,f_Appr)&amp;"",""))</f>
        <v/>
      </c>
      <c r="J483" s="16">
        <f>IF($W483="","",IFERROR(INDEX(FormData,$W483,f_Trade)&amp;"",""))</f>
        <v/>
      </c>
      <c r="K483" s="16" t="n"/>
      <c r="L483" s="17" t="n"/>
      <c r="M483" s="16" t="n"/>
      <c r="N483" s="17" t="n"/>
      <c r="O483" s="14" t="n"/>
      <c r="P483" s="14" t="n"/>
      <c r="Q483" s="18" t="n"/>
      <c r="R483" s="18" t="n"/>
      <c r="S483" s="13">
        <f>IF($P483&lt;&gt;"✓","",IF($R483&lt;&gt;"","Done",IF($Q483="","Open — no date",IF($Q483&lt;TODAY(),"Overdue",IF($Q483-TODAY()&lt;=DueSoon,"Due soon","Scheduled")))))</f>
        <v/>
      </c>
      <c r="T483" s="14">
        <f>IF($W483="","",IFERROR(IF(INDEX(FormData,$W483,f_Consent)&amp;""="","",IF(ISNUMBER(SEARCH("yes",INDEX(FormData,$W483,f_Consent))),"Yes","No")),""))</f>
        <v/>
      </c>
      <c r="U483" s="14" t="n"/>
      <c r="V483" s="13">
        <f>IF($U483="","",IF($W483="","not found","✓"))</f>
        <v/>
      </c>
      <c r="W483">
        <f>IF($U483="","",IFERROR(MATCH($U483,INDEX(FormData,0,f_Id),0),IFERROR(MATCH(--$U483,INDEX(FormData,0,f_Id),0),IFERROR(MATCH($U483&amp;"",INDEX(FormData,0,f_Id),0),""))))</f>
        <v/>
      </c>
      <c r="X483">
        <f>IF(AND($B483&lt;&gt;"",$B483='Event Report'!$C$3),ROW(),"")</f>
        <v/>
      </c>
      <c r="Y483">
        <f>IF(AND($P483="✓",$R483=""),IF($Q483="",90000,$Q483)+ROW()/100000,"")</f>
        <v/>
      </c>
      <c r="Z483">
        <f>IF(OR($U483&lt;&gt;"",$D483&lt;&gt;"",$E483&lt;&gt;"",$N483&lt;&gt;""),1,"")</f>
        <v/>
      </c>
    </row>
    <row r="484">
      <c r="A484" s="13" t="inlineStr">
        <is>
          <t>P-0480</t>
        </is>
      </c>
      <c r="B484" s="14">
        <f>IF(AND($U484="",$C484=""),"",IFERROR(INDEX(EvID,MATCH(INDEX(FormData,$W484,f_Event),EvID,0)),IFERROR(INDEX(EvID,MATCH(INDEX(FormData,$W484,f_Event),EvName,0)),IFERROR(INDEX(EvID,MATCH(INT($C484),EvDate,0)),""))))</f>
        <v/>
      </c>
      <c r="C484" s="15">
        <f>IF($W484="","",INDEX(FormData,$W484,f_Time))</f>
        <v/>
      </c>
      <c r="D484" s="14">
        <f>IF($W484="","",IFERROR(UPPER(LEFT(TRIM(INDEX(FormData,$W484,f_Name)),1)&amp;IFERROR(MID(TRIM(INDEX(FormData,$W484,f_Name)),FIND("^",SUBSTITUTE(TRIM(INDEX(FormData,$W484,f_Name))," ","^",LEN(TRIM(INDEX(FormData,$W484,f_Name)))-LEN(SUBSTITUTE(TRIM(INDEX(FormData,$W484,f_Name))," ",""))))+1,1),"")),""))</f>
        <v/>
      </c>
      <c r="E484" s="16">
        <f>IF($W484="","",IFERROR(IF(SUMPRODUCT(MAX((WhoKW&lt;&gt;"")*ISNUMBER(SEARCH(WhoKW,INDEX(FormData,$W484,f_Who)&amp;""))*(ROW(WhoKW)-MIN(ROW(WhoKW))+1)))=0,"",INDEX(WhoVal,SUMPRODUCT(MAX((WhoKW&lt;&gt;"")*ISNUMBER(SEARCH(WhoKW,INDEX(FormData,$W484,f_Who)&amp;""))*(ROW(WhoKW)-MIN(ROW(WhoKW))+1))))),""))</f>
        <v/>
      </c>
      <c r="F484" s="17">
        <f>IF($W484="","",TRIM(IFERROR(INDEX(FormData,$W484,f_Org1)&amp;"","")&amp;" "&amp;IFERROR(INDEX(FormData,$W484,f_Org2)&amp;"","")))</f>
        <v/>
      </c>
      <c r="G484" s="16">
        <f>IF($W484="","",IFERROR(INDEX(FormData,$W484,f_Region)&amp;"",""))</f>
        <v/>
      </c>
      <c r="H484" s="16">
        <f>IF($W484="","",IFERROR(IF(SUMPRODUCT(MAX((SitKW&lt;&gt;"")*ISNUMBER(SEARCH(SitKW,INDEX(FormData,$W484,f_Sit)&amp;""))*(ROW(SitKW)-MIN(ROW(SitKW))+1)))=0,"",INDEX(SitVal,SUMPRODUCT(MAX((SitKW&lt;&gt;"")*ISNUMBER(SEARCH(SitKW,INDEX(FormData,$W484,f_Sit)&amp;""))*(ROW(SitKW)-MIN(ROW(SitKW))+1))))),""))</f>
        <v/>
      </c>
      <c r="I484" s="14">
        <f>IF($W484="","",IFERROR(INDEX(FormData,$W484,f_Appr)&amp;"",""))</f>
        <v/>
      </c>
      <c r="J484" s="16">
        <f>IF($W484="","",IFERROR(INDEX(FormData,$W484,f_Trade)&amp;"",""))</f>
        <v/>
      </c>
      <c r="K484" s="16" t="n"/>
      <c r="L484" s="17" t="n"/>
      <c r="M484" s="16" t="n"/>
      <c r="N484" s="17" t="n"/>
      <c r="O484" s="14" t="n"/>
      <c r="P484" s="14" t="n"/>
      <c r="Q484" s="18" t="n"/>
      <c r="R484" s="18" t="n"/>
      <c r="S484" s="13">
        <f>IF($P484&lt;&gt;"✓","",IF($R484&lt;&gt;"","Done",IF($Q484="","Open — no date",IF($Q484&lt;TODAY(),"Overdue",IF($Q484-TODAY()&lt;=DueSoon,"Due soon","Scheduled")))))</f>
        <v/>
      </c>
      <c r="T484" s="14">
        <f>IF($W484="","",IFERROR(IF(INDEX(FormData,$W484,f_Consent)&amp;""="","",IF(ISNUMBER(SEARCH("yes",INDEX(FormData,$W484,f_Consent))),"Yes","No")),""))</f>
        <v/>
      </c>
      <c r="U484" s="14" t="n"/>
      <c r="V484" s="13">
        <f>IF($U484="","",IF($W484="","not found","✓"))</f>
        <v/>
      </c>
      <c r="W484">
        <f>IF($U484="","",IFERROR(MATCH($U484,INDEX(FormData,0,f_Id),0),IFERROR(MATCH(--$U484,INDEX(FormData,0,f_Id),0),IFERROR(MATCH($U484&amp;"",INDEX(FormData,0,f_Id),0),""))))</f>
        <v/>
      </c>
      <c r="X484">
        <f>IF(AND($B484&lt;&gt;"",$B484='Event Report'!$C$3),ROW(),"")</f>
        <v/>
      </c>
      <c r="Y484">
        <f>IF(AND($P484="✓",$R484=""),IF($Q484="",90000,$Q484)+ROW()/100000,"")</f>
        <v/>
      </c>
      <c r="Z484">
        <f>IF(OR($U484&lt;&gt;"",$D484&lt;&gt;"",$E484&lt;&gt;"",$N484&lt;&gt;""),1,"")</f>
        <v/>
      </c>
    </row>
    <row r="485">
      <c r="A485" s="13" t="inlineStr">
        <is>
          <t>P-0481</t>
        </is>
      </c>
      <c r="B485" s="14">
        <f>IF(AND($U485="",$C485=""),"",IFERROR(INDEX(EvID,MATCH(INDEX(FormData,$W485,f_Event),EvID,0)),IFERROR(INDEX(EvID,MATCH(INDEX(FormData,$W485,f_Event),EvName,0)),IFERROR(INDEX(EvID,MATCH(INT($C485),EvDate,0)),""))))</f>
        <v/>
      </c>
      <c r="C485" s="15">
        <f>IF($W485="","",INDEX(FormData,$W485,f_Time))</f>
        <v/>
      </c>
      <c r="D485" s="14">
        <f>IF($W485="","",IFERROR(UPPER(LEFT(TRIM(INDEX(FormData,$W485,f_Name)),1)&amp;IFERROR(MID(TRIM(INDEX(FormData,$W485,f_Name)),FIND("^",SUBSTITUTE(TRIM(INDEX(FormData,$W485,f_Name))," ","^",LEN(TRIM(INDEX(FormData,$W485,f_Name)))-LEN(SUBSTITUTE(TRIM(INDEX(FormData,$W485,f_Name))," ",""))))+1,1),"")),""))</f>
        <v/>
      </c>
      <c r="E485" s="16">
        <f>IF($W485="","",IFERROR(IF(SUMPRODUCT(MAX((WhoKW&lt;&gt;"")*ISNUMBER(SEARCH(WhoKW,INDEX(FormData,$W485,f_Who)&amp;""))*(ROW(WhoKW)-MIN(ROW(WhoKW))+1)))=0,"",INDEX(WhoVal,SUMPRODUCT(MAX((WhoKW&lt;&gt;"")*ISNUMBER(SEARCH(WhoKW,INDEX(FormData,$W485,f_Who)&amp;""))*(ROW(WhoKW)-MIN(ROW(WhoKW))+1))))),""))</f>
        <v/>
      </c>
      <c r="F485" s="17">
        <f>IF($W485="","",TRIM(IFERROR(INDEX(FormData,$W485,f_Org1)&amp;"","")&amp;" "&amp;IFERROR(INDEX(FormData,$W485,f_Org2)&amp;"","")))</f>
        <v/>
      </c>
      <c r="G485" s="16">
        <f>IF($W485="","",IFERROR(INDEX(FormData,$W485,f_Region)&amp;"",""))</f>
        <v/>
      </c>
      <c r="H485" s="16">
        <f>IF($W485="","",IFERROR(IF(SUMPRODUCT(MAX((SitKW&lt;&gt;"")*ISNUMBER(SEARCH(SitKW,INDEX(FormData,$W485,f_Sit)&amp;""))*(ROW(SitKW)-MIN(ROW(SitKW))+1)))=0,"",INDEX(SitVal,SUMPRODUCT(MAX((SitKW&lt;&gt;"")*ISNUMBER(SEARCH(SitKW,INDEX(FormData,$W485,f_Sit)&amp;""))*(ROW(SitKW)-MIN(ROW(SitKW))+1))))),""))</f>
        <v/>
      </c>
      <c r="I485" s="14">
        <f>IF($W485="","",IFERROR(INDEX(FormData,$W485,f_Appr)&amp;"",""))</f>
        <v/>
      </c>
      <c r="J485" s="16">
        <f>IF($W485="","",IFERROR(INDEX(FormData,$W485,f_Trade)&amp;"",""))</f>
        <v/>
      </c>
      <c r="K485" s="16" t="n"/>
      <c r="L485" s="17" t="n"/>
      <c r="M485" s="16" t="n"/>
      <c r="N485" s="17" t="n"/>
      <c r="O485" s="14" t="n"/>
      <c r="P485" s="14" t="n"/>
      <c r="Q485" s="18" t="n"/>
      <c r="R485" s="18" t="n"/>
      <c r="S485" s="13">
        <f>IF($P485&lt;&gt;"✓","",IF($R485&lt;&gt;"","Done",IF($Q485="","Open — no date",IF($Q485&lt;TODAY(),"Overdue",IF($Q485-TODAY()&lt;=DueSoon,"Due soon","Scheduled")))))</f>
        <v/>
      </c>
      <c r="T485" s="14">
        <f>IF($W485="","",IFERROR(IF(INDEX(FormData,$W485,f_Consent)&amp;""="","",IF(ISNUMBER(SEARCH("yes",INDEX(FormData,$W485,f_Consent))),"Yes","No")),""))</f>
        <v/>
      </c>
      <c r="U485" s="14" t="n"/>
      <c r="V485" s="13">
        <f>IF($U485="","",IF($W485="","not found","✓"))</f>
        <v/>
      </c>
      <c r="W485">
        <f>IF($U485="","",IFERROR(MATCH($U485,INDEX(FormData,0,f_Id),0),IFERROR(MATCH(--$U485,INDEX(FormData,0,f_Id),0),IFERROR(MATCH($U485&amp;"",INDEX(FormData,0,f_Id),0),""))))</f>
        <v/>
      </c>
      <c r="X485">
        <f>IF(AND($B485&lt;&gt;"",$B485='Event Report'!$C$3),ROW(),"")</f>
        <v/>
      </c>
      <c r="Y485">
        <f>IF(AND($P485="✓",$R485=""),IF($Q485="",90000,$Q485)+ROW()/100000,"")</f>
        <v/>
      </c>
      <c r="Z485">
        <f>IF(OR($U485&lt;&gt;"",$D485&lt;&gt;"",$E485&lt;&gt;"",$N485&lt;&gt;""),1,"")</f>
        <v/>
      </c>
    </row>
    <row r="486">
      <c r="A486" s="13" t="inlineStr">
        <is>
          <t>P-0482</t>
        </is>
      </c>
      <c r="B486" s="14">
        <f>IF(AND($U486="",$C486=""),"",IFERROR(INDEX(EvID,MATCH(INDEX(FormData,$W486,f_Event),EvID,0)),IFERROR(INDEX(EvID,MATCH(INDEX(FormData,$W486,f_Event),EvName,0)),IFERROR(INDEX(EvID,MATCH(INT($C486),EvDate,0)),""))))</f>
        <v/>
      </c>
      <c r="C486" s="15">
        <f>IF($W486="","",INDEX(FormData,$W486,f_Time))</f>
        <v/>
      </c>
      <c r="D486" s="14">
        <f>IF($W486="","",IFERROR(UPPER(LEFT(TRIM(INDEX(FormData,$W486,f_Name)),1)&amp;IFERROR(MID(TRIM(INDEX(FormData,$W486,f_Name)),FIND("^",SUBSTITUTE(TRIM(INDEX(FormData,$W486,f_Name))," ","^",LEN(TRIM(INDEX(FormData,$W486,f_Name)))-LEN(SUBSTITUTE(TRIM(INDEX(FormData,$W486,f_Name))," ",""))))+1,1),"")),""))</f>
        <v/>
      </c>
      <c r="E486" s="16">
        <f>IF($W486="","",IFERROR(IF(SUMPRODUCT(MAX((WhoKW&lt;&gt;"")*ISNUMBER(SEARCH(WhoKW,INDEX(FormData,$W486,f_Who)&amp;""))*(ROW(WhoKW)-MIN(ROW(WhoKW))+1)))=0,"",INDEX(WhoVal,SUMPRODUCT(MAX((WhoKW&lt;&gt;"")*ISNUMBER(SEARCH(WhoKW,INDEX(FormData,$W486,f_Who)&amp;""))*(ROW(WhoKW)-MIN(ROW(WhoKW))+1))))),""))</f>
        <v/>
      </c>
      <c r="F486" s="17">
        <f>IF($W486="","",TRIM(IFERROR(INDEX(FormData,$W486,f_Org1)&amp;"","")&amp;" "&amp;IFERROR(INDEX(FormData,$W486,f_Org2)&amp;"","")))</f>
        <v/>
      </c>
      <c r="G486" s="16">
        <f>IF($W486="","",IFERROR(INDEX(FormData,$W486,f_Region)&amp;"",""))</f>
        <v/>
      </c>
      <c r="H486" s="16">
        <f>IF($W486="","",IFERROR(IF(SUMPRODUCT(MAX((SitKW&lt;&gt;"")*ISNUMBER(SEARCH(SitKW,INDEX(FormData,$W486,f_Sit)&amp;""))*(ROW(SitKW)-MIN(ROW(SitKW))+1)))=0,"",INDEX(SitVal,SUMPRODUCT(MAX((SitKW&lt;&gt;"")*ISNUMBER(SEARCH(SitKW,INDEX(FormData,$W486,f_Sit)&amp;""))*(ROW(SitKW)-MIN(ROW(SitKW))+1))))),""))</f>
        <v/>
      </c>
      <c r="I486" s="14">
        <f>IF($W486="","",IFERROR(INDEX(FormData,$W486,f_Appr)&amp;"",""))</f>
        <v/>
      </c>
      <c r="J486" s="16">
        <f>IF($W486="","",IFERROR(INDEX(FormData,$W486,f_Trade)&amp;"",""))</f>
        <v/>
      </c>
      <c r="K486" s="16" t="n"/>
      <c r="L486" s="17" t="n"/>
      <c r="M486" s="16" t="n"/>
      <c r="N486" s="17" t="n"/>
      <c r="O486" s="14" t="n"/>
      <c r="P486" s="14" t="n"/>
      <c r="Q486" s="18" t="n"/>
      <c r="R486" s="18" t="n"/>
      <c r="S486" s="13">
        <f>IF($P486&lt;&gt;"✓","",IF($R486&lt;&gt;"","Done",IF($Q486="","Open — no date",IF($Q486&lt;TODAY(),"Overdue",IF($Q486-TODAY()&lt;=DueSoon,"Due soon","Scheduled")))))</f>
        <v/>
      </c>
      <c r="T486" s="14">
        <f>IF($W486="","",IFERROR(IF(INDEX(FormData,$W486,f_Consent)&amp;""="","",IF(ISNUMBER(SEARCH("yes",INDEX(FormData,$W486,f_Consent))),"Yes","No")),""))</f>
        <v/>
      </c>
      <c r="U486" s="14" t="n"/>
      <c r="V486" s="13">
        <f>IF($U486="","",IF($W486="","not found","✓"))</f>
        <v/>
      </c>
      <c r="W486">
        <f>IF($U486="","",IFERROR(MATCH($U486,INDEX(FormData,0,f_Id),0),IFERROR(MATCH(--$U486,INDEX(FormData,0,f_Id),0),IFERROR(MATCH($U486&amp;"",INDEX(FormData,0,f_Id),0),""))))</f>
        <v/>
      </c>
      <c r="X486">
        <f>IF(AND($B486&lt;&gt;"",$B486='Event Report'!$C$3),ROW(),"")</f>
        <v/>
      </c>
      <c r="Y486">
        <f>IF(AND($P486="✓",$R486=""),IF($Q486="",90000,$Q486)+ROW()/100000,"")</f>
        <v/>
      </c>
      <c r="Z486">
        <f>IF(OR($U486&lt;&gt;"",$D486&lt;&gt;"",$E486&lt;&gt;"",$N486&lt;&gt;""),1,"")</f>
        <v/>
      </c>
    </row>
    <row r="487">
      <c r="A487" s="13" t="inlineStr">
        <is>
          <t>P-0483</t>
        </is>
      </c>
      <c r="B487" s="14">
        <f>IF(AND($U487="",$C487=""),"",IFERROR(INDEX(EvID,MATCH(INDEX(FormData,$W487,f_Event),EvID,0)),IFERROR(INDEX(EvID,MATCH(INDEX(FormData,$W487,f_Event),EvName,0)),IFERROR(INDEX(EvID,MATCH(INT($C487),EvDate,0)),""))))</f>
        <v/>
      </c>
      <c r="C487" s="15">
        <f>IF($W487="","",INDEX(FormData,$W487,f_Time))</f>
        <v/>
      </c>
      <c r="D487" s="14">
        <f>IF($W487="","",IFERROR(UPPER(LEFT(TRIM(INDEX(FormData,$W487,f_Name)),1)&amp;IFERROR(MID(TRIM(INDEX(FormData,$W487,f_Name)),FIND("^",SUBSTITUTE(TRIM(INDEX(FormData,$W487,f_Name))," ","^",LEN(TRIM(INDEX(FormData,$W487,f_Name)))-LEN(SUBSTITUTE(TRIM(INDEX(FormData,$W487,f_Name))," ",""))))+1,1),"")),""))</f>
        <v/>
      </c>
      <c r="E487" s="16">
        <f>IF($W487="","",IFERROR(IF(SUMPRODUCT(MAX((WhoKW&lt;&gt;"")*ISNUMBER(SEARCH(WhoKW,INDEX(FormData,$W487,f_Who)&amp;""))*(ROW(WhoKW)-MIN(ROW(WhoKW))+1)))=0,"",INDEX(WhoVal,SUMPRODUCT(MAX((WhoKW&lt;&gt;"")*ISNUMBER(SEARCH(WhoKW,INDEX(FormData,$W487,f_Who)&amp;""))*(ROW(WhoKW)-MIN(ROW(WhoKW))+1))))),""))</f>
        <v/>
      </c>
      <c r="F487" s="17">
        <f>IF($W487="","",TRIM(IFERROR(INDEX(FormData,$W487,f_Org1)&amp;"","")&amp;" "&amp;IFERROR(INDEX(FormData,$W487,f_Org2)&amp;"","")))</f>
        <v/>
      </c>
      <c r="G487" s="16">
        <f>IF($W487="","",IFERROR(INDEX(FormData,$W487,f_Region)&amp;"",""))</f>
        <v/>
      </c>
      <c r="H487" s="16">
        <f>IF($W487="","",IFERROR(IF(SUMPRODUCT(MAX((SitKW&lt;&gt;"")*ISNUMBER(SEARCH(SitKW,INDEX(FormData,$W487,f_Sit)&amp;""))*(ROW(SitKW)-MIN(ROW(SitKW))+1)))=0,"",INDEX(SitVal,SUMPRODUCT(MAX((SitKW&lt;&gt;"")*ISNUMBER(SEARCH(SitKW,INDEX(FormData,$W487,f_Sit)&amp;""))*(ROW(SitKW)-MIN(ROW(SitKW))+1))))),""))</f>
        <v/>
      </c>
      <c r="I487" s="14">
        <f>IF($W487="","",IFERROR(INDEX(FormData,$W487,f_Appr)&amp;"",""))</f>
        <v/>
      </c>
      <c r="J487" s="16">
        <f>IF($W487="","",IFERROR(INDEX(FormData,$W487,f_Trade)&amp;"",""))</f>
        <v/>
      </c>
      <c r="K487" s="16" t="n"/>
      <c r="L487" s="17" t="n"/>
      <c r="M487" s="16" t="n"/>
      <c r="N487" s="17" t="n"/>
      <c r="O487" s="14" t="n"/>
      <c r="P487" s="14" t="n"/>
      <c r="Q487" s="18" t="n"/>
      <c r="R487" s="18" t="n"/>
      <c r="S487" s="13">
        <f>IF($P487&lt;&gt;"✓","",IF($R487&lt;&gt;"","Done",IF($Q487="","Open — no date",IF($Q487&lt;TODAY(),"Overdue",IF($Q487-TODAY()&lt;=DueSoon,"Due soon","Scheduled")))))</f>
        <v/>
      </c>
      <c r="T487" s="14">
        <f>IF($W487="","",IFERROR(IF(INDEX(FormData,$W487,f_Consent)&amp;""="","",IF(ISNUMBER(SEARCH("yes",INDEX(FormData,$W487,f_Consent))),"Yes","No")),""))</f>
        <v/>
      </c>
      <c r="U487" s="14" t="n"/>
      <c r="V487" s="13">
        <f>IF($U487="","",IF($W487="","not found","✓"))</f>
        <v/>
      </c>
      <c r="W487">
        <f>IF($U487="","",IFERROR(MATCH($U487,INDEX(FormData,0,f_Id),0),IFERROR(MATCH(--$U487,INDEX(FormData,0,f_Id),0),IFERROR(MATCH($U487&amp;"",INDEX(FormData,0,f_Id),0),""))))</f>
        <v/>
      </c>
      <c r="X487">
        <f>IF(AND($B487&lt;&gt;"",$B487='Event Report'!$C$3),ROW(),"")</f>
        <v/>
      </c>
      <c r="Y487">
        <f>IF(AND($P487="✓",$R487=""),IF($Q487="",90000,$Q487)+ROW()/100000,"")</f>
        <v/>
      </c>
      <c r="Z487">
        <f>IF(OR($U487&lt;&gt;"",$D487&lt;&gt;"",$E487&lt;&gt;"",$N487&lt;&gt;""),1,"")</f>
        <v/>
      </c>
    </row>
    <row r="488">
      <c r="A488" s="13" t="inlineStr">
        <is>
          <t>P-0484</t>
        </is>
      </c>
      <c r="B488" s="14">
        <f>IF(AND($U488="",$C488=""),"",IFERROR(INDEX(EvID,MATCH(INDEX(FormData,$W488,f_Event),EvID,0)),IFERROR(INDEX(EvID,MATCH(INDEX(FormData,$W488,f_Event),EvName,0)),IFERROR(INDEX(EvID,MATCH(INT($C488),EvDate,0)),""))))</f>
        <v/>
      </c>
      <c r="C488" s="15">
        <f>IF($W488="","",INDEX(FormData,$W488,f_Time))</f>
        <v/>
      </c>
      <c r="D488" s="14">
        <f>IF($W488="","",IFERROR(UPPER(LEFT(TRIM(INDEX(FormData,$W488,f_Name)),1)&amp;IFERROR(MID(TRIM(INDEX(FormData,$W488,f_Name)),FIND("^",SUBSTITUTE(TRIM(INDEX(FormData,$W488,f_Name))," ","^",LEN(TRIM(INDEX(FormData,$W488,f_Name)))-LEN(SUBSTITUTE(TRIM(INDEX(FormData,$W488,f_Name))," ",""))))+1,1),"")),""))</f>
        <v/>
      </c>
      <c r="E488" s="16">
        <f>IF($W488="","",IFERROR(IF(SUMPRODUCT(MAX((WhoKW&lt;&gt;"")*ISNUMBER(SEARCH(WhoKW,INDEX(FormData,$W488,f_Who)&amp;""))*(ROW(WhoKW)-MIN(ROW(WhoKW))+1)))=0,"",INDEX(WhoVal,SUMPRODUCT(MAX((WhoKW&lt;&gt;"")*ISNUMBER(SEARCH(WhoKW,INDEX(FormData,$W488,f_Who)&amp;""))*(ROW(WhoKW)-MIN(ROW(WhoKW))+1))))),""))</f>
        <v/>
      </c>
      <c r="F488" s="17">
        <f>IF($W488="","",TRIM(IFERROR(INDEX(FormData,$W488,f_Org1)&amp;"","")&amp;" "&amp;IFERROR(INDEX(FormData,$W488,f_Org2)&amp;"","")))</f>
        <v/>
      </c>
      <c r="G488" s="16">
        <f>IF($W488="","",IFERROR(INDEX(FormData,$W488,f_Region)&amp;"",""))</f>
        <v/>
      </c>
      <c r="H488" s="16">
        <f>IF($W488="","",IFERROR(IF(SUMPRODUCT(MAX((SitKW&lt;&gt;"")*ISNUMBER(SEARCH(SitKW,INDEX(FormData,$W488,f_Sit)&amp;""))*(ROW(SitKW)-MIN(ROW(SitKW))+1)))=0,"",INDEX(SitVal,SUMPRODUCT(MAX((SitKW&lt;&gt;"")*ISNUMBER(SEARCH(SitKW,INDEX(FormData,$W488,f_Sit)&amp;""))*(ROW(SitKW)-MIN(ROW(SitKW))+1))))),""))</f>
        <v/>
      </c>
      <c r="I488" s="14">
        <f>IF($W488="","",IFERROR(INDEX(FormData,$W488,f_Appr)&amp;"",""))</f>
        <v/>
      </c>
      <c r="J488" s="16">
        <f>IF($W488="","",IFERROR(INDEX(FormData,$W488,f_Trade)&amp;"",""))</f>
        <v/>
      </c>
      <c r="K488" s="16" t="n"/>
      <c r="L488" s="17" t="n"/>
      <c r="M488" s="16" t="n"/>
      <c r="N488" s="17" t="n"/>
      <c r="O488" s="14" t="n"/>
      <c r="P488" s="14" t="n"/>
      <c r="Q488" s="18" t="n"/>
      <c r="R488" s="18" t="n"/>
      <c r="S488" s="13">
        <f>IF($P488&lt;&gt;"✓","",IF($R488&lt;&gt;"","Done",IF($Q488="","Open — no date",IF($Q488&lt;TODAY(),"Overdue",IF($Q488-TODAY()&lt;=DueSoon,"Due soon","Scheduled")))))</f>
        <v/>
      </c>
      <c r="T488" s="14">
        <f>IF($W488="","",IFERROR(IF(INDEX(FormData,$W488,f_Consent)&amp;""="","",IF(ISNUMBER(SEARCH("yes",INDEX(FormData,$W488,f_Consent))),"Yes","No")),""))</f>
        <v/>
      </c>
      <c r="U488" s="14" t="n"/>
      <c r="V488" s="13">
        <f>IF($U488="","",IF($W488="","not found","✓"))</f>
        <v/>
      </c>
      <c r="W488">
        <f>IF($U488="","",IFERROR(MATCH($U488,INDEX(FormData,0,f_Id),0),IFERROR(MATCH(--$U488,INDEX(FormData,0,f_Id),0),IFERROR(MATCH($U488&amp;"",INDEX(FormData,0,f_Id),0),""))))</f>
        <v/>
      </c>
      <c r="X488">
        <f>IF(AND($B488&lt;&gt;"",$B488='Event Report'!$C$3),ROW(),"")</f>
        <v/>
      </c>
      <c r="Y488">
        <f>IF(AND($P488="✓",$R488=""),IF($Q488="",90000,$Q488)+ROW()/100000,"")</f>
        <v/>
      </c>
      <c r="Z488">
        <f>IF(OR($U488&lt;&gt;"",$D488&lt;&gt;"",$E488&lt;&gt;"",$N488&lt;&gt;""),1,"")</f>
        <v/>
      </c>
    </row>
    <row r="489">
      <c r="A489" s="13" t="inlineStr">
        <is>
          <t>P-0485</t>
        </is>
      </c>
      <c r="B489" s="14">
        <f>IF(AND($U489="",$C489=""),"",IFERROR(INDEX(EvID,MATCH(INDEX(FormData,$W489,f_Event),EvID,0)),IFERROR(INDEX(EvID,MATCH(INDEX(FormData,$W489,f_Event),EvName,0)),IFERROR(INDEX(EvID,MATCH(INT($C489),EvDate,0)),""))))</f>
        <v/>
      </c>
      <c r="C489" s="15">
        <f>IF($W489="","",INDEX(FormData,$W489,f_Time))</f>
        <v/>
      </c>
      <c r="D489" s="14">
        <f>IF($W489="","",IFERROR(UPPER(LEFT(TRIM(INDEX(FormData,$W489,f_Name)),1)&amp;IFERROR(MID(TRIM(INDEX(FormData,$W489,f_Name)),FIND("^",SUBSTITUTE(TRIM(INDEX(FormData,$W489,f_Name))," ","^",LEN(TRIM(INDEX(FormData,$W489,f_Name)))-LEN(SUBSTITUTE(TRIM(INDEX(FormData,$W489,f_Name))," ",""))))+1,1),"")),""))</f>
        <v/>
      </c>
      <c r="E489" s="16">
        <f>IF($W489="","",IFERROR(IF(SUMPRODUCT(MAX((WhoKW&lt;&gt;"")*ISNUMBER(SEARCH(WhoKW,INDEX(FormData,$W489,f_Who)&amp;""))*(ROW(WhoKW)-MIN(ROW(WhoKW))+1)))=0,"",INDEX(WhoVal,SUMPRODUCT(MAX((WhoKW&lt;&gt;"")*ISNUMBER(SEARCH(WhoKW,INDEX(FormData,$W489,f_Who)&amp;""))*(ROW(WhoKW)-MIN(ROW(WhoKW))+1))))),""))</f>
        <v/>
      </c>
      <c r="F489" s="17">
        <f>IF($W489="","",TRIM(IFERROR(INDEX(FormData,$W489,f_Org1)&amp;"","")&amp;" "&amp;IFERROR(INDEX(FormData,$W489,f_Org2)&amp;"","")))</f>
        <v/>
      </c>
      <c r="G489" s="16">
        <f>IF($W489="","",IFERROR(INDEX(FormData,$W489,f_Region)&amp;"",""))</f>
        <v/>
      </c>
      <c r="H489" s="16">
        <f>IF($W489="","",IFERROR(IF(SUMPRODUCT(MAX((SitKW&lt;&gt;"")*ISNUMBER(SEARCH(SitKW,INDEX(FormData,$W489,f_Sit)&amp;""))*(ROW(SitKW)-MIN(ROW(SitKW))+1)))=0,"",INDEX(SitVal,SUMPRODUCT(MAX((SitKW&lt;&gt;"")*ISNUMBER(SEARCH(SitKW,INDEX(FormData,$W489,f_Sit)&amp;""))*(ROW(SitKW)-MIN(ROW(SitKW))+1))))),""))</f>
        <v/>
      </c>
      <c r="I489" s="14">
        <f>IF($W489="","",IFERROR(INDEX(FormData,$W489,f_Appr)&amp;"",""))</f>
        <v/>
      </c>
      <c r="J489" s="16">
        <f>IF($W489="","",IFERROR(INDEX(FormData,$W489,f_Trade)&amp;"",""))</f>
        <v/>
      </c>
      <c r="K489" s="16" t="n"/>
      <c r="L489" s="17" t="n"/>
      <c r="M489" s="16" t="n"/>
      <c r="N489" s="17" t="n"/>
      <c r="O489" s="14" t="n"/>
      <c r="P489" s="14" t="n"/>
      <c r="Q489" s="18" t="n"/>
      <c r="R489" s="18" t="n"/>
      <c r="S489" s="13">
        <f>IF($P489&lt;&gt;"✓","",IF($R489&lt;&gt;"","Done",IF($Q489="","Open — no date",IF($Q489&lt;TODAY(),"Overdue",IF($Q489-TODAY()&lt;=DueSoon,"Due soon","Scheduled")))))</f>
        <v/>
      </c>
      <c r="T489" s="14">
        <f>IF($W489="","",IFERROR(IF(INDEX(FormData,$W489,f_Consent)&amp;""="","",IF(ISNUMBER(SEARCH("yes",INDEX(FormData,$W489,f_Consent))),"Yes","No")),""))</f>
        <v/>
      </c>
      <c r="U489" s="14" t="n"/>
      <c r="V489" s="13">
        <f>IF($U489="","",IF($W489="","not found","✓"))</f>
        <v/>
      </c>
      <c r="W489">
        <f>IF($U489="","",IFERROR(MATCH($U489,INDEX(FormData,0,f_Id),0),IFERROR(MATCH(--$U489,INDEX(FormData,0,f_Id),0),IFERROR(MATCH($U489&amp;"",INDEX(FormData,0,f_Id),0),""))))</f>
        <v/>
      </c>
      <c r="X489">
        <f>IF(AND($B489&lt;&gt;"",$B489='Event Report'!$C$3),ROW(),"")</f>
        <v/>
      </c>
      <c r="Y489">
        <f>IF(AND($P489="✓",$R489=""),IF($Q489="",90000,$Q489)+ROW()/100000,"")</f>
        <v/>
      </c>
      <c r="Z489">
        <f>IF(OR($U489&lt;&gt;"",$D489&lt;&gt;"",$E489&lt;&gt;"",$N489&lt;&gt;""),1,"")</f>
        <v/>
      </c>
    </row>
    <row r="490">
      <c r="A490" s="13" t="inlineStr">
        <is>
          <t>P-0486</t>
        </is>
      </c>
      <c r="B490" s="14">
        <f>IF(AND($U490="",$C490=""),"",IFERROR(INDEX(EvID,MATCH(INDEX(FormData,$W490,f_Event),EvID,0)),IFERROR(INDEX(EvID,MATCH(INDEX(FormData,$W490,f_Event),EvName,0)),IFERROR(INDEX(EvID,MATCH(INT($C490),EvDate,0)),""))))</f>
        <v/>
      </c>
      <c r="C490" s="15">
        <f>IF($W490="","",INDEX(FormData,$W490,f_Time))</f>
        <v/>
      </c>
      <c r="D490" s="14">
        <f>IF($W490="","",IFERROR(UPPER(LEFT(TRIM(INDEX(FormData,$W490,f_Name)),1)&amp;IFERROR(MID(TRIM(INDEX(FormData,$W490,f_Name)),FIND("^",SUBSTITUTE(TRIM(INDEX(FormData,$W490,f_Name))," ","^",LEN(TRIM(INDEX(FormData,$W490,f_Name)))-LEN(SUBSTITUTE(TRIM(INDEX(FormData,$W490,f_Name))," ",""))))+1,1),"")),""))</f>
        <v/>
      </c>
      <c r="E490" s="16">
        <f>IF($W490="","",IFERROR(IF(SUMPRODUCT(MAX((WhoKW&lt;&gt;"")*ISNUMBER(SEARCH(WhoKW,INDEX(FormData,$W490,f_Who)&amp;""))*(ROW(WhoKW)-MIN(ROW(WhoKW))+1)))=0,"",INDEX(WhoVal,SUMPRODUCT(MAX((WhoKW&lt;&gt;"")*ISNUMBER(SEARCH(WhoKW,INDEX(FormData,$W490,f_Who)&amp;""))*(ROW(WhoKW)-MIN(ROW(WhoKW))+1))))),""))</f>
        <v/>
      </c>
      <c r="F490" s="17">
        <f>IF($W490="","",TRIM(IFERROR(INDEX(FormData,$W490,f_Org1)&amp;"","")&amp;" "&amp;IFERROR(INDEX(FormData,$W490,f_Org2)&amp;"","")))</f>
        <v/>
      </c>
      <c r="G490" s="16">
        <f>IF($W490="","",IFERROR(INDEX(FormData,$W490,f_Region)&amp;"",""))</f>
        <v/>
      </c>
      <c r="H490" s="16">
        <f>IF($W490="","",IFERROR(IF(SUMPRODUCT(MAX((SitKW&lt;&gt;"")*ISNUMBER(SEARCH(SitKW,INDEX(FormData,$W490,f_Sit)&amp;""))*(ROW(SitKW)-MIN(ROW(SitKW))+1)))=0,"",INDEX(SitVal,SUMPRODUCT(MAX((SitKW&lt;&gt;"")*ISNUMBER(SEARCH(SitKW,INDEX(FormData,$W490,f_Sit)&amp;""))*(ROW(SitKW)-MIN(ROW(SitKW))+1))))),""))</f>
        <v/>
      </c>
      <c r="I490" s="14">
        <f>IF($W490="","",IFERROR(INDEX(FormData,$W490,f_Appr)&amp;"",""))</f>
        <v/>
      </c>
      <c r="J490" s="16">
        <f>IF($W490="","",IFERROR(INDEX(FormData,$W490,f_Trade)&amp;"",""))</f>
        <v/>
      </c>
      <c r="K490" s="16" t="n"/>
      <c r="L490" s="17" t="n"/>
      <c r="M490" s="16" t="n"/>
      <c r="N490" s="17" t="n"/>
      <c r="O490" s="14" t="n"/>
      <c r="P490" s="14" t="n"/>
      <c r="Q490" s="18" t="n"/>
      <c r="R490" s="18" t="n"/>
      <c r="S490" s="13">
        <f>IF($P490&lt;&gt;"✓","",IF($R490&lt;&gt;"","Done",IF($Q490="","Open — no date",IF($Q490&lt;TODAY(),"Overdue",IF($Q490-TODAY()&lt;=DueSoon,"Due soon","Scheduled")))))</f>
        <v/>
      </c>
      <c r="T490" s="14">
        <f>IF($W490="","",IFERROR(IF(INDEX(FormData,$W490,f_Consent)&amp;""="","",IF(ISNUMBER(SEARCH("yes",INDEX(FormData,$W490,f_Consent))),"Yes","No")),""))</f>
        <v/>
      </c>
      <c r="U490" s="14" t="n"/>
      <c r="V490" s="13">
        <f>IF($U490="","",IF($W490="","not found","✓"))</f>
        <v/>
      </c>
      <c r="W490">
        <f>IF($U490="","",IFERROR(MATCH($U490,INDEX(FormData,0,f_Id),0),IFERROR(MATCH(--$U490,INDEX(FormData,0,f_Id),0),IFERROR(MATCH($U490&amp;"",INDEX(FormData,0,f_Id),0),""))))</f>
        <v/>
      </c>
      <c r="X490">
        <f>IF(AND($B490&lt;&gt;"",$B490='Event Report'!$C$3),ROW(),"")</f>
        <v/>
      </c>
      <c r="Y490">
        <f>IF(AND($P490="✓",$R490=""),IF($Q490="",90000,$Q490)+ROW()/100000,"")</f>
        <v/>
      </c>
      <c r="Z490">
        <f>IF(OR($U490&lt;&gt;"",$D490&lt;&gt;"",$E490&lt;&gt;"",$N490&lt;&gt;""),1,"")</f>
        <v/>
      </c>
    </row>
    <row r="491">
      <c r="A491" s="13" t="inlineStr">
        <is>
          <t>P-0487</t>
        </is>
      </c>
      <c r="B491" s="14">
        <f>IF(AND($U491="",$C491=""),"",IFERROR(INDEX(EvID,MATCH(INDEX(FormData,$W491,f_Event),EvID,0)),IFERROR(INDEX(EvID,MATCH(INDEX(FormData,$W491,f_Event),EvName,0)),IFERROR(INDEX(EvID,MATCH(INT($C491),EvDate,0)),""))))</f>
        <v/>
      </c>
      <c r="C491" s="15">
        <f>IF($W491="","",INDEX(FormData,$W491,f_Time))</f>
        <v/>
      </c>
      <c r="D491" s="14">
        <f>IF($W491="","",IFERROR(UPPER(LEFT(TRIM(INDEX(FormData,$W491,f_Name)),1)&amp;IFERROR(MID(TRIM(INDEX(FormData,$W491,f_Name)),FIND("^",SUBSTITUTE(TRIM(INDEX(FormData,$W491,f_Name))," ","^",LEN(TRIM(INDEX(FormData,$W491,f_Name)))-LEN(SUBSTITUTE(TRIM(INDEX(FormData,$W491,f_Name))," ",""))))+1,1),"")),""))</f>
        <v/>
      </c>
      <c r="E491" s="16">
        <f>IF($W491="","",IFERROR(IF(SUMPRODUCT(MAX((WhoKW&lt;&gt;"")*ISNUMBER(SEARCH(WhoKW,INDEX(FormData,$W491,f_Who)&amp;""))*(ROW(WhoKW)-MIN(ROW(WhoKW))+1)))=0,"",INDEX(WhoVal,SUMPRODUCT(MAX((WhoKW&lt;&gt;"")*ISNUMBER(SEARCH(WhoKW,INDEX(FormData,$W491,f_Who)&amp;""))*(ROW(WhoKW)-MIN(ROW(WhoKW))+1))))),""))</f>
        <v/>
      </c>
      <c r="F491" s="17">
        <f>IF($W491="","",TRIM(IFERROR(INDEX(FormData,$W491,f_Org1)&amp;"","")&amp;" "&amp;IFERROR(INDEX(FormData,$W491,f_Org2)&amp;"","")))</f>
        <v/>
      </c>
      <c r="G491" s="16">
        <f>IF($W491="","",IFERROR(INDEX(FormData,$W491,f_Region)&amp;"",""))</f>
        <v/>
      </c>
      <c r="H491" s="16">
        <f>IF($W491="","",IFERROR(IF(SUMPRODUCT(MAX((SitKW&lt;&gt;"")*ISNUMBER(SEARCH(SitKW,INDEX(FormData,$W491,f_Sit)&amp;""))*(ROW(SitKW)-MIN(ROW(SitKW))+1)))=0,"",INDEX(SitVal,SUMPRODUCT(MAX((SitKW&lt;&gt;"")*ISNUMBER(SEARCH(SitKW,INDEX(FormData,$W491,f_Sit)&amp;""))*(ROW(SitKW)-MIN(ROW(SitKW))+1))))),""))</f>
        <v/>
      </c>
      <c r="I491" s="14">
        <f>IF($W491="","",IFERROR(INDEX(FormData,$W491,f_Appr)&amp;"",""))</f>
        <v/>
      </c>
      <c r="J491" s="16">
        <f>IF($W491="","",IFERROR(INDEX(FormData,$W491,f_Trade)&amp;"",""))</f>
        <v/>
      </c>
      <c r="K491" s="16" t="n"/>
      <c r="L491" s="17" t="n"/>
      <c r="M491" s="16" t="n"/>
      <c r="N491" s="17" t="n"/>
      <c r="O491" s="14" t="n"/>
      <c r="P491" s="14" t="n"/>
      <c r="Q491" s="18" t="n"/>
      <c r="R491" s="18" t="n"/>
      <c r="S491" s="13">
        <f>IF($P491&lt;&gt;"✓","",IF($R491&lt;&gt;"","Done",IF($Q491="","Open — no date",IF($Q491&lt;TODAY(),"Overdue",IF($Q491-TODAY()&lt;=DueSoon,"Due soon","Scheduled")))))</f>
        <v/>
      </c>
      <c r="T491" s="14">
        <f>IF($W491="","",IFERROR(IF(INDEX(FormData,$W491,f_Consent)&amp;""="","",IF(ISNUMBER(SEARCH("yes",INDEX(FormData,$W491,f_Consent))),"Yes","No")),""))</f>
        <v/>
      </c>
      <c r="U491" s="14" t="n"/>
      <c r="V491" s="13">
        <f>IF($U491="","",IF($W491="","not found","✓"))</f>
        <v/>
      </c>
      <c r="W491">
        <f>IF($U491="","",IFERROR(MATCH($U491,INDEX(FormData,0,f_Id),0),IFERROR(MATCH(--$U491,INDEX(FormData,0,f_Id),0),IFERROR(MATCH($U491&amp;"",INDEX(FormData,0,f_Id),0),""))))</f>
        <v/>
      </c>
      <c r="X491">
        <f>IF(AND($B491&lt;&gt;"",$B491='Event Report'!$C$3),ROW(),"")</f>
        <v/>
      </c>
      <c r="Y491">
        <f>IF(AND($P491="✓",$R491=""),IF($Q491="",90000,$Q491)+ROW()/100000,"")</f>
        <v/>
      </c>
      <c r="Z491">
        <f>IF(OR($U491&lt;&gt;"",$D491&lt;&gt;"",$E491&lt;&gt;"",$N491&lt;&gt;""),1,"")</f>
        <v/>
      </c>
    </row>
    <row r="492">
      <c r="A492" s="13" t="inlineStr">
        <is>
          <t>P-0488</t>
        </is>
      </c>
      <c r="B492" s="14">
        <f>IF(AND($U492="",$C492=""),"",IFERROR(INDEX(EvID,MATCH(INDEX(FormData,$W492,f_Event),EvID,0)),IFERROR(INDEX(EvID,MATCH(INDEX(FormData,$W492,f_Event),EvName,0)),IFERROR(INDEX(EvID,MATCH(INT($C492),EvDate,0)),""))))</f>
        <v/>
      </c>
      <c r="C492" s="15">
        <f>IF($W492="","",INDEX(FormData,$W492,f_Time))</f>
        <v/>
      </c>
      <c r="D492" s="14">
        <f>IF($W492="","",IFERROR(UPPER(LEFT(TRIM(INDEX(FormData,$W492,f_Name)),1)&amp;IFERROR(MID(TRIM(INDEX(FormData,$W492,f_Name)),FIND("^",SUBSTITUTE(TRIM(INDEX(FormData,$W492,f_Name))," ","^",LEN(TRIM(INDEX(FormData,$W492,f_Name)))-LEN(SUBSTITUTE(TRIM(INDEX(FormData,$W492,f_Name))," ",""))))+1,1),"")),""))</f>
        <v/>
      </c>
      <c r="E492" s="16">
        <f>IF($W492="","",IFERROR(IF(SUMPRODUCT(MAX((WhoKW&lt;&gt;"")*ISNUMBER(SEARCH(WhoKW,INDEX(FormData,$W492,f_Who)&amp;""))*(ROW(WhoKW)-MIN(ROW(WhoKW))+1)))=0,"",INDEX(WhoVal,SUMPRODUCT(MAX((WhoKW&lt;&gt;"")*ISNUMBER(SEARCH(WhoKW,INDEX(FormData,$W492,f_Who)&amp;""))*(ROW(WhoKW)-MIN(ROW(WhoKW))+1))))),""))</f>
        <v/>
      </c>
      <c r="F492" s="17">
        <f>IF($W492="","",TRIM(IFERROR(INDEX(FormData,$W492,f_Org1)&amp;"","")&amp;" "&amp;IFERROR(INDEX(FormData,$W492,f_Org2)&amp;"","")))</f>
        <v/>
      </c>
      <c r="G492" s="16">
        <f>IF($W492="","",IFERROR(INDEX(FormData,$W492,f_Region)&amp;"",""))</f>
        <v/>
      </c>
      <c r="H492" s="16">
        <f>IF($W492="","",IFERROR(IF(SUMPRODUCT(MAX((SitKW&lt;&gt;"")*ISNUMBER(SEARCH(SitKW,INDEX(FormData,$W492,f_Sit)&amp;""))*(ROW(SitKW)-MIN(ROW(SitKW))+1)))=0,"",INDEX(SitVal,SUMPRODUCT(MAX((SitKW&lt;&gt;"")*ISNUMBER(SEARCH(SitKW,INDEX(FormData,$W492,f_Sit)&amp;""))*(ROW(SitKW)-MIN(ROW(SitKW))+1))))),""))</f>
        <v/>
      </c>
      <c r="I492" s="14">
        <f>IF($W492="","",IFERROR(INDEX(FormData,$W492,f_Appr)&amp;"",""))</f>
        <v/>
      </c>
      <c r="J492" s="16">
        <f>IF($W492="","",IFERROR(INDEX(FormData,$W492,f_Trade)&amp;"",""))</f>
        <v/>
      </c>
      <c r="K492" s="16" t="n"/>
      <c r="L492" s="17" t="n"/>
      <c r="M492" s="16" t="n"/>
      <c r="N492" s="17" t="n"/>
      <c r="O492" s="14" t="n"/>
      <c r="P492" s="14" t="n"/>
      <c r="Q492" s="18" t="n"/>
      <c r="R492" s="18" t="n"/>
      <c r="S492" s="13">
        <f>IF($P492&lt;&gt;"✓","",IF($R492&lt;&gt;"","Done",IF($Q492="","Open — no date",IF($Q492&lt;TODAY(),"Overdue",IF($Q492-TODAY()&lt;=DueSoon,"Due soon","Scheduled")))))</f>
        <v/>
      </c>
      <c r="T492" s="14">
        <f>IF($W492="","",IFERROR(IF(INDEX(FormData,$W492,f_Consent)&amp;""="","",IF(ISNUMBER(SEARCH("yes",INDEX(FormData,$W492,f_Consent))),"Yes","No")),""))</f>
        <v/>
      </c>
      <c r="U492" s="14" t="n"/>
      <c r="V492" s="13">
        <f>IF($U492="","",IF($W492="","not found","✓"))</f>
        <v/>
      </c>
      <c r="W492">
        <f>IF($U492="","",IFERROR(MATCH($U492,INDEX(FormData,0,f_Id),0),IFERROR(MATCH(--$U492,INDEX(FormData,0,f_Id),0),IFERROR(MATCH($U492&amp;"",INDEX(FormData,0,f_Id),0),""))))</f>
        <v/>
      </c>
      <c r="X492">
        <f>IF(AND($B492&lt;&gt;"",$B492='Event Report'!$C$3),ROW(),"")</f>
        <v/>
      </c>
      <c r="Y492">
        <f>IF(AND($P492="✓",$R492=""),IF($Q492="",90000,$Q492)+ROW()/100000,"")</f>
        <v/>
      </c>
      <c r="Z492">
        <f>IF(OR($U492&lt;&gt;"",$D492&lt;&gt;"",$E492&lt;&gt;"",$N492&lt;&gt;""),1,"")</f>
        <v/>
      </c>
    </row>
    <row r="493">
      <c r="A493" s="13" t="inlineStr">
        <is>
          <t>P-0489</t>
        </is>
      </c>
      <c r="B493" s="14">
        <f>IF(AND($U493="",$C493=""),"",IFERROR(INDEX(EvID,MATCH(INDEX(FormData,$W493,f_Event),EvID,0)),IFERROR(INDEX(EvID,MATCH(INDEX(FormData,$W493,f_Event),EvName,0)),IFERROR(INDEX(EvID,MATCH(INT($C493),EvDate,0)),""))))</f>
        <v/>
      </c>
      <c r="C493" s="15">
        <f>IF($W493="","",INDEX(FormData,$W493,f_Time))</f>
        <v/>
      </c>
      <c r="D493" s="14">
        <f>IF($W493="","",IFERROR(UPPER(LEFT(TRIM(INDEX(FormData,$W493,f_Name)),1)&amp;IFERROR(MID(TRIM(INDEX(FormData,$W493,f_Name)),FIND("^",SUBSTITUTE(TRIM(INDEX(FormData,$W493,f_Name))," ","^",LEN(TRIM(INDEX(FormData,$W493,f_Name)))-LEN(SUBSTITUTE(TRIM(INDEX(FormData,$W493,f_Name))," ",""))))+1,1),"")),""))</f>
        <v/>
      </c>
      <c r="E493" s="16">
        <f>IF($W493="","",IFERROR(IF(SUMPRODUCT(MAX((WhoKW&lt;&gt;"")*ISNUMBER(SEARCH(WhoKW,INDEX(FormData,$W493,f_Who)&amp;""))*(ROW(WhoKW)-MIN(ROW(WhoKW))+1)))=0,"",INDEX(WhoVal,SUMPRODUCT(MAX((WhoKW&lt;&gt;"")*ISNUMBER(SEARCH(WhoKW,INDEX(FormData,$W493,f_Who)&amp;""))*(ROW(WhoKW)-MIN(ROW(WhoKW))+1))))),""))</f>
        <v/>
      </c>
      <c r="F493" s="17">
        <f>IF($W493="","",TRIM(IFERROR(INDEX(FormData,$W493,f_Org1)&amp;"","")&amp;" "&amp;IFERROR(INDEX(FormData,$W493,f_Org2)&amp;"","")))</f>
        <v/>
      </c>
      <c r="G493" s="16">
        <f>IF($W493="","",IFERROR(INDEX(FormData,$W493,f_Region)&amp;"",""))</f>
        <v/>
      </c>
      <c r="H493" s="16">
        <f>IF($W493="","",IFERROR(IF(SUMPRODUCT(MAX((SitKW&lt;&gt;"")*ISNUMBER(SEARCH(SitKW,INDEX(FormData,$W493,f_Sit)&amp;""))*(ROW(SitKW)-MIN(ROW(SitKW))+1)))=0,"",INDEX(SitVal,SUMPRODUCT(MAX((SitKW&lt;&gt;"")*ISNUMBER(SEARCH(SitKW,INDEX(FormData,$W493,f_Sit)&amp;""))*(ROW(SitKW)-MIN(ROW(SitKW))+1))))),""))</f>
        <v/>
      </c>
      <c r="I493" s="14">
        <f>IF($W493="","",IFERROR(INDEX(FormData,$W493,f_Appr)&amp;"",""))</f>
        <v/>
      </c>
      <c r="J493" s="16">
        <f>IF($W493="","",IFERROR(INDEX(FormData,$W493,f_Trade)&amp;"",""))</f>
        <v/>
      </c>
      <c r="K493" s="16" t="n"/>
      <c r="L493" s="17" t="n"/>
      <c r="M493" s="16" t="n"/>
      <c r="N493" s="17" t="n"/>
      <c r="O493" s="14" t="n"/>
      <c r="P493" s="14" t="n"/>
      <c r="Q493" s="18" t="n"/>
      <c r="R493" s="18" t="n"/>
      <c r="S493" s="13">
        <f>IF($P493&lt;&gt;"✓","",IF($R493&lt;&gt;"","Done",IF($Q493="","Open — no date",IF($Q493&lt;TODAY(),"Overdue",IF($Q493-TODAY()&lt;=DueSoon,"Due soon","Scheduled")))))</f>
        <v/>
      </c>
      <c r="T493" s="14">
        <f>IF($W493="","",IFERROR(IF(INDEX(FormData,$W493,f_Consent)&amp;""="","",IF(ISNUMBER(SEARCH("yes",INDEX(FormData,$W493,f_Consent))),"Yes","No")),""))</f>
        <v/>
      </c>
      <c r="U493" s="14" t="n"/>
      <c r="V493" s="13">
        <f>IF($U493="","",IF($W493="","not found","✓"))</f>
        <v/>
      </c>
      <c r="W493">
        <f>IF($U493="","",IFERROR(MATCH($U493,INDEX(FormData,0,f_Id),0),IFERROR(MATCH(--$U493,INDEX(FormData,0,f_Id),0),IFERROR(MATCH($U493&amp;"",INDEX(FormData,0,f_Id),0),""))))</f>
        <v/>
      </c>
      <c r="X493">
        <f>IF(AND($B493&lt;&gt;"",$B493='Event Report'!$C$3),ROW(),"")</f>
        <v/>
      </c>
      <c r="Y493">
        <f>IF(AND($P493="✓",$R493=""),IF($Q493="",90000,$Q493)+ROW()/100000,"")</f>
        <v/>
      </c>
      <c r="Z493">
        <f>IF(OR($U493&lt;&gt;"",$D493&lt;&gt;"",$E493&lt;&gt;"",$N493&lt;&gt;""),1,"")</f>
        <v/>
      </c>
    </row>
    <row r="494">
      <c r="A494" s="13" t="inlineStr">
        <is>
          <t>P-0490</t>
        </is>
      </c>
      <c r="B494" s="14">
        <f>IF(AND($U494="",$C494=""),"",IFERROR(INDEX(EvID,MATCH(INDEX(FormData,$W494,f_Event),EvID,0)),IFERROR(INDEX(EvID,MATCH(INDEX(FormData,$W494,f_Event),EvName,0)),IFERROR(INDEX(EvID,MATCH(INT($C494),EvDate,0)),""))))</f>
        <v/>
      </c>
      <c r="C494" s="15">
        <f>IF($W494="","",INDEX(FormData,$W494,f_Time))</f>
        <v/>
      </c>
      <c r="D494" s="14">
        <f>IF($W494="","",IFERROR(UPPER(LEFT(TRIM(INDEX(FormData,$W494,f_Name)),1)&amp;IFERROR(MID(TRIM(INDEX(FormData,$W494,f_Name)),FIND("^",SUBSTITUTE(TRIM(INDEX(FormData,$W494,f_Name))," ","^",LEN(TRIM(INDEX(FormData,$W494,f_Name)))-LEN(SUBSTITUTE(TRIM(INDEX(FormData,$W494,f_Name))," ",""))))+1,1),"")),""))</f>
        <v/>
      </c>
      <c r="E494" s="16">
        <f>IF($W494="","",IFERROR(IF(SUMPRODUCT(MAX((WhoKW&lt;&gt;"")*ISNUMBER(SEARCH(WhoKW,INDEX(FormData,$W494,f_Who)&amp;""))*(ROW(WhoKW)-MIN(ROW(WhoKW))+1)))=0,"",INDEX(WhoVal,SUMPRODUCT(MAX((WhoKW&lt;&gt;"")*ISNUMBER(SEARCH(WhoKW,INDEX(FormData,$W494,f_Who)&amp;""))*(ROW(WhoKW)-MIN(ROW(WhoKW))+1))))),""))</f>
        <v/>
      </c>
      <c r="F494" s="17">
        <f>IF($W494="","",TRIM(IFERROR(INDEX(FormData,$W494,f_Org1)&amp;"","")&amp;" "&amp;IFERROR(INDEX(FormData,$W494,f_Org2)&amp;"","")))</f>
        <v/>
      </c>
      <c r="G494" s="16">
        <f>IF($W494="","",IFERROR(INDEX(FormData,$W494,f_Region)&amp;"",""))</f>
        <v/>
      </c>
      <c r="H494" s="16">
        <f>IF($W494="","",IFERROR(IF(SUMPRODUCT(MAX((SitKW&lt;&gt;"")*ISNUMBER(SEARCH(SitKW,INDEX(FormData,$W494,f_Sit)&amp;""))*(ROW(SitKW)-MIN(ROW(SitKW))+1)))=0,"",INDEX(SitVal,SUMPRODUCT(MAX((SitKW&lt;&gt;"")*ISNUMBER(SEARCH(SitKW,INDEX(FormData,$W494,f_Sit)&amp;""))*(ROW(SitKW)-MIN(ROW(SitKW))+1))))),""))</f>
        <v/>
      </c>
      <c r="I494" s="14">
        <f>IF($W494="","",IFERROR(INDEX(FormData,$W494,f_Appr)&amp;"",""))</f>
        <v/>
      </c>
      <c r="J494" s="16">
        <f>IF($W494="","",IFERROR(INDEX(FormData,$W494,f_Trade)&amp;"",""))</f>
        <v/>
      </c>
      <c r="K494" s="16" t="n"/>
      <c r="L494" s="17" t="n"/>
      <c r="M494" s="16" t="n"/>
      <c r="N494" s="17" t="n"/>
      <c r="O494" s="14" t="n"/>
      <c r="P494" s="14" t="n"/>
      <c r="Q494" s="18" t="n"/>
      <c r="R494" s="18" t="n"/>
      <c r="S494" s="13">
        <f>IF($P494&lt;&gt;"✓","",IF($R494&lt;&gt;"","Done",IF($Q494="","Open — no date",IF($Q494&lt;TODAY(),"Overdue",IF($Q494-TODAY()&lt;=DueSoon,"Due soon","Scheduled")))))</f>
        <v/>
      </c>
      <c r="T494" s="14">
        <f>IF($W494="","",IFERROR(IF(INDEX(FormData,$W494,f_Consent)&amp;""="","",IF(ISNUMBER(SEARCH("yes",INDEX(FormData,$W494,f_Consent))),"Yes","No")),""))</f>
        <v/>
      </c>
      <c r="U494" s="14" t="n"/>
      <c r="V494" s="13">
        <f>IF($U494="","",IF($W494="","not found","✓"))</f>
        <v/>
      </c>
      <c r="W494">
        <f>IF($U494="","",IFERROR(MATCH($U494,INDEX(FormData,0,f_Id),0),IFERROR(MATCH(--$U494,INDEX(FormData,0,f_Id),0),IFERROR(MATCH($U494&amp;"",INDEX(FormData,0,f_Id),0),""))))</f>
        <v/>
      </c>
      <c r="X494">
        <f>IF(AND($B494&lt;&gt;"",$B494='Event Report'!$C$3),ROW(),"")</f>
        <v/>
      </c>
      <c r="Y494">
        <f>IF(AND($P494="✓",$R494=""),IF($Q494="",90000,$Q494)+ROW()/100000,"")</f>
        <v/>
      </c>
      <c r="Z494">
        <f>IF(OR($U494&lt;&gt;"",$D494&lt;&gt;"",$E494&lt;&gt;"",$N494&lt;&gt;""),1,"")</f>
        <v/>
      </c>
    </row>
    <row r="495">
      <c r="A495" s="13" t="inlineStr">
        <is>
          <t>P-0491</t>
        </is>
      </c>
      <c r="B495" s="14">
        <f>IF(AND($U495="",$C495=""),"",IFERROR(INDEX(EvID,MATCH(INDEX(FormData,$W495,f_Event),EvID,0)),IFERROR(INDEX(EvID,MATCH(INDEX(FormData,$W495,f_Event),EvName,0)),IFERROR(INDEX(EvID,MATCH(INT($C495),EvDate,0)),""))))</f>
        <v/>
      </c>
      <c r="C495" s="15">
        <f>IF($W495="","",INDEX(FormData,$W495,f_Time))</f>
        <v/>
      </c>
      <c r="D495" s="14">
        <f>IF($W495="","",IFERROR(UPPER(LEFT(TRIM(INDEX(FormData,$W495,f_Name)),1)&amp;IFERROR(MID(TRIM(INDEX(FormData,$W495,f_Name)),FIND("^",SUBSTITUTE(TRIM(INDEX(FormData,$W495,f_Name))," ","^",LEN(TRIM(INDEX(FormData,$W495,f_Name)))-LEN(SUBSTITUTE(TRIM(INDEX(FormData,$W495,f_Name))," ",""))))+1,1),"")),""))</f>
        <v/>
      </c>
      <c r="E495" s="16">
        <f>IF($W495="","",IFERROR(IF(SUMPRODUCT(MAX((WhoKW&lt;&gt;"")*ISNUMBER(SEARCH(WhoKW,INDEX(FormData,$W495,f_Who)&amp;""))*(ROW(WhoKW)-MIN(ROW(WhoKW))+1)))=0,"",INDEX(WhoVal,SUMPRODUCT(MAX((WhoKW&lt;&gt;"")*ISNUMBER(SEARCH(WhoKW,INDEX(FormData,$W495,f_Who)&amp;""))*(ROW(WhoKW)-MIN(ROW(WhoKW))+1))))),""))</f>
        <v/>
      </c>
      <c r="F495" s="17">
        <f>IF($W495="","",TRIM(IFERROR(INDEX(FormData,$W495,f_Org1)&amp;"","")&amp;" "&amp;IFERROR(INDEX(FormData,$W495,f_Org2)&amp;"","")))</f>
        <v/>
      </c>
      <c r="G495" s="16">
        <f>IF($W495="","",IFERROR(INDEX(FormData,$W495,f_Region)&amp;"",""))</f>
        <v/>
      </c>
      <c r="H495" s="16">
        <f>IF($W495="","",IFERROR(IF(SUMPRODUCT(MAX((SitKW&lt;&gt;"")*ISNUMBER(SEARCH(SitKW,INDEX(FormData,$W495,f_Sit)&amp;""))*(ROW(SitKW)-MIN(ROW(SitKW))+1)))=0,"",INDEX(SitVal,SUMPRODUCT(MAX((SitKW&lt;&gt;"")*ISNUMBER(SEARCH(SitKW,INDEX(FormData,$W495,f_Sit)&amp;""))*(ROW(SitKW)-MIN(ROW(SitKW))+1))))),""))</f>
        <v/>
      </c>
      <c r="I495" s="14">
        <f>IF($W495="","",IFERROR(INDEX(FormData,$W495,f_Appr)&amp;"",""))</f>
        <v/>
      </c>
      <c r="J495" s="16">
        <f>IF($W495="","",IFERROR(INDEX(FormData,$W495,f_Trade)&amp;"",""))</f>
        <v/>
      </c>
      <c r="K495" s="16" t="n"/>
      <c r="L495" s="17" t="n"/>
      <c r="M495" s="16" t="n"/>
      <c r="N495" s="17" t="n"/>
      <c r="O495" s="14" t="n"/>
      <c r="P495" s="14" t="n"/>
      <c r="Q495" s="18" t="n"/>
      <c r="R495" s="18" t="n"/>
      <c r="S495" s="13">
        <f>IF($P495&lt;&gt;"✓","",IF($R495&lt;&gt;"","Done",IF($Q495="","Open — no date",IF($Q495&lt;TODAY(),"Overdue",IF($Q495-TODAY()&lt;=DueSoon,"Due soon","Scheduled")))))</f>
        <v/>
      </c>
      <c r="T495" s="14">
        <f>IF($W495="","",IFERROR(IF(INDEX(FormData,$W495,f_Consent)&amp;""="","",IF(ISNUMBER(SEARCH("yes",INDEX(FormData,$W495,f_Consent))),"Yes","No")),""))</f>
        <v/>
      </c>
      <c r="U495" s="14" t="n"/>
      <c r="V495" s="13">
        <f>IF($U495="","",IF($W495="","not found","✓"))</f>
        <v/>
      </c>
      <c r="W495">
        <f>IF($U495="","",IFERROR(MATCH($U495,INDEX(FormData,0,f_Id),0),IFERROR(MATCH(--$U495,INDEX(FormData,0,f_Id),0),IFERROR(MATCH($U495&amp;"",INDEX(FormData,0,f_Id),0),""))))</f>
        <v/>
      </c>
      <c r="X495">
        <f>IF(AND($B495&lt;&gt;"",$B495='Event Report'!$C$3),ROW(),"")</f>
        <v/>
      </c>
      <c r="Y495">
        <f>IF(AND($P495="✓",$R495=""),IF($Q495="",90000,$Q495)+ROW()/100000,"")</f>
        <v/>
      </c>
      <c r="Z495">
        <f>IF(OR($U495&lt;&gt;"",$D495&lt;&gt;"",$E495&lt;&gt;"",$N495&lt;&gt;""),1,"")</f>
        <v/>
      </c>
    </row>
    <row r="496">
      <c r="A496" s="13" t="inlineStr">
        <is>
          <t>P-0492</t>
        </is>
      </c>
      <c r="B496" s="14">
        <f>IF(AND($U496="",$C496=""),"",IFERROR(INDEX(EvID,MATCH(INDEX(FormData,$W496,f_Event),EvID,0)),IFERROR(INDEX(EvID,MATCH(INDEX(FormData,$W496,f_Event),EvName,0)),IFERROR(INDEX(EvID,MATCH(INT($C496),EvDate,0)),""))))</f>
        <v/>
      </c>
      <c r="C496" s="15">
        <f>IF($W496="","",INDEX(FormData,$W496,f_Time))</f>
        <v/>
      </c>
      <c r="D496" s="14">
        <f>IF($W496="","",IFERROR(UPPER(LEFT(TRIM(INDEX(FormData,$W496,f_Name)),1)&amp;IFERROR(MID(TRIM(INDEX(FormData,$W496,f_Name)),FIND("^",SUBSTITUTE(TRIM(INDEX(FormData,$W496,f_Name))," ","^",LEN(TRIM(INDEX(FormData,$W496,f_Name)))-LEN(SUBSTITUTE(TRIM(INDEX(FormData,$W496,f_Name))," ",""))))+1,1),"")),""))</f>
        <v/>
      </c>
      <c r="E496" s="16">
        <f>IF($W496="","",IFERROR(IF(SUMPRODUCT(MAX((WhoKW&lt;&gt;"")*ISNUMBER(SEARCH(WhoKW,INDEX(FormData,$W496,f_Who)&amp;""))*(ROW(WhoKW)-MIN(ROW(WhoKW))+1)))=0,"",INDEX(WhoVal,SUMPRODUCT(MAX((WhoKW&lt;&gt;"")*ISNUMBER(SEARCH(WhoKW,INDEX(FormData,$W496,f_Who)&amp;""))*(ROW(WhoKW)-MIN(ROW(WhoKW))+1))))),""))</f>
        <v/>
      </c>
      <c r="F496" s="17">
        <f>IF($W496="","",TRIM(IFERROR(INDEX(FormData,$W496,f_Org1)&amp;"","")&amp;" "&amp;IFERROR(INDEX(FormData,$W496,f_Org2)&amp;"","")))</f>
        <v/>
      </c>
      <c r="G496" s="16">
        <f>IF($W496="","",IFERROR(INDEX(FormData,$W496,f_Region)&amp;"",""))</f>
        <v/>
      </c>
      <c r="H496" s="16">
        <f>IF($W496="","",IFERROR(IF(SUMPRODUCT(MAX((SitKW&lt;&gt;"")*ISNUMBER(SEARCH(SitKW,INDEX(FormData,$W496,f_Sit)&amp;""))*(ROW(SitKW)-MIN(ROW(SitKW))+1)))=0,"",INDEX(SitVal,SUMPRODUCT(MAX((SitKW&lt;&gt;"")*ISNUMBER(SEARCH(SitKW,INDEX(FormData,$W496,f_Sit)&amp;""))*(ROW(SitKW)-MIN(ROW(SitKW))+1))))),""))</f>
        <v/>
      </c>
      <c r="I496" s="14">
        <f>IF($W496="","",IFERROR(INDEX(FormData,$W496,f_Appr)&amp;"",""))</f>
        <v/>
      </c>
      <c r="J496" s="16">
        <f>IF($W496="","",IFERROR(INDEX(FormData,$W496,f_Trade)&amp;"",""))</f>
        <v/>
      </c>
      <c r="K496" s="16" t="n"/>
      <c r="L496" s="17" t="n"/>
      <c r="M496" s="16" t="n"/>
      <c r="N496" s="17" t="n"/>
      <c r="O496" s="14" t="n"/>
      <c r="P496" s="14" t="n"/>
      <c r="Q496" s="18" t="n"/>
      <c r="R496" s="18" t="n"/>
      <c r="S496" s="13">
        <f>IF($P496&lt;&gt;"✓","",IF($R496&lt;&gt;"","Done",IF($Q496="","Open — no date",IF($Q496&lt;TODAY(),"Overdue",IF($Q496-TODAY()&lt;=DueSoon,"Due soon","Scheduled")))))</f>
        <v/>
      </c>
      <c r="T496" s="14">
        <f>IF($W496="","",IFERROR(IF(INDEX(FormData,$W496,f_Consent)&amp;""="","",IF(ISNUMBER(SEARCH("yes",INDEX(FormData,$W496,f_Consent))),"Yes","No")),""))</f>
        <v/>
      </c>
      <c r="U496" s="14" t="n"/>
      <c r="V496" s="13">
        <f>IF($U496="","",IF($W496="","not found","✓"))</f>
        <v/>
      </c>
      <c r="W496">
        <f>IF($U496="","",IFERROR(MATCH($U496,INDEX(FormData,0,f_Id),0),IFERROR(MATCH(--$U496,INDEX(FormData,0,f_Id),0),IFERROR(MATCH($U496&amp;"",INDEX(FormData,0,f_Id),0),""))))</f>
        <v/>
      </c>
      <c r="X496">
        <f>IF(AND($B496&lt;&gt;"",$B496='Event Report'!$C$3),ROW(),"")</f>
        <v/>
      </c>
      <c r="Y496">
        <f>IF(AND($P496="✓",$R496=""),IF($Q496="",90000,$Q496)+ROW()/100000,"")</f>
        <v/>
      </c>
      <c r="Z496">
        <f>IF(OR($U496&lt;&gt;"",$D496&lt;&gt;"",$E496&lt;&gt;"",$N496&lt;&gt;""),1,"")</f>
        <v/>
      </c>
    </row>
    <row r="497">
      <c r="A497" s="13" t="inlineStr">
        <is>
          <t>P-0493</t>
        </is>
      </c>
      <c r="B497" s="14">
        <f>IF(AND($U497="",$C497=""),"",IFERROR(INDEX(EvID,MATCH(INDEX(FormData,$W497,f_Event),EvID,0)),IFERROR(INDEX(EvID,MATCH(INDEX(FormData,$W497,f_Event),EvName,0)),IFERROR(INDEX(EvID,MATCH(INT($C497),EvDate,0)),""))))</f>
        <v/>
      </c>
      <c r="C497" s="15">
        <f>IF($W497="","",INDEX(FormData,$W497,f_Time))</f>
        <v/>
      </c>
      <c r="D497" s="14">
        <f>IF($W497="","",IFERROR(UPPER(LEFT(TRIM(INDEX(FormData,$W497,f_Name)),1)&amp;IFERROR(MID(TRIM(INDEX(FormData,$W497,f_Name)),FIND("^",SUBSTITUTE(TRIM(INDEX(FormData,$W497,f_Name))," ","^",LEN(TRIM(INDEX(FormData,$W497,f_Name)))-LEN(SUBSTITUTE(TRIM(INDEX(FormData,$W497,f_Name))," ",""))))+1,1),"")),""))</f>
        <v/>
      </c>
      <c r="E497" s="16">
        <f>IF($W497="","",IFERROR(IF(SUMPRODUCT(MAX((WhoKW&lt;&gt;"")*ISNUMBER(SEARCH(WhoKW,INDEX(FormData,$W497,f_Who)&amp;""))*(ROW(WhoKW)-MIN(ROW(WhoKW))+1)))=0,"",INDEX(WhoVal,SUMPRODUCT(MAX((WhoKW&lt;&gt;"")*ISNUMBER(SEARCH(WhoKW,INDEX(FormData,$W497,f_Who)&amp;""))*(ROW(WhoKW)-MIN(ROW(WhoKW))+1))))),""))</f>
        <v/>
      </c>
      <c r="F497" s="17">
        <f>IF($W497="","",TRIM(IFERROR(INDEX(FormData,$W497,f_Org1)&amp;"","")&amp;" "&amp;IFERROR(INDEX(FormData,$W497,f_Org2)&amp;"","")))</f>
        <v/>
      </c>
      <c r="G497" s="16">
        <f>IF($W497="","",IFERROR(INDEX(FormData,$W497,f_Region)&amp;"",""))</f>
        <v/>
      </c>
      <c r="H497" s="16">
        <f>IF($W497="","",IFERROR(IF(SUMPRODUCT(MAX((SitKW&lt;&gt;"")*ISNUMBER(SEARCH(SitKW,INDEX(FormData,$W497,f_Sit)&amp;""))*(ROW(SitKW)-MIN(ROW(SitKW))+1)))=0,"",INDEX(SitVal,SUMPRODUCT(MAX((SitKW&lt;&gt;"")*ISNUMBER(SEARCH(SitKW,INDEX(FormData,$W497,f_Sit)&amp;""))*(ROW(SitKW)-MIN(ROW(SitKW))+1))))),""))</f>
        <v/>
      </c>
      <c r="I497" s="14">
        <f>IF($W497="","",IFERROR(INDEX(FormData,$W497,f_Appr)&amp;"",""))</f>
        <v/>
      </c>
      <c r="J497" s="16">
        <f>IF($W497="","",IFERROR(INDEX(FormData,$W497,f_Trade)&amp;"",""))</f>
        <v/>
      </c>
      <c r="K497" s="16" t="n"/>
      <c r="L497" s="17" t="n"/>
      <c r="M497" s="16" t="n"/>
      <c r="N497" s="17" t="n"/>
      <c r="O497" s="14" t="n"/>
      <c r="P497" s="14" t="n"/>
      <c r="Q497" s="18" t="n"/>
      <c r="R497" s="18" t="n"/>
      <c r="S497" s="13">
        <f>IF($P497&lt;&gt;"✓","",IF($R497&lt;&gt;"","Done",IF($Q497="","Open — no date",IF($Q497&lt;TODAY(),"Overdue",IF($Q497-TODAY()&lt;=DueSoon,"Due soon","Scheduled")))))</f>
        <v/>
      </c>
      <c r="T497" s="14">
        <f>IF($W497="","",IFERROR(IF(INDEX(FormData,$W497,f_Consent)&amp;""="","",IF(ISNUMBER(SEARCH("yes",INDEX(FormData,$W497,f_Consent))),"Yes","No")),""))</f>
        <v/>
      </c>
      <c r="U497" s="14" t="n"/>
      <c r="V497" s="13">
        <f>IF($U497="","",IF($W497="","not found","✓"))</f>
        <v/>
      </c>
      <c r="W497">
        <f>IF($U497="","",IFERROR(MATCH($U497,INDEX(FormData,0,f_Id),0),IFERROR(MATCH(--$U497,INDEX(FormData,0,f_Id),0),IFERROR(MATCH($U497&amp;"",INDEX(FormData,0,f_Id),0),""))))</f>
        <v/>
      </c>
      <c r="X497">
        <f>IF(AND($B497&lt;&gt;"",$B497='Event Report'!$C$3),ROW(),"")</f>
        <v/>
      </c>
      <c r="Y497">
        <f>IF(AND($P497="✓",$R497=""),IF($Q497="",90000,$Q497)+ROW()/100000,"")</f>
        <v/>
      </c>
      <c r="Z497">
        <f>IF(OR($U497&lt;&gt;"",$D497&lt;&gt;"",$E497&lt;&gt;"",$N497&lt;&gt;""),1,"")</f>
        <v/>
      </c>
    </row>
    <row r="498">
      <c r="A498" s="13" t="inlineStr">
        <is>
          <t>P-0494</t>
        </is>
      </c>
      <c r="B498" s="14">
        <f>IF(AND($U498="",$C498=""),"",IFERROR(INDEX(EvID,MATCH(INDEX(FormData,$W498,f_Event),EvID,0)),IFERROR(INDEX(EvID,MATCH(INDEX(FormData,$W498,f_Event),EvName,0)),IFERROR(INDEX(EvID,MATCH(INT($C498),EvDate,0)),""))))</f>
        <v/>
      </c>
      <c r="C498" s="15">
        <f>IF($W498="","",INDEX(FormData,$W498,f_Time))</f>
        <v/>
      </c>
      <c r="D498" s="14">
        <f>IF($W498="","",IFERROR(UPPER(LEFT(TRIM(INDEX(FormData,$W498,f_Name)),1)&amp;IFERROR(MID(TRIM(INDEX(FormData,$W498,f_Name)),FIND("^",SUBSTITUTE(TRIM(INDEX(FormData,$W498,f_Name))," ","^",LEN(TRIM(INDEX(FormData,$W498,f_Name)))-LEN(SUBSTITUTE(TRIM(INDEX(FormData,$W498,f_Name))," ",""))))+1,1),"")),""))</f>
        <v/>
      </c>
      <c r="E498" s="16">
        <f>IF($W498="","",IFERROR(IF(SUMPRODUCT(MAX((WhoKW&lt;&gt;"")*ISNUMBER(SEARCH(WhoKW,INDEX(FormData,$W498,f_Who)&amp;""))*(ROW(WhoKW)-MIN(ROW(WhoKW))+1)))=0,"",INDEX(WhoVal,SUMPRODUCT(MAX((WhoKW&lt;&gt;"")*ISNUMBER(SEARCH(WhoKW,INDEX(FormData,$W498,f_Who)&amp;""))*(ROW(WhoKW)-MIN(ROW(WhoKW))+1))))),""))</f>
        <v/>
      </c>
      <c r="F498" s="17">
        <f>IF($W498="","",TRIM(IFERROR(INDEX(FormData,$W498,f_Org1)&amp;"","")&amp;" "&amp;IFERROR(INDEX(FormData,$W498,f_Org2)&amp;"","")))</f>
        <v/>
      </c>
      <c r="G498" s="16">
        <f>IF($W498="","",IFERROR(INDEX(FormData,$W498,f_Region)&amp;"",""))</f>
        <v/>
      </c>
      <c r="H498" s="16">
        <f>IF($W498="","",IFERROR(IF(SUMPRODUCT(MAX((SitKW&lt;&gt;"")*ISNUMBER(SEARCH(SitKW,INDEX(FormData,$W498,f_Sit)&amp;""))*(ROW(SitKW)-MIN(ROW(SitKW))+1)))=0,"",INDEX(SitVal,SUMPRODUCT(MAX((SitKW&lt;&gt;"")*ISNUMBER(SEARCH(SitKW,INDEX(FormData,$W498,f_Sit)&amp;""))*(ROW(SitKW)-MIN(ROW(SitKW))+1))))),""))</f>
        <v/>
      </c>
      <c r="I498" s="14">
        <f>IF($W498="","",IFERROR(INDEX(FormData,$W498,f_Appr)&amp;"",""))</f>
        <v/>
      </c>
      <c r="J498" s="16">
        <f>IF($W498="","",IFERROR(INDEX(FormData,$W498,f_Trade)&amp;"",""))</f>
        <v/>
      </c>
      <c r="K498" s="16" t="n"/>
      <c r="L498" s="17" t="n"/>
      <c r="M498" s="16" t="n"/>
      <c r="N498" s="17" t="n"/>
      <c r="O498" s="14" t="n"/>
      <c r="P498" s="14" t="n"/>
      <c r="Q498" s="18" t="n"/>
      <c r="R498" s="18" t="n"/>
      <c r="S498" s="13">
        <f>IF($P498&lt;&gt;"✓","",IF($R498&lt;&gt;"","Done",IF($Q498="","Open — no date",IF($Q498&lt;TODAY(),"Overdue",IF($Q498-TODAY()&lt;=DueSoon,"Due soon","Scheduled")))))</f>
        <v/>
      </c>
      <c r="T498" s="14">
        <f>IF($W498="","",IFERROR(IF(INDEX(FormData,$W498,f_Consent)&amp;""="","",IF(ISNUMBER(SEARCH("yes",INDEX(FormData,$W498,f_Consent))),"Yes","No")),""))</f>
        <v/>
      </c>
      <c r="U498" s="14" t="n"/>
      <c r="V498" s="13">
        <f>IF($U498="","",IF($W498="","not found","✓"))</f>
        <v/>
      </c>
      <c r="W498">
        <f>IF($U498="","",IFERROR(MATCH($U498,INDEX(FormData,0,f_Id),0),IFERROR(MATCH(--$U498,INDEX(FormData,0,f_Id),0),IFERROR(MATCH($U498&amp;"",INDEX(FormData,0,f_Id),0),""))))</f>
        <v/>
      </c>
      <c r="X498">
        <f>IF(AND($B498&lt;&gt;"",$B498='Event Report'!$C$3),ROW(),"")</f>
        <v/>
      </c>
      <c r="Y498">
        <f>IF(AND($P498="✓",$R498=""),IF($Q498="",90000,$Q498)+ROW()/100000,"")</f>
        <v/>
      </c>
      <c r="Z498">
        <f>IF(OR($U498&lt;&gt;"",$D498&lt;&gt;"",$E498&lt;&gt;"",$N498&lt;&gt;""),1,"")</f>
        <v/>
      </c>
    </row>
    <row r="499">
      <c r="A499" s="13" t="inlineStr">
        <is>
          <t>P-0495</t>
        </is>
      </c>
      <c r="B499" s="14">
        <f>IF(AND($U499="",$C499=""),"",IFERROR(INDEX(EvID,MATCH(INDEX(FormData,$W499,f_Event),EvID,0)),IFERROR(INDEX(EvID,MATCH(INDEX(FormData,$W499,f_Event),EvName,0)),IFERROR(INDEX(EvID,MATCH(INT($C499),EvDate,0)),""))))</f>
        <v/>
      </c>
      <c r="C499" s="15">
        <f>IF($W499="","",INDEX(FormData,$W499,f_Time))</f>
        <v/>
      </c>
      <c r="D499" s="14">
        <f>IF($W499="","",IFERROR(UPPER(LEFT(TRIM(INDEX(FormData,$W499,f_Name)),1)&amp;IFERROR(MID(TRIM(INDEX(FormData,$W499,f_Name)),FIND("^",SUBSTITUTE(TRIM(INDEX(FormData,$W499,f_Name))," ","^",LEN(TRIM(INDEX(FormData,$W499,f_Name)))-LEN(SUBSTITUTE(TRIM(INDEX(FormData,$W499,f_Name))," ",""))))+1,1),"")),""))</f>
        <v/>
      </c>
      <c r="E499" s="16">
        <f>IF($W499="","",IFERROR(IF(SUMPRODUCT(MAX((WhoKW&lt;&gt;"")*ISNUMBER(SEARCH(WhoKW,INDEX(FormData,$W499,f_Who)&amp;""))*(ROW(WhoKW)-MIN(ROW(WhoKW))+1)))=0,"",INDEX(WhoVal,SUMPRODUCT(MAX((WhoKW&lt;&gt;"")*ISNUMBER(SEARCH(WhoKW,INDEX(FormData,$W499,f_Who)&amp;""))*(ROW(WhoKW)-MIN(ROW(WhoKW))+1))))),""))</f>
        <v/>
      </c>
      <c r="F499" s="17">
        <f>IF($W499="","",TRIM(IFERROR(INDEX(FormData,$W499,f_Org1)&amp;"","")&amp;" "&amp;IFERROR(INDEX(FormData,$W499,f_Org2)&amp;"","")))</f>
        <v/>
      </c>
      <c r="G499" s="16">
        <f>IF($W499="","",IFERROR(INDEX(FormData,$W499,f_Region)&amp;"",""))</f>
        <v/>
      </c>
      <c r="H499" s="16">
        <f>IF($W499="","",IFERROR(IF(SUMPRODUCT(MAX((SitKW&lt;&gt;"")*ISNUMBER(SEARCH(SitKW,INDEX(FormData,$W499,f_Sit)&amp;""))*(ROW(SitKW)-MIN(ROW(SitKW))+1)))=0,"",INDEX(SitVal,SUMPRODUCT(MAX((SitKW&lt;&gt;"")*ISNUMBER(SEARCH(SitKW,INDEX(FormData,$W499,f_Sit)&amp;""))*(ROW(SitKW)-MIN(ROW(SitKW))+1))))),""))</f>
        <v/>
      </c>
      <c r="I499" s="14">
        <f>IF($W499="","",IFERROR(INDEX(FormData,$W499,f_Appr)&amp;"",""))</f>
        <v/>
      </c>
      <c r="J499" s="16">
        <f>IF($W499="","",IFERROR(INDEX(FormData,$W499,f_Trade)&amp;"",""))</f>
        <v/>
      </c>
      <c r="K499" s="16" t="n"/>
      <c r="L499" s="17" t="n"/>
      <c r="M499" s="16" t="n"/>
      <c r="N499" s="17" t="n"/>
      <c r="O499" s="14" t="n"/>
      <c r="P499" s="14" t="n"/>
      <c r="Q499" s="18" t="n"/>
      <c r="R499" s="18" t="n"/>
      <c r="S499" s="13">
        <f>IF($P499&lt;&gt;"✓","",IF($R499&lt;&gt;"","Done",IF($Q499="","Open — no date",IF($Q499&lt;TODAY(),"Overdue",IF($Q499-TODAY()&lt;=DueSoon,"Due soon","Scheduled")))))</f>
        <v/>
      </c>
      <c r="T499" s="14">
        <f>IF($W499="","",IFERROR(IF(INDEX(FormData,$W499,f_Consent)&amp;""="","",IF(ISNUMBER(SEARCH("yes",INDEX(FormData,$W499,f_Consent))),"Yes","No")),""))</f>
        <v/>
      </c>
      <c r="U499" s="14" t="n"/>
      <c r="V499" s="13">
        <f>IF($U499="","",IF($W499="","not found","✓"))</f>
        <v/>
      </c>
      <c r="W499">
        <f>IF($U499="","",IFERROR(MATCH($U499,INDEX(FormData,0,f_Id),0),IFERROR(MATCH(--$U499,INDEX(FormData,0,f_Id),0),IFERROR(MATCH($U499&amp;"",INDEX(FormData,0,f_Id),0),""))))</f>
        <v/>
      </c>
      <c r="X499">
        <f>IF(AND($B499&lt;&gt;"",$B499='Event Report'!$C$3),ROW(),"")</f>
        <v/>
      </c>
      <c r="Y499">
        <f>IF(AND($P499="✓",$R499=""),IF($Q499="",90000,$Q499)+ROW()/100000,"")</f>
        <v/>
      </c>
      <c r="Z499">
        <f>IF(OR($U499&lt;&gt;"",$D499&lt;&gt;"",$E499&lt;&gt;"",$N499&lt;&gt;""),1,"")</f>
        <v/>
      </c>
    </row>
    <row r="500">
      <c r="A500" s="13" t="inlineStr">
        <is>
          <t>P-0496</t>
        </is>
      </c>
      <c r="B500" s="14">
        <f>IF(AND($U500="",$C500=""),"",IFERROR(INDEX(EvID,MATCH(INDEX(FormData,$W500,f_Event),EvID,0)),IFERROR(INDEX(EvID,MATCH(INDEX(FormData,$W500,f_Event),EvName,0)),IFERROR(INDEX(EvID,MATCH(INT($C500),EvDate,0)),""))))</f>
        <v/>
      </c>
      <c r="C500" s="15">
        <f>IF($W500="","",INDEX(FormData,$W500,f_Time))</f>
        <v/>
      </c>
      <c r="D500" s="14">
        <f>IF($W500="","",IFERROR(UPPER(LEFT(TRIM(INDEX(FormData,$W500,f_Name)),1)&amp;IFERROR(MID(TRIM(INDEX(FormData,$W500,f_Name)),FIND("^",SUBSTITUTE(TRIM(INDEX(FormData,$W500,f_Name))," ","^",LEN(TRIM(INDEX(FormData,$W500,f_Name)))-LEN(SUBSTITUTE(TRIM(INDEX(FormData,$W500,f_Name))," ",""))))+1,1),"")),""))</f>
        <v/>
      </c>
      <c r="E500" s="16">
        <f>IF($W500="","",IFERROR(IF(SUMPRODUCT(MAX((WhoKW&lt;&gt;"")*ISNUMBER(SEARCH(WhoKW,INDEX(FormData,$W500,f_Who)&amp;""))*(ROW(WhoKW)-MIN(ROW(WhoKW))+1)))=0,"",INDEX(WhoVal,SUMPRODUCT(MAX((WhoKW&lt;&gt;"")*ISNUMBER(SEARCH(WhoKW,INDEX(FormData,$W500,f_Who)&amp;""))*(ROW(WhoKW)-MIN(ROW(WhoKW))+1))))),""))</f>
        <v/>
      </c>
      <c r="F500" s="17">
        <f>IF($W500="","",TRIM(IFERROR(INDEX(FormData,$W500,f_Org1)&amp;"","")&amp;" "&amp;IFERROR(INDEX(FormData,$W500,f_Org2)&amp;"","")))</f>
        <v/>
      </c>
      <c r="G500" s="16">
        <f>IF($W500="","",IFERROR(INDEX(FormData,$W500,f_Region)&amp;"",""))</f>
        <v/>
      </c>
      <c r="H500" s="16">
        <f>IF($W500="","",IFERROR(IF(SUMPRODUCT(MAX((SitKW&lt;&gt;"")*ISNUMBER(SEARCH(SitKW,INDEX(FormData,$W500,f_Sit)&amp;""))*(ROW(SitKW)-MIN(ROW(SitKW))+1)))=0,"",INDEX(SitVal,SUMPRODUCT(MAX((SitKW&lt;&gt;"")*ISNUMBER(SEARCH(SitKW,INDEX(FormData,$W500,f_Sit)&amp;""))*(ROW(SitKW)-MIN(ROW(SitKW))+1))))),""))</f>
        <v/>
      </c>
      <c r="I500" s="14">
        <f>IF($W500="","",IFERROR(INDEX(FormData,$W500,f_Appr)&amp;"",""))</f>
        <v/>
      </c>
      <c r="J500" s="16">
        <f>IF($W500="","",IFERROR(INDEX(FormData,$W500,f_Trade)&amp;"",""))</f>
        <v/>
      </c>
      <c r="K500" s="16" t="n"/>
      <c r="L500" s="17" t="n"/>
      <c r="M500" s="16" t="n"/>
      <c r="N500" s="17" t="n"/>
      <c r="O500" s="14" t="n"/>
      <c r="P500" s="14" t="n"/>
      <c r="Q500" s="18" t="n"/>
      <c r="R500" s="18" t="n"/>
      <c r="S500" s="13">
        <f>IF($P500&lt;&gt;"✓","",IF($R500&lt;&gt;"","Done",IF($Q500="","Open — no date",IF($Q500&lt;TODAY(),"Overdue",IF($Q500-TODAY()&lt;=DueSoon,"Due soon","Scheduled")))))</f>
        <v/>
      </c>
      <c r="T500" s="14">
        <f>IF($W500="","",IFERROR(IF(INDEX(FormData,$W500,f_Consent)&amp;""="","",IF(ISNUMBER(SEARCH("yes",INDEX(FormData,$W500,f_Consent))),"Yes","No")),""))</f>
        <v/>
      </c>
      <c r="U500" s="14" t="n"/>
      <c r="V500" s="13">
        <f>IF($U500="","",IF($W500="","not found","✓"))</f>
        <v/>
      </c>
      <c r="W500">
        <f>IF($U500="","",IFERROR(MATCH($U500,INDEX(FormData,0,f_Id),0),IFERROR(MATCH(--$U500,INDEX(FormData,0,f_Id),0),IFERROR(MATCH($U500&amp;"",INDEX(FormData,0,f_Id),0),""))))</f>
        <v/>
      </c>
      <c r="X500">
        <f>IF(AND($B500&lt;&gt;"",$B500='Event Report'!$C$3),ROW(),"")</f>
        <v/>
      </c>
      <c r="Y500">
        <f>IF(AND($P500="✓",$R500=""),IF($Q500="",90000,$Q500)+ROW()/100000,"")</f>
        <v/>
      </c>
      <c r="Z500">
        <f>IF(OR($U500&lt;&gt;"",$D500&lt;&gt;"",$E500&lt;&gt;"",$N500&lt;&gt;""),1,"")</f>
        <v/>
      </c>
    </row>
    <row r="501">
      <c r="A501" s="13" t="inlineStr">
        <is>
          <t>P-0497</t>
        </is>
      </c>
      <c r="B501" s="14">
        <f>IF(AND($U501="",$C501=""),"",IFERROR(INDEX(EvID,MATCH(INDEX(FormData,$W501,f_Event),EvID,0)),IFERROR(INDEX(EvID,MATCH(INDEX(FormData,$W501,f_Event),EvName,0)),IFERROR(INDEX(EvID,MATCH(INT($C501),EvDate,0)),""))))</f>
        <v/>
      </c>
      <c r="C501" s="15">
        <f>IF($W501="","",INDEX(FormData,$W501,f_Time))</f>
        <v/>
      </c>
      <c r="D501" s="14">
        <f>IF($W501="","",IFERROR(UPPER(LEFT(TRIM(INDEX(FormData,$W501,f_Name)),1)&amp;IFERROR(MID(TRIM(INDEX(FormData,$W501,f_Name)),FIND("^",SUBSTITUTE(TRIM(INDEX(FormData,$W501,f_Name))," ","^",LEN(TRIM(INDEX(FormData,$W501,f_Name)))-LEN(SUBSTITUTE(TRIM(INDEX(FormData,$W501,f_Name))," ",""))))+1,1),"")),""))</f>
        <v/>
      </c>
      <c r="E501" s="16">
        <f>IF($W501="","",IFERROR(IF(SUMPRODUCT(MAX((WhoKW&lt;&gt;"")*ISNUMBER(SEARCH(WhoKW,INDEX(FormData,$W501,f_Who)&amp;""))*(ROW(WhoKW)-MIN(ROW(WhoKW))+1)))=0,"",INDEX(WhoVal,SUMPRODUCT(MAX((WhoKW&lt;&gt;"")*ISNUMBER(SEARCH(WhoKW,INDEX(FormData,$W501,f_Who)&amp;""))*(ROW(WhoKW)-MIN(ROW(WhoKW))+1))))),""))</f>
        <v/>
      </c>
      <c r="F501" s="17">
        <f>IF($W501="","",TRIM(IFERROR(INDEX(FormData,$W501,f_Org1)&amp;"","")&amp;" "&amp;IFERROR(INDEX(FormData,$W501,f_Org2)&amp;"","")))</f>
        <v/>
      </c>
      <c r="G501" s="16">
        <f>IF($W501="","",IFERROR(INDEX(FormData,$W501,f_Region)&amp;"",""))</f>
        <v/>
      </c>
      <c r="H501" s="16">
        <f>IF($W501="","",IFERROR(IF(SUMPRODUCT(MAX((SitKW&lt;&gt;"")*ISNUMBER(SEARCH(SitKW,INDEX(FormData,$W501,f_Sit)&amp;""))*(ROW(SitKW)-MIN(ROW(SitKW))+1)))=0,"",INDEX(SitVal,SUMPRODUCT(MAX((SitKW&lt;&gt;"")*ISNUMBER(SEARCH(SitKW,INDEX(FormData,$W501,f_Sit)&amp;""))*(ROW(SitKW)-MIN(ROW(SitKW))+1))))),""))</f>
        <v/>
      </c>
      <c r="I501" s="14">
        <f>IF($W501="","",IFERROR(INDEX(FormData,$W501,f_Appr)&amp;"",""))</f>
        <v/>
      </c>
      <c r="J501" s="16">
        <f>IF($W501="","",IFERROR(INDEX(FormData,$W501,f_Trade)&amp;"",""))</f>
        <v/>
      </c>
      <c r="K501" s="16" t="n"/>
      <c r="L501" s="17" t="n"/>
      <c r="M501" s="16" t="n"/>
      <c r="N501" s="17" t="n"/>
      <c r="O501" s="14" t="n"/>
      <c r="P501" s="14" t="n"/>
      <c r="Q501" s="18" t="n"/>
      <c r="R501" s="18" t="n"/>
      <c r="S501" s="13">
        <f>IF($P501&lt;&gt;"✓","",IF($R501&lt;&gt;"","Done",IF($Q501="","Open — no date",IF($Q501&lt;TODAY(),"Overdue",IF($Q501-TODAY()&lt;=DueSoon,"Due soon","Scheduled")))))</f>
        <v/>
      </c>
      <c r="T501" s="14">
        <f>IF($W501="","",IFERROR(IF(INDEX(FormData,$W501,f_Consent)&amp;""="","",IF(ISNUMBER(SEARCH("yes",INDEX(FormData,$W501,f_Consent))),"Yes","No")),""))</f>
        <v/>
      </c>
      <c r="U501" s="14" t="n"/>
      <c r="V501" s="13">
        <f>IF($U501="","",IF($W501="","not found","✓"))</f>
        <v/>
      </c>
      <c r="W501">
        <f>IF($U501="","",IFERROR(MATCH($U501,INDEX(FormData,0,f_Id),0),IFERROR(MATCH(--$U501,INDEX(FormData,0,f_Id),0),IFERROR(MATCH($U501&amp;"",INDEX(FormData,0,f_Id),0),""))))</f>
        <v/>
      </c>
      <c r="X501">
        <f>IF(AND($B501&lt;&gt;"",$B501='Event Report'!$C$3),ROW(),"")</f>
        <v/>
      </c>
      <c r="Y501">
        <f>IF(AND($P501="✓",$R501=""),IF($Q501="",90000,$Q501)+ROW()/100000,"")</f>
        <v/>
      </c>
      <c r="Z501">
        <f>IF(OR($U501&lt;&gt;"",$D501&lt;&gt;"",$E501&lt;&gt;"",$N501&lt;&gt;""),1,"")</f>
        <v/>
      </c>
    </row>
    <row r="502">
      <c r="A502" s="13" t="inlineStr">
        <is>
          <t>P-0498</t>
        </is>
      </c>
      <c r="B502" s="14">
        <f>IF(AND($U502="",$C502=""),"",IFERROR(INDEX(EvID,MATCH(INDEX(FormData,$W502,f_Event),EvID,0)),IFERROR(INDEX(EvID,MATCH(INDEX(FormData,$W502,f_Event),EvName,0)),IFERROR(INDEX(EvID,MATCH(INT($C502),EvDate,0)),""))))</f>
        <v/>
      </c>
      <c r="C502" s="15">
        <f>IF($W502="","",INDEX(FormData,$W502,f_Time))</f>
        <v/>
      </c>
      <c r="D502" s="14">
        <f>IF($W502="","",IFERROR(UPPER(LEFT(TRIM(INDEX(FormData,$W502,f_Name)),1)&amp;IFERROR(MID(TRIM(INDEX(FormData,$W502,f_Name)),FIND("^",SUBSTITUTE(TRIM(INDEX(FormData,$W502,f_Name))," ","^",LEN(TRIM(INDEX(FormData,$W502,f_Name)))-LEN(SUBSTITUTE(TRIM(INDEX(FormData,$W502,f_Name))," ",""))))+1,1),"")),""))</f>
        <v/>
      </c>
      <c r="E502" s="16">
        <f>IF($W502="","",IFERROR(IF(SUMPRODUCT(MAX((WhoKW&lt;&gt;"")*ISNUMBER(SEARCH(WhoKW,INDEX(FormData,$W502,f_Who)&amp;""))*(ROW(WhoKW)-MIN(ROW(WhoKW))+1)))=0,"",INDEX(WhoVal,SUMPRODUCT(MAX((WhoKW&lt;&gt;"")*ISNUMBER(SEARCH(WhoKW,INDEX(FormData,$W502,f_Who)&amp;""))*(ROW(WhoKW)-MIN(ROW(WhoKW))+1))))),""))</f>
        <v/>
      </c>
      <c r="F502" s="17">
        <f>IF($W502="","",TRIM(IFERROR(INDEX(FormData,$W502,f_Org1)&amp;"","")&amp;" "&amp;IFERROR(INDEX(FormData,$W502,f_Org2)&amp;"","")))</f>
        <v/>
      </c>
      <c r="G502" s="16">
        <f>IF($W502="","",IFERROR(INDEX(FormData,$W502,f_Region)&amp;"",""))</f>
        <v/>
      </c>
      <c r="H502" s="16">
        <f>IF($W502="","",IFERROR(IF(SUMPRODUCT(MAX((SitKW&lt;&gt;"")*ISNUMBER(SEARCH(SitKW,INDEX(FormData,$W502,f_Sit)&amp;""))*(ROW(SitKW)-MIN(ROW(SitKW))+1)))=0,"",INDEX(SitVal,SUMPRODUCT(MAX((SitKW&lt;&gt;"")*ISNUMBER(SEARCH(SitKW,INDEX(FormData,$W502,f_Sit)&amp;""))*(ROW(SitKW)-MIN(ROW(SitKW))+1))))),""))</f>
        <v/>
      </c>
      <c r="I502" s="14">
        <f>IF($W502="","",IFERROR(INDEX(FormData,$W502,f_Appr)&amp;"",""))</f>
        <v/>
      </c>
      <c r="J502" s="16">
        <f>IF($W502="","",IFERROR(INDEX(FormData,$W502,f_Trade)&amp;"",""))</f>
        <v/>
      </c>
      <c r="K502" s="16" t="n"/>
      <c r="L502" s="17" t="n"/>
      <c r="M502" s="16" t="n"/>
      <c r="N502" s="17" t="n"/>
      <c r="O502" s="14" t="n"/>
      <c r="P502" s="14" t="n"/>
      <c r="Q502" s="18" t="n"/>
      <c r="R502" s="18" t="n"/>
      <c r="S502" s="13">
        <f>IF($P502&lt;&gt;"✓","",IF($R502&lt;&gt;"","Done",IF($Q502="","Open — no date",IF($Q502&lt;TODAY(),"Overdue",IF($Q502-TODAY()&lt;=DueSoon,"Due soon","Scheduled")))))</f>
        <v/>
      </c>
      <c r="T502" s="14">
        <f>IF($W502="","",IFERROR(IF(INDEX(FormData,$W502,f_Consent)&amp;""="","",IF(ISNUMBER(SEARCH("yes",INDEX(FormData,$W502,f_Consent))),"Yes","No")),""))</f>
        <v/>
      </c>
      <c r="U502" s="14" t="n"/>
      <c r="V502" s="13">
        <f>IF($U502="","",IF($W502="","not found","✓"))</f>
        <v/>
      </c>
      <c r="W502">
        <f>IF($U502="","",IFERROR(MATCH($U502,INDEX(FormData,0,f_Id),0),IFERROR(MATCH(--$U502,INDEX(FormData,0,f_Id),0),IFERROR(MATCH($U502&amp;"",INDEX(FormData,0,f_Id),0),""))))</f>
        <v/>
      </c>
      <c r="X502">
        <f>IF(AND($B502&lt;&gt;"",$B502='Event Report'!$C$3),ROW(),"")</f>
        <v/>
      </c>
      <c r="Y502">
        <f>IF(AND($P502="✓",$R502=""),IF($Q502="",90000,$Q502)+ROW()/100000,"")</f>
        <v/>
      </c>
      <c r="Z502">
        <f>IF(OR($U502&lt;&gt;"",$D502&lt;&gt;"",$E502&lt;&gt;"",$N502&lt;&gt;""),1,"")</f>
        <v/>
      </c>
    </row>
    <row r="503">
      <c r="A503" s="13" t="inlineStr">
        <is>
          <t>P-0499</t>
        </is>
      </c>
      <c r="B503" s="14">
        <f>IF(AND($U503="",$C503=""),"",IFERROR(INDEX(EvID,MATCH(INDEX(FormData,$W503,f_Event),EvID,0)),IFERROR(INDEX(EvID,MATCH(INDEX(FormData,$W503,f_Event),EvName,0)),IFERROR(INDEX(EvID,MATCH(INT($C503),EvDate,0)),""))))</f>
        <v/>
      </c>
      <c r="C503" s="15">
        <f>IF($W503="","",INDEX(FormData,$W503,f_Time))</f>
        <v/>
      </c>
      <c r="D503" s="14">
        <f>IF($W503="","",IFERROR(UPPER(LEFT(TRIM(INDEX(FormData,$W503,f_Name)),1)&amp;IFERROR(MID(TRIM(INDEX(FormData,$W503,f_Name)),FIND("^",SUBSTITUTE(TRIM(INDEX(FormData,$W503,f_Name))," ","^",LEN(TRIM(INDEX(FormData,$W503,f_Name)))-LEN(SUBSTITUTE(TRIM(INDEX(FormData,$W503,f_Name))," ",""))))+1,1),"")),""))</f>
        <v/>
      </c>
      <c r="E503" s="16">
        <f>IF($W503="","",IFERROR(IF(SUMPRODUCT(MAX((WhoKW&lt;&gt;"")*ISNUMBER(SEARCH(WhoKW,INDEX(FormData,$W503,f_Who)&amp;""))*(ROW(WhoKW)-MIN(ROW(WhoKW))+1)))=0,"",INDEX(WhoVal,SUMPRODUCT(MAX((WhoKW&lt;&gt;"")*ISNUMBER(SEARCH(WhoKW,INDEX(FormData,$W503,f_Who)&amp;""))*(ROW(WhoKW)-MIN(ROW(WhoKW))+1))))),""))</f>
        <v/>
      </c>
      <c r="F503" s="17">
        <f>IF($W503="","",TRIM(IFERROR(INDEX(FormData,$W503,f_Org1)&amp;"","")&amp;" "&amp;IFERROR(INDEX(FormData,$W503,f_Org2)&amp;"","")))</f>
        <v/>
      </c>
      <c r="G503" s="16">
        <f>IF($W503="","",IFERROR(INDEX(FormData,$W503,f_Region)&amp;"",""))</f>
        <v/>
      </c>
      <c r="H503" s="16">
        <f>IF($W503="","",IFERROR(IF(SUMPRODUCT(MAX((SitKW&lt;&gt;"")*ISNUMBER(SEARCH(SitKW,INDEX(FormData,$W503,f_Sit)&amp;""))*(ROW(SitKW)-MIN(ROW(SitKW))+1)))=0,"",INDEX(SitVal,SUMPRODUCT(MAX((SitKW&lt;&gt;"")*ISNUMBER(SEARCH(SitKW,INDEX(FormData,$W503,f_Sit)&amp;""))*(ROW(SitKW)-MIN(ROW(SitKW))+1))))),""))</f>
        <v/>
      </c>
      <c r="I503" s="14">
        <f>IF($W503="","",IFERROR(INDEX(FormData,$W503,f_Appr)&amp;"",""))</f>
        <v/>
      </c>
      <c r="J503" s="16">
        <f>IF($W503="","",IFERROR(INDEX(FormData,$W503,f_Trade)&amp;"",""))</f>
        <v/>
      </c>
      <c r="K503" s="16" t="n"/>
      <c r="L503" s="17" t="n"/>
      <c r="M503" s="16" t="n"/>
      <c r="N503" s="17" t="n"/>
      <c r="O503" s="14" t="n"/>
      <c r="P503" s="14" t="n"/>
      <c r="Q503" s="18" t="n"/>
      <c r="R503" s="18" t="n"/>
      <c r="S503" s="13">
        <f>IF($P503&lt;&gt;"✓","",IF($R503&lt;&gt;"","Done",IF($Q503="","Open — no date",IF($Q503&lt;TODAY(),"Overdue",IF($Q503-TODAY()&lt;=DueSoon,"Due soon","Scheduled")))))</f>
        <v/>
      </c>
      <c r="T503" s="14">
        <f>IF($W503="","",IFERROR(IF(INDEX(FormData,$W503,f_Consent)&amp;""="","",IF(ISNUMBER(SEARCH("yes",INDEX(FormData,$W503,f_Consent))),"Yes","No")),""))</f>
        <v/>
      </c>
      <c r="U503" s="14" t="n"/>
      <c r="V503" s="13">
        <f>IF($U503="","",IF($W503="","not found","✓"))</f>
        <v/>
      </c>
      <c r="W503">
        <f>IF($U503="","",IFERROR(MATCH($U503,INDEX(FormData,0,f_Id),0),IFERROR(MATCH(--$U503,INDEX(FormData,0,f_Id),0),IFERROR(MATCH($U503&amp;"",INDEX(FormData,0,f_Id),0),""))))</f>
        <v/>
      </c>
      <c r="X503">
        <f>IF(AND($B503&lt;&gt;"",$B503='Event Report'!$C$3),ROW(),"")</f>
        <v/>
      </c>
      <c r="Y503">
        <f>IF(AND($P503="✓",$R503=""),IF($Q503="",90000,$Q503)+ROW()/100000,"")</f>
        <v/>
      </c>
      <c r="Z503">
        <f>IF(OR($U503&lt;&gt;"",$D503&lt;&gt;"",$E503&lt;&gt;"",$N503&lt;&gt;""),1,"")</f>
        <v/>
      </c>
    </row>
    <row r="504">
      <c r="A504" s="13" t="inlineStr">
        <is>
          <t>P-0500</t>
        </is>
      </c>
      <c r="B504" s="14">
        <f>IF(AND($U504="",$C504=""),"",IFERROR(INDEX(EvID,MATCH(INDEX(FormData,$W504,f_Event),EvID,0)),IFERROR(INDEX(EvID,MATCH(INDEX(FormData,$W504,f_Event),EvName,0)),IFERROR(INDEX(EvID,MATCH(INT($C504),EvDate,0)),""))))</f>
        <v/>
      </c>
      <c r="C504" s="15">
        <f>IF($W504="","",INDEX(FormData,$W504,f_Time))</f>
        <v/>
      </c>
      <c r="D504" s="14">
        <f>IF($W504="","",IFERROR(UPPER(LEFT(TRIM(INDEX(FormData,$W504,f_Name)),1)&amp;IFERROR(MID(TRIM(INDEX(FormData,$W504,f_Name)),FIND("^",SUBSTITUTE(TRIM(INDEX(FormData,$W504,f_Name))," ","^",LEN(TRIM(INDEX(FormData,$W504,f_Name)))-LEN(SUBSTITUTE(TRIM(INDEX(FormData,$W504,f_Name))," ",""))))+1,1),"")),""))</f>
        <v/>
      </c>
      <c r="E504" s="16">
        <f>IF($W504="","",IFERROR(IF(SUMPRODUCT(MAX((WhoKW&lt;&gt;"")*ISNUMBER(SEARCH(WhoKW,INDEX(FormData,$W504,f_Who)&amp;""))*(ROW(WhoKW)-MIN(ROW(WhoKW))+1)))=0,"",INDEX(WhoVal,SUMPRODUCT(MAX((WhoKW&lt;&gt;"")*ISNUMBER(SEARCH(WhoKW,INDEX(FormData,$W504,f_Who)&amp;""))*(ROW(WhoKW)-MIN(ROW(WhoKW))+1))))),""))</f>
        <v/>
      </c>
      <c r="F504" s="17">
        <f>IF($W504="","",TRIM(IFERROR(INDEX(FormData,$W504,f_Org1)&amp;"","")&amp;" "&amp;IFERROR(INDEX(FormData,$W504,f_Org2)&amp;"","")))</f>
        <v/>
      </c>
      <c r="G504" s="16">
        <f>IF($W504="","",IFERROR(INDEX(FormData,$W504,f_Region)&amp;"",""))</f>
        <v/>
      </c>
      <c r="H504" s="16">
        <f>IF($W504="","",IFERROR(IF(SUMPRODUCT(MAX((SitKW&lt;&gt;"")*ISNUMBER(SEARCH(SitKW,INDEX(FormData,$W504,f_Sit)&amp;""))*(ROW(SitKW)-MIN(ROW(SitKW))+1)))=0,"",INDEX(SitVal,SUMPRODUCT(MAX((SitKW&lt;&gt;"")*ISNUMBER(SEARCH(SitKW,INDEX(FormData,$W504,f_Sit)&amp;""))*(ROW(SitKW)-MIN(ROW(SitKW))+1))))),""))</f>
        <v/>
      </c>
      <c r="I504" s="14">
        <f>IF($W504="","",IFERROR(INDEX(FormData,$W504,f_Appr)&amp;"",""))</f>
        <v/>
      </c>
      <c r="J504" s="16">
        <f>IF($W504="","",IFERROR(INDEX(FormData,$W504,f_Trade)&amp;"",""))</f>
        <v/>
      </c>
      <c r="K504" s="16" t="n"/>
      <c r="L504" s="17" t="n"/>
      <c r="M504" s="16" t="n"/>
      <c r="N504" s="17" t="n"/>
      <c r="O504" s="14" t="n"/>
      <c r="P504" s="14" t="n"/>
      <c r="Q504" s="18" t="n"/>
      <c r="R504" s="18" t="n"/>
      <c r="S504" s="13">
        <f>IF($P504&lt;&gt;"✓","",IF($R504&lt;&gt;"","Done",IF($Q504="","Open — no date",IF($Q504&lt;TODAY(),"Overdue",IF($Q504-TODAY()&lt;=DueSoon,"Due soon","Scheduled")))))</f>
        <v/>
      </c>
      <c r="T504" s="14">
        <f>IF($W504="","",IFERROR(IF(INDEX(FormData,$W504,f_Consent)&amp;""="","",IF(ISNUMBER(SEARCH("yes",INDEX(FormData,$W504,f_Consent))),"Yes","No")),""))</f>
        <v/>
      </c>
      <c r="U504" s="14" t="n"/>
      <c r="V504" s="13">
        <f>IF($U504="","",IF($W504="","not found","✓"))</f>
        <v/>
      </c>
      <c r="W504">
        <f>IF($U504="","",IFERROR(MATCH($U504,INDEX(FormData,0,f_Id),0),IFERROR(MATCH(--$U504,INDEX(FormData,0,f_Id),0),IFERROR(MATCH($U504&amp;"",INDEX(FormData,0,f_Id),0),""))))</f>
        <v/>
      </c>
      <c r="X504">
        <f>IF(AND($B504&lt;&gt;"",$B504='Event Report'!$C$3),ROW(),"")</f>
        <v/>
      </c>
      <c r="Y504">
        <f>IF(AND($P504="✓",$R504=""),IF($Q504="",90000,$Q504)+ROW()/100000,"")</f>
        <v/>
      </c>
      <c r="Z504">
        <f>IF(OR($U504&lt;&gt;"",$D504&lt;&gt;"",$E504&lt;&gt;"",$N504&lt;&gt;""),1,"")</f>
        <v/>
      </c>
    </row>
    <row r="505">
      <c r="A505" s="13" t="inlineStr">
        <is>
          <t>P-0501</t>
        </is>
      </c>
      <c r="B505" s="14">
        <f>IF(AND($U505="",$C505=""),"",IFERROR(INDEX(EvID,MATCH(INDEX(FormData,$W505,f_Event),EvID,0)),IFERROR(INDEX(EvID,MATCH(INDEX(FormData,$W505,f_Event),EvName,0)),IFERROR(INDEX(EvID,MATCH(INT($C505),EvDate,0)),""))))</f>
        <v/>
      </c>
      <c r="C505" s="15">
        <f>IF($W505="","",INDEX(FormData,$W505,f_Time))</f>
        <v/>
      </c>
      <c r="D505" s="14">
        <f>IF($W505="","",IFERROR(UPPER(LEFT(TRIM(INDEX(FormData,$W505,f_Name)),1)&amp;IFERROR(MID(TRIM(INDEX(FormData,$W505,f_Name)),FIND("^",SUBSTITUTE(TRIM(INDEX(FormData,$W505,f_Name))," ","^",LEN(TRIM(INDEX(FormData,$W505,f_Name)))-LEN(SUBSTITUTE(TRIM(INDEX(FormData,$W505,f_Name))," ",""))))+1,1),"")),""))</f>
        <v/>
      </c>
      <c r="E505" s="16">
        <f>IF($W505="","",IFERROR(IF(SUMPRODUCT(MAX((WhoKW&lt;&gt;"")*ISNUMBER(SEARCH(WhoKW,INDEX(FormData,$W505,f_Who)&amp;""))*(ROW(WhoKW)-MIN(ROW(WhoKW))+1)))=0,"",INDEX(WhoVal,SUMPRODUCT(MAX((WhoKW&lt;&gt;"")*ISNUMBER(SEARCH(WhoKW,INDEX(FormData,$W505,f_Who)&amp;""))*(ROW(WhoKW)-MIN(ROW(WhoKW))+1))))),""))</f>
        <v/>
      </c>
      <c r="F505" s="17">
        <f>IF($W505="","",TRIM(IFERROR(INDEX(FormData,$W505,f_Org1)&amp;"","")&amp;" "&amp;IFERROR(INDEX(FormData,$W505,f_Org2)&amp;"","")))</f>
        <v/>
      </c>
      <c r="G505" s="16">
        <f>IF($W505="","",IFERROR(INDEX(FormData,$W505,f_Region)&amp;"",""))</f>
        <v/>
      </c>
      <c r="H505" s="16">
        <f>IF($W505="","",IFERROR(IF(SUMPRODUCT(MAX((SitKW&lt;&gt;"")*ISNUMBER(SEARCH(SitKW,INDEX(FormData,$W505,f_Sit)&amp;""))*(ROW(SitKW)-MIN(ROW(SitKW))+1)))=0,"",INDEX(SitVal,SUMPRODUCT(MAX((SitKW&lt;&gt;"")*ISNUMBER(SEARCH(SitKW,INDEX(FormData,$W505,f_Sit)&amp;""))*(ROW(SitKW)-MIN(ROW(SitKW))+1))))),""))</f>
        <v/>
      </c>
      <c r="I505" s="14">
        <f>IF($W505="","",IFERROR(INDEX(FormData,$W505,f_Appr)&amp;"",""))</f>
        <v/>
      </c>
      <c r="J505" s="16">
        <f>IF($W505="","",IFERROR(INDEX(FormData,$W505,f_Trade)&amp;"",""))</f>
        <v/>
      </c>
      <c r="K505" s="16" t="n"/>
      <c r="L505" s="17" t="n"/>
      <c r="M505" s="16" t="n"/>
      <c r="N505" s="17" t="n"/>
      <c r="O505" s="14" t="n"/>
      <c r="P505" s="14" t="n"/>
      <c r="Q505" s="18" t="n"/>
      <c r="R505" s="18" t="n"/>
      <c r="S505" s="13">
        <f>IF($P505&lt;&gt;"✓","",IF($R505&lt;&gt;"","Done",IF($Q505="","Open — no date",IF($Q505&lt;TODAY(),"Overdue",IF($Q505-TODAY()&lt;=DueSoon,"Due soon","Scheduled")))))</f>
        <v/>
      </c>
      <c r="T505" s="14">
        <f>IF($W505="","",IFERROR(IF(INDEX(FormData,$W505,f_Consent)&amp;""="","",IF(ISNUMBER(SEARCH("yes",INDEX(FormData,$W505,f_Consent))),"Yes","No")),""))</f>
        <v/>
      </c>
      <c r="U505" s="14" t="n"/>
      <c r="V505" s="13">
        <f>IF($U505="","",IF($W505="","not found","✓"))</f>
        <v/>
      </c>
      <c r="W505">
        <f>IF($U505="","",IFERROR(MATCH($U505,INDEX(FormData,0,f_Id),0),IFERROR(MATCH(--$U505,INDEX(FormData,0,f_Id),0),IFERROR(MATCH($U505&amp;"",INDEX(FormData,0,f_Id),0),""))))</f>
        <v/>
      </c>
      <c r="X505">
        <f>IF(AND($B505&lt;&gt;"",$B505='Event Report'!$C$3),ROW(),"")</f>
        <v/>
      </c>
      <c r="Y505">
        <f>IF(AND($P505="✓",$R505=""),IF($Q505="",90000,$Q505)+ROW()/100000,"")</f>
        <v/>
      </c>
      <c r="Z505">
        <f>IF(OR($U505&lt;&gt;"",$D505&lt;&gt;"",$E505&lt;&gt;"",$N505&lt;&gt;""),1,"")</f>
        <v/>
      </c>
    </row>
    <row r="506">
      <c r="A506" s="13" t="inlineStr">
        <is>
          <t>P-0502</t>
        </is>
      </c>
      <c r="B506" s="14">
        <f>IF(AND($U506="",$C506=""),"",IFERROR(INDEX(EvID,MATCH(INDEX(FormData,$W506,f_Event),EvID,0)),IFERROR(INDEX(EvID,MATCH(INDEX(FormData,$W506,f_Event),EvName,0)),IFERROR(INDEX(EvID,MATCH(INT($C506),EvDate,0)),""))))</f>
        <v/>
      </c>
      <c r="C506" s="15">
        <f>IF($W506="","",INDEX(FormData,$W506,f_Time))</f>
        <v/>
      </c>
      <c r="D506" s="14">
        <f>IF($W506="","",IFERROR(UPPER(LEFT(TRIM(INDEX(FormData,$W506,f_Name)),1)&amp;IFERROR(MID(TRIM(INDEX(FormData,$W506,f_Name)),FIND("^",SUBSTITUTE(TRIM(INDEX(FormData,$W506,f_Name))," ","^",LEN(TRIM(INDEX(FormData,$W506,f_Name)))-LEN(SUBSTITUTE(TRIM(INDEX(FormData,$W506,f_Name))," ",""))))+1,1),"")),""))</f>
        <v/>
      </c>
      <c r="E506" s="16">
        <f>IF($W506="","",IFERROR(IF(SUMPRODUCT(MAX((WhoKW&lt;&gt;"")*ISNUMBER(SEARCH(WhoKW,INDEX(FormData,$W506,f_Who)&amp;""))*(ROW(WhoKW)-MIN(ROW(WhoKW))+1)))=0,"",INDEX(WhoVal,SUMPRODUCT(MAX((WhoKW&lt;&gt;"")*ISNUMBER(SEARCH(WhoKW,INDEX(FormData,$W506,f_Who)&amp;""))*(ROW(WhoKW)-MIN(ROW(WhoKW))+1))))),""))</f>
        <v/>
      </c>
      <c r="F506" s="17">
        <f>IF($W506="","",TRIM(IFERROR(INDEX(FormData,$W506,f_Org1)&amp;"","")&amp;" "&amp;IFERROR(INDEX(FormData,$W506,f_Org2)&amp;"","")))</f>
        <v/>
      </c>
      <c r="G506" s="16">
        <f>IF($W506="","",IFERROR(INDEX(FormData,$W506,f_Region)&amp;"",""))</f>
        <v/>
      </c>
      <c r="H506" s="16">
        <f>IF($W506="","",IFERROR(IF(SUMPRODUCT(MAX((SitKW&lt;&gt;"")*ISNUMBER(SEARCH(SitKW,INDEX(FormData,$W506,f_Sit)&amp;""))*(ROW(SitKW)-MIN(ROW(SitKW))+1)))=0,"",INDEX(SitVal,SUMPRODUCT(MAX((SitKW&lt;&gt;"")*ISNUMBER(SEARCH(SitKW,INDEX(FormData,$W506,f_Sit)&amp;""))*(ROW(SitKW)-MIN(ROW(SitKW))+1))))),""))</f>
        <v/>
      </c>
      <c r="I506" s="14">
        <f>IF($W506="","",IFERROR(INDEX(FormData,$W506,f_Appr)&amp;"",""))</f>
        <v/>
      </c>
      <c r="J506" s="16">
        <f>IF($W506="","",IFERROR(INDEX(FormData,$W506,f_Trade)&amp;"",""))</f>
        <v/>
      </c>
      <c r="K506" s="16" t="n"/>
      <c r="L506" s="17" t="n"/>
      <c r="M506" s="16" t="n"/>
      <c r="N506" s="17" t="n"/>
      <c r="O506" s="14" t="n"/>
      <c r="P506" s="14" t="n"/>
      <c r="Q506" s="18" t="n"/>
      <c r="R506" s="18" t="n"/>
      <c r="S506" s="13">
        <f>IF($P506&lt;&gt;"✓","",IF($R506&lt;&gt;"","Done",IF($Q506="","Open — no date",IF($Q506&lt;TODAY(),"Overdue",IF($Q506-TODAY()&lt;=DueSoon,"Due soon","Scheduled")))))</f>
        <v/>
      </c>
      <c r="T506" s="14">
        <f>IF($W506="","",IFERROR(IF(INDEX(FormData,$W506,f_Consent)&amp;""="","",IF(ISNUMBER(SEARCH("yes",INDEX(FormData,$W506,f_Consent))),"Yes","No")),""))</f>
        <v/>
      </c>
      <c r="U506" s="14" t="n"/>
      <c r="V506" s="13">
        <f>IF($U506="","",IF($W506="","not found","✓"))</f>
        <v/>
      </c>
      <c r="W506">
        <f>IF($U506="","",IFERROR(MATCH($U506,INDEX(FormData,0,f_Id),0),IFERROR(MATCH(--$U506,INDEX(FormData,0,f_Id),0),IFERROR(MATCH($U506&amp;"",INDEX(FormData,0,f_Id),0),""))))</f>
        <v/>
      </c>
      <c r="X506">
        <f>IF(AND($B506&lt;&gt;"",$B506='Event Report'!$C$3),ROW(),"")</f>
        <v/>
      </c>
      <c r="Y506">
        <f>IF(AND($P506="✓",$R506=""),IF($Q506="",90000,$Q506)+ROW()/100000,"")</f>
        <v/>
      </c>
      <c r="Z506">
        <f>IF(OR($U506&lt;&gt;"",$D506&lt;&gt;"",$E506&lt;&gt;"",$N506&lt;&gt;""),1,"")</f>
        <v/>
      </c>
    </row>
    <row r="507">
      <c r="A507" s="13" t="inlineStr">
        <is>
          <t>P-0503</t>
        </is>
      </c>
      <c r="B507" s="14">
        <f>IF(AND($U507="",$C507=""),"",IFERROR(INDEX(EvID,MATCH(INDEX(FormData,$W507,f_Event),EvID,0)),IFERROR(INDEX(EvID,MATCH(INDEX(FormData,$W507,f_Event),EvName,0)),IFERROR(INDEX(EvID,MATCH(INT($C507),EvDate,0)),""))))</f>
        <v/>
      </c>
      <c r="C507" s="15">
        <f>IF($W507="","",INDEX(FormData,$W507,f_Time))</f>
        <v/>
      </c>
      <c r="D507" s="14">
        <f>IF($W507="","",IFERROR(UPPER(LEFT(TRIM(INDEX(FormData,$W507,f_Name)),1)&amp;IFERROR(MID(TRIM(INDEX(FormData,$W507,f_Name)),FIND("^",SUBSTITUTE(TRIM(INDEX(FormData,$W507,f_Name))," ","^",LEN(TRIM(INDEX(FormData,$W507,f_Name)))-LEN(SUBSTITUTE(TRIM(INDEX(FormData,$W507,f_Name))," ",""))))+1,1),"")),""))</f>
        <v/>
      </c>
      <c r="E507" s="16">
        <f>IF($W507="","",IFERROR(IF(SUMPRODUCT(MAX((WhoKW&lt;&gt;"")*ISNUMBER(SEARCH(WhoKW,INDEX(FormData,$W507,f_Who)&amp;""))*(ROW(WhoKW)-MIN(ROW(WhoKW))+1)))=0,"",INDEX(WhoVal,SUMPRODUCT(MAX((WhoKW&lt;&gt;"")*ISNUMBER(SEARCH(WhoKW,INDEX(FormData,$W507,f_Who)&amp;""))*(ROW(WhoKW)-MIN(ROW(WhoKW))+1))))),""))</f>
        <v/>
      </c>
      <c r="F507" s="17">
        <f>IF($W507="","",TRIM(IFERROR(INDEX(FormData,$W507,f_Org1)&amp;"","")&amp;" "&amp;IFERROR(INDEX(FormData,$W507,f_Org2)&amp;"","")))</f>
        <v/>
      </c>
      <c r="G507" s="16">
        <f>IF($W507="","",IFERROR(INDEX(FormData,$W507,f_Region)&amp;"",""))</f>
        <v/>
      </c>
      <c r="H507" s="16">
        <f>IF($W507="","",IFERROR(IF(SUMPRODUCT(MAX((SitKW&lt;&gt;"")*ISNUMBER(SEARCH(SitKW,INDEX(FormData,$W507,f_Sit)&amp;""))*(ROW(SitKW)-MIN(ROW(SitKW))+1)))=0,"",INDEX(SitVal,SUMPRODUCT(MAX((SitKW&lt;&gt;"")*ISNUMBER(SEARCH(SitKW,INDEX(FormData,$W507,f_Sit)&amp;""))*(ROW(SitKW)-MIN(ROW(SitKW))+1))))),""))</f>
        <v/>
      </c>
      <c r="I507" s="14">
        <f>IF($W507="","",IFERROR(INDEX(FormData,$W507,f_Appr)&amp;"",""))</f>
        <v/>
      </c>
      <c r="J507" s="16">
        <f>IF($W507="","",IFERROR(INDEX(FormData,$W507,f_Trade)&amp;"",""))</f>
        <v/>
      </c>
      <c r="K507" s="16" t="n"/>
      <c r="L507" s="17" t="n"/>
      <c r="M507" s="16" t="n"/>
      <c r="N507" s="17" t="n"/>
      <c r="O507" s="14" t="n"/>
      <c r="P507" s="14" t="n"/>
      <c r="Q507" s="18" t="n"/>
      <c r="R507" s="18" t="n"/>
      <c r="S507" s="13">
        <f>IF($P507&lt;&gt;"✓","",IF($R507&lt;&gt;"","Done",IF($Q507="","Open — no date",IF($Q507&lt;TODAY(),"Overdue",IF($Q507-TODAY()&lt;=DueSoon,"Due soon","Scheduled")))))</f>
        <v/>
      </c>
      <c r="T507" s="14">
        <f>IF($W507="","",IFERROR(IF(INDEX(FormData,$W507,f_Consent)&amp;""="","",IF(ISNUMBER(SEARCH("yes",INDEX(FormData,$W507,f_Consent))),"Yes","No")),""))</f>
        <v/>
      </c>
      <c r="U507" s="14" t="n"/>
      <c r="V507" s="13">
        <f>IF($U507="","",IF($W507="","not found","✓"))</f>
        <v/>
      </c>
      <c r="W507">
        <f>IF($U507="","",IFERROR(MATCH($U507,INDEX(FormData,0,f_Id),0),IFERROR(MATCH(--$U507,INDEX(FormData,0,f_Id),0),IFERROR(MATCH($U507&amp;"",INDEX(FormData,0,f_Id),0),""))))</f>
        <v/>
      </c>
      <c r="X507">
        <f>IF(AND($B507&lt;&gt;"",$B507='Event Report'!$C$3),ROW(),"")</f>
        <v/>
      </c>
      <c r="Y507">
        <f>IF(AND($P507="✓",$R507=""),IF($Q507="",90000,$Q507)+ROW()/100000,"")</f>
        <v/>
      </c>
      <c r="Z507">
        <f>IF(OR($U507&lt;&gt;"",$D507&lt;&gt;"",$E507&lt;&gt;"",$N507&lt;&gt;""),1,"")</f>
        <v/>
      </c>
    </row>
    <row r="508">
      <c r="A508" s="13" t="inlineStr">
        <is>
          <t>P-0504</t>
        </is>
      </c>
      <c r="B508" s="14">
        <f>IF(AND($U508="",$C508=""),"",IFERROR(INDEX(EvID,MATCH(INDEX(FormData,$W508,f_Event),EvID,0)),IFERROR(INDEX(EvID,MATCH(INDEX(FormData,$W508,f_Event),EvName,0)),IFERROR(INDEX(EvID,MATCH(INT($C508),EvDate,0)),""))))</f>
        <v/>
      </c>
      <c r="C508" s="15">
        <f>IF($W508="","",INDEX(FormData,$W508,f_Time))</f>
        <v/>
      </c>
      <c r="D508" s="14">
        <f>IF($W508="","",IFERROR(UPPER(LEFT(TRIM(INDEX(FormData,$W508,f_Name)),1)&amp;IFERROR(MID(TRIM(INDEX(FormData,$W508,f_Name)),FIND("^",SUBSTITUTE(TRIM(INDEX(FormData,$W508,f_Name))," ","^",LEN(TRIM(INDEX(FormData,$W508,f_Name)))-LEN(SUBSTITUTE(TRIM(INDEX(FormData,$W508,f_Name))," ",""))))+1,1),"")),""))</f>
        <v/>
      </c>
      <c r="E508" s="16">
        <f>IF($W508="","",IFERROR(IF(SUMPRODUCT(MAX((WhoKW&lt;&gt;"")*ISNUMBER(SEARCH(WhoKW,INDEX(FormData,$W508,f_Who)&amp;""))*(ROW(WhoKW)-MIN(ROW(WhoKW))+1)))=0,"",INDEX(WhoVal,SUMPRODUCT(MAX((WhoKW&lt;&gt;"")*ISNUMBER(SEARCH(WhoKW,INDEX(FormData,$W508,f_Who)&amp;""))*(ROW(WhoKW)-MIN(ROW(WhoKW))+1))))),""))</f>
        <v/>
      </c>
      <c r="F508" s="17">
        <f>IF($W508="","",TRIM(IFERROR(INDEX(FormData,$W508,f_Org1)&amp;"","")&amp;" "&amp;IFERROR(INDEX(FormData,$W508,f_Org2)&amp;"","")))</f>
        <v/>
      </c>
      <c r="G508" s="16">
        <f>IF($W508="","",IFERROR(INDEX(FormData,$W508,f_Region)&amp;"",""))</f>
        <v/>
      </c>
      <c r="H508" s="16">
        <f>IF($W508="","",IFERROR(IF(SUMPRODUCT(MAX((SitKW&lt;&gt;"")*ISNUMBER(SEARCH(SitKW,INDEX(FormData,$W508,f_Sit)&amp;""))*(ROW(SitKW)-MIN(ROW(SitKW))+1)))=0,"",INDEX(SitVal,SUMPRODUCT(MAX((SitKW&lt;&gt;"")*ISNUMBER(SEARCH(SitKW,INDEX(FormData,$W508,f_Sit)&amp;""))*(ROW(SitKW)-MIN(ROW(SitKW))+1))))),""))</f>
        <v/>
      </c>
      <c r="I508" s="14">
        <f>IF($W508="","",IFERROR(INDEX(FormData,$W508,f_Appr)&amp;"",""))</f>
        <v/>
      </c>
      <c r="J508" s="16">
        <f>IF($W508="","",IFERROR(INDEX(FormData,$W508,f_Trade)&amp;"",""))</f>
        <v/>
      </c>
      <c r="K508" s="16" t="n"/>
      <c r="L508" s="17" t="n"/>
      <c r="M508" s="16" t="n"/>
      <c r="N508" s="17" t="n"/>
      <c r="O508" s="14" t="n"/>
      <c r="P508" s="14" t="n"/>
      <c r="Q508" s="18" t="n"/>
      <c r="R508" s="18" t="n"/>
      <c r="S508" s="13">
        <f>IF($P508&lt;&gt;"✓","",IF($R508&lt;&gt;"","Done",IF($Q508="","Open — no date",IF($Q508&lt;TODAY(),"Overdue",IF($Q508-TODAY()&lt;=DueSoon,"Due soon","Scheduled")))))</f>
        <v/>
      </c>
      <c r="T508" s="14">
        <f>IF($W508="","",IFERROR(IF(INDEX(FormData,$W508,f_Consent)&amp;""="","",IF(ISNUMBER(SEARCH("yes",INDEX(FormData,$W508,f_Consent))),"Yes","No")),""))</f>
        <v/>
      </c>
      <c r="U508" s="14" t="n"/>
      <c r="V508" s="13">
        <f>IF($U508="","",IF($W508="","not found","✓"))</f>
        <v/>
      </c>
      <c r="W508">
        <f>IF($U508="","",IFERROR(MATCH($U508,INDEX(FormData,0,f_Id),0),IFERROR(MATCH(--$U508,INDEX(FormData,0,f_Id),0),IFERROR(MATCH($U508&amp;"",INDEX(FormData,0,f_Id),0),""))))</f>
        <v/>
      </c>
      <c r="X508">
        <f>IF(AND($B508&lt;&gt;"",$B508='Event Report'!$C$3),ROW(),"")</f>
        <v/>
      </c>
      <c r="Y508">
        <f>IF(AND($P508="✓",$R508=""),IF($Q508="",90000,$Q508)+ROW()/100000,"")</f>
        <v/>
      </c>
      <c r="Z508">
        <f>IF(OR($U508&lt;&gt;"",$D508&lt;&gt;"",$E508&lt;&gt;"",$N508&lt;&gt;""),1,"")</f>
        <v/>
      </c>
    </row>
    <row r="509">
      <c r="A509" s="13" t="inlineStr">
        <is>
          <t>P-0505</t>
        </is>
      </c>
      <c r="B509" s="14">
        <f>IF(AND($U509="",$C509=""),"",IFERROR(INDEX(EvID,MATCH(INDEX(FormData,$W509,f_Event),EvID,0)),IFERROR(INDEX(EvID,MATCH(INDEX(FormData,$W509,f_Event),EvName,0)),IFERROR(INDEX(EvID,MATCH(INT($C509),EvDate,0)),""))))</f>
        <v/>
      </c>
      <c r="C509" s="15">
        <f>IF($W509="","",INDEX(FormData,$W509,f_Time))</f>
        <v/>
      </c>
      <c r="D509" s="14">
        <f>IF($W509="","",IFERROR(UPPER(LEFT(TRIM(INDEX(FormData,$W509,f_Name)),1)&amp;IFERROR(MID(TRIM(INDEX(FormData,$W509,f_Name)),FIND("^",SUBSTITUTE(TRIM(INDEX(FormData,$W509,f_Name))," ","^",LEN(TRIM(INDEX(FormData,$W509,f_Name)))-LEN(SUBSTITUTE(TRIM(INDEX(FormData,$W509,f_Name))," ",""))))+1,1),"")),""))</f>
        <v/>
      </c>
      <c r="E509" s="16">
        <f>IF($W509="","",IFERROR(IF(SUMPRODUCT(MAX((WhoKW&lt;&gt;"")*ISNUMBER(SEARCH(WhoKW,INDEX(FormData,$W509,f_Who)&amp;""))*(ROW(WhoKW)-MIN(ROW(WhoKW))+1)))=0,"",INDEX(WhoVal,SUMPRODUCT(MAX((WhoKW&lt;&gt;"")*ISNUMBER(SEARCH(WhoKW,INDEX(FormData,$W509,f_Who)&amp;""))*(ROW(WhoKW)-MIN(ROW(WhoKW))+1))))),""))</f>
        <v/>
      </c>
      <c r="F509" s="17">
        <f>IF($W509="","",TRIM(IFERROR(INDEX(FormData,$W509,f_Org1)&amp;"","")&amp;" "&amp;IFERROR(INDEX(FormData,$W509,f_Org2)&amp;"","")))</f>
        <v/>
      </c>
      <c r="G509" s="16">
        <f>IF($W509="","",IFERROR(INDEX(FormData,$W509,f_Region)&amp;"",""))</f>
        <v/>
      </c>
      <c r="H509" s="16">
        <f>IF($W509="","",IFERROR(IF(SUMPRODUCT(MAX((SitKW&lt;&gt;"")*ISNUMBER(SEARCH(SitKW,INDEX(FormData,$W509,f_Sit)&amp;""))*(ROW(SitKW)-MIN(ROW(SitKW))+1)))=0,"",INDEX(SitVal,SUMPRODUCT(MAX((SitKW&lt;&gt;"")*ISNUMBER(SEARCH(SitKW,INDEX(FormData,$W509,f_Sit)&amp;""))*(ROW(SitKW)-MIN(ROW(SitKW))+1))))),""))</f>
        <v/>
      </c>
      <c r="I509" s="14">
        <f>IF($W509="","",IFERROR(INDEX(FormData,$W509,f_Appr)&amp;"",""))</f>
        <v/>
      </c>
      <c r="J509" s="16">
        <f>IF($W509="","",IFERROR(INDEX(FormData,$W509,f_Trade)&amp;"",""))</f>
        <v/>
      </c>
      <c r="K509" s="16" t="n"/>
      <c r="L509" s="17" t="n"/>
      <c r="M509" s="16" t="n"/>
      <c r="N509" s="17" t="n"/>
      <c r="O509" s="14" t="n"/>
      <c r="P509" s="14" t="n"/>
      <c r="Q509" s="18" t="n"/>
      <c r="R509" s="18" t="n"/>
      <c r="S509" s="13">
        <f>IF($P509&lt;&gt;"✓","",IF($R509&lt;&gt;"","Done",IF($Q509="","Open — no date",IF($Q509&lt;TODAY(),"Overdue",IF($Q509-TODAY()&lt;=DueSoon,"Due soon","Scheduled")))))</f>
        <v/>
      </c>
      <c r="T509" s="14">
        <f>IF($W509="","",IFERROR(IF(INDEX(FormData,$W509,f_Consent)&amp;""="","",IF(ISNUMBER(SEARCH("yes",INDEX(FormData,$W509,f_Consent))),"Yes","No")),""))</f>
        <v/>
      </c>
      <c r="U509" s="14" t="n"/>
      <c r="V509" s="13">
        <f>IF($U509="","",IF($W509="","not found","✓"))</f>
        <v/>
      </c>
      <c r="W509">
        <f>IF($U509="","",IFERROR(MATCH($U509,INDEX(FormData,0,f_Id),0),IFERROR(MATCH(--$U509,INDEX(FormData,0,f_Id),0),IFERROR(MATCH($U509&amp;"",INDEX(FormData,0,f_Id),0),""))))</f>
        <v/>
      </c>
      <c r="X509">
        <f>IF(AND($B509&lt;&gt;"",$B509='Event Report'!$C$3),ROW(),"")</f>
        <v/>
      </c>
      <c r="Y509">
        <f>IF(AND($P509="✓",$R509=""),IF($Q509="",90000,$Q509)+ROW()/100000,"")</f>
        <v/>
      </c>
      <c r="Z509">
        <f>IF(OR($U509&lt;&gt;"",$D509&lt;&gt;"",$E509&lt;&gt;"",$N509&lt;&gt;""),1,"")</f>
        <v/>
      </c>
    </row>
    <row r="510">
      <c r="A510" s="13" t="inlineStr">
        <is>
          <t>P-0506</t>
        </is>
      </c>
      <c r="B510" s="14">
        <f>IF(AND($U510="",$C510=""),"",IFERROR(INDEX(EvID,MATCH(INDEX(FormData,$W510,f_Event),EvID,0)),IFERROR(INDEX(EvID,MATCH(INDEX(FormData,$W510,f_Event),EvName,0)),IFERROR(INDEX(EvID,MATCH(INT($C510),EvDate,0)),""))))</f>
        <v/>
      </c>
      <c r="C510" s="15">
        <f>IF($W510="","",INDEX(FormData,$W510,f_Time))</f>
        <v/>
      </c>
      <c r="D510" s="14">
        <f>IF($W510="","",IFERROR(UPPER(LEFT(TRIM(INDEX(FormData,$W510,f_Name)),1)&amp;IFERROR(MID(TRIM(INDEX(FormData,$W510,f_Name)),FIND("^",SUBSTITUTE(TRIM(INDEX(FormData,$W510,f_Name))," ","^",LEN(TRIM(INDEX(FormData,$W510,f_Name)))-LEN(SUBSTITUTE(TRIM(INDEX(FormData,$W510,f_Name))," ",""))))+1,1),"")),""))</f>
        <v/>
      </c>
      <c r="E510" s="16">
        <f>IF($W510="","",IFERROR(IF(SUMPRODUCT(MAX((WhoKW&lt;&gt;"")*ISNUMBER(SEARCH(WhoKW,INDEX(FormData,$W510,f_Who)&amp;""))*(ROW(WhoKW)-MIN(ROW(WhoKW))+1)))=0,"",INDEX(WhoVal,SUMPRODUCT(MAX((WhoKW&lt;&gt;"")*ISNUMBER(SEARCH(WhoKW,INDEX(FormData,$W510,f_Who)&amp;""))*(ROW(WhoKW)-MIN(ROW(WhoKW))+1))))),""))</f>
        <v/>
      </c>
      <c r="F510" s="17">
        <f>IF($W510="","",TRIM(IFERROR(INDEX(FormData,$W510,f_Org1)&amp;"","")&amp;" "&amp;IFERROR(INDEX(FormData,$W510,f_Org2)&amp;"","")))</f>
        <v/>
      </c>
      <c r="G510" s="16">
        <f>IF($W510="","",IFERROR(INDEX(FormData,$W510,f_Region)&amp;"",""))</f>
        <v/>
      </c>
      <c r="H510" s="16">
        <f>IF($W510="","",IFERROR(IF(SUMPRODUCT(MAX((SitKW&lt;&gt;"")*ISNUMBER(SEARCH(SitKW,INDEX(FormData,$W510,f_Sit)&amp;""))*(ROW(SitKW)-MIN(ROW(SitKW))+1)))=0,"",INDEX(SitVal,SUMPRODUCT(MAX((SitKW&lt;&gt;"")*ISNUMBER(SEARCH(SitKW,INDEX(FormData,$W510,f_Sit)&amp;""))*(ROW(SitKW)-MIN(ROW(SitKW))+1))))),""))</f>
        <v/>
      </c>
      <c r="I510" s="14">
        <f>IF($W510="","",IFERROR(INDEX(FormData,$W510,f_Appr)&amp;"",""))</f>
        <v/>
      </c>
      <c r="J510" s="16">
        <f>IF($W510="","",IFERROR(INDEX(FormData,$W510,f_Trade)&amp;"",""))</f>
        <v/>
      </c>
      <c r="K510" s="16" t="n"/>
      <c r="L510" s="17" t="n"/>
      <c r="M510" s="16" t="n"/>
      <c r="N510" s="17" t="n"/>
      <c r="O510" s="14" t="n"/>
      <c r="P510" s="14" t="n"/>
      <c r="Q510" s="18" t="n"/>
      <c r="R510" s="18" t="n"/>
      <c r="S510" s="13">
        <f>IF($P510&lt;&gt;"✓","",IF($R510&lt;&gt;"","Done",IF($Q510="","Open — no date",IF($Q510&lt;TODAY(),"Overdue",IF($Q510-TODAY()&lt;=DueSoon,"Due soon","Scheduled")))))</f>
        <v/>
      </c>
      <c r="T510" s="14">
        <f>IF($W510="","",IFERROR(IF(INDEX(FormData,$W510,f_Consent)&amp;""="","",IF(ISNUMBER(SEARCH("yes",INDEX(FormData,$W510,f_Consent))),"Yes","No")),""))</f>
        <v/>
      </c>
      <c r="U510" s="14" t="n"/>
      <c r="V510" s="13">
        <f>IF($U510="","",IF($W510="","not found","✓"))</f>
        <v/>
      </c>
      <c r="W510">
        <f>IF($U510="","",IFERROR(MATCH($U510,INDEX(FormData,0,f_Id),0),IFERROR(MATCH(--$U510,INDEX(FormData,0,f_Id),0),IFERROR(MATCH($U510&amp;"",INDEX(FormData,0,f_Id),0),""))))</f>
        <v/>
      </c>
      <c r="X510">
        <f>IF(AND($B510&lt;&gt;"",$B510='Event Report'!$C$3),ROW(),"")</f>
        <v/>
      </c>
      <c r="Y510">
        <f>IF(AND($P510="✓",$R510=""),IF($Q510="",90000,$Q510)+ROW()/100000,"")</f>
        <v/>
      </c>
      <c r="Z510">
        <f>IF(OR($U510&lt;&gt;"",$D510&lt;&gt;"",$E510&lt;&gt;"",$N510&lt;&gt;""),1,"")</f>
        <v/>
      </c>
    </row>
    <row r="511">
      <c r="A511" s="13" t="inlineStr">
        <is>
          <t>P-0507</t>
        </is>
      </c>
      <c r="B511" s="14">
        <f>IF(AND($U511="",$C511=""),"",IFERROR(INDEX(EvID,MATCH(INDEX(FormData,$W511,f_Event),EvID,0)),IFERROR(INDEX(EvID,MATCH(INDEX(FormData,$W511,f_Event),EvName,0)),IFERROR(INDEX(EvID,MATCH(INT($C511),EvDate,0)),""))))</f>
        <v/>
      </c>
      <c r="C511" s="15">
        <f>IF($W511="","",INDEX(FormData,$W511,f_Time))</f>
        <v/>
      </c>
      <c r="D511" s="14">
        <f>IF($W511="","",IFERROR(UPPER(LEFT(TRIM(INDEX(FormData,$W511,f_Name)),1)&amp;IFERROR(MID(TRIM(INDEX(FormData,$W511,f_Name)),FIND("^",SUBSTITUTE(TRIM(INDEX(FormData,$W511,f_Name))," ","^",LEN(TRIM(INDEX(FormData,$W511,f_Name)))-LEN(SUBSTITUTE(TRIM(INDEX(FormData,$W511,f_Name))," ",""))))+1,1),"")),""))</f>
        <v/>
      </c>
      <c r="E511" s="16">
        <f>IF($W511="","",IFERROR(IF(SUMPRODUCT(MAX((WhoKW&lt;&gt;"")*ISNUMBER(SEARCH(WhoKW,INDEX(FormData,$W511,f_Who)&amp;""))*(ROW(WhoKW)-MIN(ROW(WhoKW))+1)))=0,"",INDEX(WhoVal,SUMPRODUCT(MAX((WhoKW&lt;&gt;"")*ISNUMBER(SEARCH(WhoKW,INDEX(FormData,$W511,f_Who)&amp;""))*(ROW(WhoKW)-MIN(ROW(WhoKW))+1))))),""))</f>
        <v/>
      </c>
      <c r="F511" s="17">
        <f>IF($W511="","",TRIM(IFERROR(INDEX(FormData,$W511,f_Org1)&amp;"","")&amp;" "&amp;IFERROR(INDEX(FormData,$W511,f_Org2)&amp;"","")))</f>
        <v/>
      </c>
      <c r="G511" s="16">
        <f>IF($W511="","",IFERROR(INDEX(FormData,$W511,f_Region)&amp;"",""))</f>
        <v/>
      </c>
      <c r="H511" s="16">
        <f>IF($W511="","",IFERROR(IF(SUMPRODUCT(MAX((SitKW&lt;&gt;"")*ISNUMBER(SEARCH(SitKW,INDEX(FormData,$W511,f_Sit)&amp;""))*(ROW(SitKW)-MIN(ROW(SitKW))+1)))=0,"",INDEX(SitVal,SUMPRODUCT(MAX((SitKW&lt;&gt;"")*ISNUMBER(SEARCH(SitKW,INDEX(FormData,$W511,f_Sit)&amp;""))*(ROW(SitKW)-MIN(ROW(SitKW))+1))))),""))</f>
        <v/>
      </c>
      <c r="I511" s="14">
        <f>IF($W511="","",IFERROR(INDEX(FormData,$W511,f_Appr)&amp;"",""))</f>
        <v/>
      </c>
      <c r="J511" s="16">
        <f>IF($W511="","",IFERROR(INDEX(FormData,$W511,f_Trade)&amp;"",""))</f>
        <v/>
      </c>
      <c r="K511" s="16" t="n"/>
      <c r="L511" s="17" t="n"/>
      <c r="M511" s="16" t="n"/>
      <c r="N511" s="17" t="n"/>
      <c r="O511" s="14" t="n"/>
      <c r="P511" s="14" t="n"/>
      <c r="Q511" s="18" t="n"/>
      <c r="R511" s="18" t="n"/>
      <c r="S511" s="13">
        <f>IF($P511&lt;&gt;"✓","",IF($R511&lt;&gt;"","Done",IF($Q511="","Open — no date",IF($Q511&lt;TODAY(),"Overdue",IF($Q511-TODAY()&lt;=DueSoon,"Due soon","Scheduled")))))</f>
        <v/>
      </c>
      <c r="T511" s="14">
        <f>IF($W511="","",IFERROR(IF(INDEX(FormData,$W511,f_Consent)&amp;""="","",IF(ISNUMBER(SEARCH("yes",INDEX(FormData,$W511,f_Consent))),"Yes","No")),""))</f>
        <v/>
      </c>
      <c r="U511" s="14" t="n"/>
      <c r="V511" s="13">
        <f>IF($U511="","",IF($W511="","not found","✓"))</f>
        <v/>
      </c>
      <c r="W511">
        <f>IF($U511="","",IFERROR(MATCH($U511,INDEX(FormData,0,f_Id),0),IFERROR(MATCH(--$U511,INDEX(FormData,0,f_Id),0),IFERROR(MATCH($U511&amp;"",INDEX(FormData,0,f_Id),0),""))))</f>
        <v/>
      </c>
      <c r="X511">
        <f>IF(AND($B511&lt;&gt;"",$B511='Event Report'!$C$3),ROW(),"")</f>
        <v/>
      </c>
      <c r="Y511">
        <f>IF(AND($P511="✓",$R511=""),IF($Q511="",90000,$Q511)+ROW()/100000,"")</f>
        <v/>
      </c>
      <c r="Z511">
        <f>IF(OR($U511&lt;&gt;"",$D511&lt;&gt;"",$E511&lt;&gt;"",$N511&lt;&gt;""),1,"")</f>
        <v/>
      </c>
    </row>
    <row r="512">
      <c r="A512" s="13" t="inlineStr">
        <is>
          <t>P-0508</t>
        </is>
      </c>
      <c r="B512" s="14">
        <f>IF(AND($U512="",$C512=""),"",IFERROR(INDEX(EvID,MATCH(INDEX(FormData,$W512,f_Event),EvID,0)),IFERROR(INDEX(EvID,MATCH(INDEX(FormData,$W512,f_Event),EvName,0)),IFERROR(INDEX(EvID,MATCH(INT($C512),EvDate,0)),""))))</f>
        <v/>
      </c>
      <c r="C512" s="15">
        <f>IF($W512="","",INDEX(FormData,$W512,f_Time))</f>
        <v/>
      </c>
      <c r="D512" s="14">
        <f>IF($W512="","",IFERROR(UPPER(LEFT(TRIM(INDEX(FormData,$W512,f_Name)),1)&amp;IFERROR(MID(TRIM(INDEX(FormData,$W512,f_Name)),FIND("^",SUBSTITUTE(TRIM(INDEX(FormData,$W512,f_Name))," ","^",LEN(TRIM(INDEX(FormData,$W512,f_Name)))-LEN(SUBSTITUTE(TRIM(INDEX(FormData,$W512,f_Name))," ",""))))+1,1),"")),""))</f>
        <v/>
      </c>
      <c r="E512" s="16">
        <f>IF($W512="","",IFERROR(IF(SUMPRODUCT(MAX((WhoKW&lt;&gt;"")*ISNUMBER(SEARCH(WhoKW,INDEX(FormData,$W512,f_Who)&amp;""))*(ROW(WhoKW)-MIN(ROW(WhoKW))+1)))=0,"",INDEX(WhoVal,SUMPRODUCT(MAX((WhoKW&lt;&gt;"")*ISNUMBER(SEARCH(WhoKW,INDEX(FormData,$W512,f_Who)&amp;""))*(ROW(WhoKW)-MIN(ROW(WhoKW))+1))))),""))</f>
        <v/>
      </c>
      <c r="F512" s="17">
        <f>IF($W512="","",TRIM(IFERROR(INDEX(FormData,$W512,f_Org1)&amp;"","")&amp;" "&amp;IFERROR(INDEX(FormData,$W512,f_Org2)&amp;"","")))</f>
        <v/>
      </c>
      <c r="G512" s="16">
        <f>IF($W512="","",IFERROR(INDEX(FormData,$W512,f_Region)&amp;"",""))</f>
        <v/>
      </c>
      <c r="H512" s="16">
        <f>IF($W512="","",IFERROR(IF(SUMPRODUCT(MAX((SitKW&lt;&gt;"")*ISNUMBER(SEARCH(SitKW,INDEX(FormData,$W512,f_Sit)&amp;""))*(ROW(SitKW)-MIN(ROW(SitKW))+1)))=0,"",INDEX(SitVal,SUMPRODUCT(MAX((SitKW&lt;&gt;"")*ISNUMBER(SEARCH(SitKW,INDEX(FormData,$W512,f_Sit)&amp;""))*(ROW(SitKW)-MIN(ROW(SitKW))+1))))),""))</f>
        <v/>
      </c>
      <c r="I512" s="14">
        <f>IF($W512="","",IFERROR(INDEX(FormData,$W512,f_Appr)&amp;"",""))</f>
        <v/>
      </c>
      <c r="J512" s="16">
        <f>IF($W512="","",IFERROR(INDEX(FormData,$W512,f_Trade)&amp;"",""))</f>
        <v/>
      </c>
      <c r="K512" s="16" t="n"/>
      <c r="L512" s="17" t="n"/>
      <c r="M512" s="16" t="n"/>
      <c r="N512" s="17" t="n"/>
      <c r="O512" s="14" t="n"/>
      <c r="P512" s="14" t="n"/>
      <c r="Q512" s="18" t="n"/>
      <c r="R512" s="18" t="n"/>
      <c r="S512" s="13">
        <f>IF($P512&lt;&gt;"✓","",IF($R512&lt;&gt;"","Done",IF($Q512="","Open — no date",IF($Q512&lt;TODAY(),"Overdue",IF($Q512-TODAY()&lt;=DueSoon,"Due soon","Scheduled")))))</f>
        <v/>
      </c>
      <c r="T512" s="14">
        <f>IF($W512="","",IFERROR(IF(INDEX(FormData,$W512,f_Consent)&amp;""="","",IF(ISNUMBER(SEARCH("yes",INDEX(FormData,$W512,f_Consent))),"Yes","No")),""))</f>
        <v/>
      </c>
      <c r="U512" s="14" t="n"/>
      <c r="V512" s="13">
        <f>IF($U512="","",IF($W512="","not found","✓"))</f>
        <v/>
      </c>
      <c r="W512">
        <f>IF($U512="","",IFERROR(MATCH($U512,INDEX(FormData,0,f_Id),0),IFERROR(MATCH(--$U512,INDEX(FormData,0,f_Id),0),IFERROR(MATCH($U512&amp;"",INDEX(FormData,0,f_Id),0),""))))</f>
        <v/>
      </c>
      <c r="X512">
        <f>IF(AND($B512&lt;&gt;"",$B512='Event Report'!$C$3),ROW(),"")</f>
        <v/>
      </c>
      <c r="Y512">
        <f>IF(AND($P512="✓",$R512=""),IF($Q512="",90000,$Q512)+ROW()/100000,"")</f>
        <v/>
      </c>
      <c r="Z512">
        <f>IF(OR($U512&lt;&gt;"",$D512&lt;&gt;"",$E512&lt;&gt;"",$N512&lt;&gt;""),1,"")</f>
        <v/>
      </c>
    </row>
    <row r="513">
      <c r="A513" s="13" t="inlineStr">
        <is>
          <t>P-0509</t>
        </is>
      </c>
      <c r="B513" s="14">
        <f>IF(AND($U513="",$C513=""),"",IFERROR(INDEX(EvID,MATCH(INDEX(FormData,$W513,f_Event),EvID,0)),IFERROR(INDEX(EvID,MATCH(INDEX(FormData,$W513,f_Event),EvName,0)),IFERROR(INDEX(EvID,MATCH(INT($C513),EvDate,0)),""))))</f>
        <v/>
      </c>
      <c r="C513" s="15">
        <f>IF($W513="","",INDEX(FormData,$W513,f_Time))</f>
        <v/>
      </c>
      <c r="D513" s="14">
        <f>IF($W513="","",IFERROR(UPPER(LEFT(TRIM(INDEX(FormData,$W513,f_Name)),1)&amp;IFERROR(MID(TRIM(INDEX(FormData,$W513,f_Name)),FIND("^",SUBSTITUTE(TRIM(INDEX(FormData,$W513,f_Name))," ","^",LEN(TRIM(INDEX(FormData,$W513,f_Name)))-LEN(SUBSTITUTE(TRIM(INDEX(FormData,$W513,f_Name))," ",""))))+1,1),"")),""))</f>
        <v/>
      </c>
      <c r="E513" s="16">
        <f>IF($W513="","",IFERROR(IF(SUMPRODUCT(MAX((WhoKW&lt;&gt;"")*ISNUMBER(SEARCH(WhoKW,INDEX(FormData,$W513,f_Who)&amp;""))*(ROW(WhoKW)-MIN(ROW(WhoKW))+1)))=0,"",INDEX(WhoVal,SUMPRODUCT(MAX((WhoKW&lt;&gt;"")*ISNUMBER(SEARCH(WhoKW,INDEX(FormData,$W513,f_Who)&amp;""))*(ROW(WhoKW)-MIN(ROW(WhoKW))+1))))),""))</f>
        <v/>
      </c>
      <c r="F513" s="17">
        <f>IF($W513="","",TRIM(IFERROR(INDEX(FormData,$W513,f_Org1)&amp;"","")&amp;" "&amp;IFERROR(INDEX(FormData,$W513,f_Org2)&amp;"","")))</f>
        <v/>
      </c>
      <c r="G513" s="16">
        <f>IF($W513="","",IFERROR(INDEX(FormData,$W513,f_Region)&amp;"",""))</f>
        <v/>
      </c>
      <c r="H513" s="16">
        <f>IF($W513="","",IFERROR(IF(SUMPRODUCT(MAX((SitKW&lt;&gt;"")*ISNUMBER(SEARCH(SitKW,INDEX(FormData,$W513,f_Sit)&amp;""))*(ROW(SitKW)-MIN(ROW(SitKW))+1)))=0,"",INDEX(SitVal,SUMPRODUCT(MAX((SitKW&lt;&gt;"")*ISNUMBER(SEARCH(SitKW,INDEX(FormData,$W513,f_Sit)&amp;""))*(ROW(SitKW)-MIN(ROW(SitKW))+1))))),""))</f>
        <v/>
      </c>
      <c r="I513" s="14">
        <f>IF($W513="","",IFERROR(INDEX(FormData,$W513,f_Appr)&amp;"",""))</f>
        <v/>
      </c>
      <c r="J513" s="16">
        <f>IF($W513="","",IFERROR(INDEX(FormData,$W513,f_Trade)&amp;"",""))</f>
        <v/>
      </c>
      <c r="K513" s="16" t="n"/>
      <c r="L513" s="17" t="n"/>
      <c r="M513" s="16" t="n"/>
      <c r="N513" s="17" t="n"/>
      <c r="O513" s="14" t="n"/>
      <c r="P513" s="14" t="n"/>
      <c r="Q513" s="18" t="n"/>
      <c r="R513" s="18" t="n"/>
      <c r="S513" s="13">
        <f>IF($P513&lt;&gt;"✓","",IF($R513&lt;&gt;"","Done",IF($Q513="","Open — no date",IF($Q513&lt;TODAY(),"Overdue",IF($Q513-TODAY()&lt;=DueSoon,"Due soon","Scheduled")))))</f>
        <v/>
      </c>
      <c r="T513" s="14">
        <f>IF($W513="","",IFERROR(IF(INDEX(FormData,$W513,f_Consent)&amp;""="","",IF(ISNUMBER(SEARCH("yes",INDEX(FormData,$W513,f_Consent))),"Yes","No")),""))</f>
        <v/>
      </c>
      <c r="U513" s="14" t="n"/>
      <c r="V513" s="13">
        <f>IF($U513="","",IF($W513="","not found","✓"))</f>
        <v/>
      </c>
      <c r="W513">
        <f>IF($U513="","",IFERROR(MATCH($U513,INDEX(FormData,0,f_Id),0),IFERROR(MATCH(--$U513,INDEX(FormData,0,f_Id),0),IFERROR(MATCH($U513&amp;"",INDEX(FormData,0,f_Id),0),""))))</f>
        <v/>
      </c>
      <c r="X513">
        <f>IF(AND($B513&lt;&gt;"",$B513='Event Report'!$C$3),ROW(),"")</f>
        <v/>
      </c>
      <c r="Y513">
        <f>IF(AND($P513="✓",$R513=""),IF($Q513="",90000,$Q513)+ROW()/100000,"")</f>
        <v/>
      </c>
      <c r="Z513">
        <f>IF(OR($U513&lt;&gt;"",$D513&lt;&gt;"",$E513&lt;&gt;"",$N513&lt;&gt;""),1,"")</f>
        <v/>
      </c>
    </row>
    <row r="514">
      <c r="A514" s="13" t="inlineStr">
        <is>
          <t>P-0510</t>
        </is>
      </c>
      <c r="B514" s="14">
        <f>IF(AND($U514="",$C514=""),"",IFERROR(INDEX(EvID,MATCH(INDEX(FormData,$W514,f_Event),EvID,0)),IFERROR(INDEX(EvID,MATCH(INDEX(FormData,$W514,f_Event),EvName,0)),IFERROR(INDEX(EvID,MATCH(INT($C514),EvDate,0)),""))))</f>
        <v/>
      </c>
      <c r="C514" s="15">
        <f>IF($W514="","",INDEX(FormData,$W514,f_Time))</f>
        <v/>
      </c>
      <c r="D514" s="14">
        <f>IF($W514="","",IFERROR(UPPER(LEFT(TRIM(INDEX(FormData,$W514,f_Name)),1)&amp;IFERROR(MID(TRIM(INDEX(FormData,$W514,f_Name)),FIND("^",SUBSTITUTE(TRIM(INDEX(FormData,$W514,f_Name))," ","^",LEN(TRIM(INDEX(FormData,$W514,f_Name)))-LEN(SUBSTITUTE(TRIM(INDEX(FormData,$W514,f_Name))," ",""))))+1,1),"")),""))</f>
        <v/>
      </c>
      <c r="E514" s="16">
        <f>IF($W514="","",IFERROR(IF(SUMPRODUCT(MAX((WhoKW&lt;&gt;"")*ISNUMBER(SEARCH(WhoKW,INDEX(FormData,$W514,f_Who)&amp;""))*(ROW(WhoKW)-MIN(ROW(WhoKW))+1)))=0,"",INDEX(WhoVal,SUMPRODUCT(MAX((WhoKW&lt;&gt;"")*ISNUMBER(SEARCH(WhoKW,INDEX(FormData,$W514,f_Who)&amp;""))*(ROW(WhoKW)-MIN(ROW(WhoKW))+1))))),""))</f>
        <v/>
      </c>
      <c r="F514" s="17">
        <f>IF($W514="","",TRIM(IFERROR(INDEX(FormData,$W514,f_Org1)&amp;"","")&amp;" "&amp;IFERROR(INDEX(FormData,$W514,f_Org2)&amp;"","")))</f>
        <v/>
      </c>
      <c r="G514" s="16">
        <f>IF($W514="","",IFERROR(INDEX(FormData,$W514,f_Region)&amp;"",""))</f>
        <v/>
      </c>
      <c r="H514" s="16">
        <f>IF($W514="","",IFERROR(IF(SUMPRODUCT(MAX((SitKW&lt;&gt;"")*ISNUMBER(SEARCH(SitKW,INDEX(FormData,$W514,f_Sit)&amp;""))*(ROW(SitKW)-MIN(ROW(SitKW))+1)))=0,"",INDEX(SitVal,SUMPRODUCT(MAX((SitKW&lt;&gt;"")*ISNUMBER(SEARCH(SitKW,INDEX(FormData,$W514,f_Sit)&amp;""))*(ROW(SitKW)-MIN(ROW(SitKW))+1))))),""))</f>
        <v/>
      </c>
      <c r="I514" s="14">
        <f>IF($W514="","",IFERROR(INDEX(FormData,$W514,f_Appr)&amp;"",""))</f>
        <v/>
      </c>
      <c r="J514" s="16">
        <f>IF($W514="","",IFERROR(INDEX(FormData,$W514,f_Trade)&amp;"",""))</f>
        <v/>
      </c>
      <c r="K514" s="16" t="n"/>
      <c r="L514" s="17" t="n"/>
      <c r="M514" s="16" t="n"/>
      <c r="N514" s="17" t="n"/>
      <c r="O514" s="14" t="n"/>
      <c r="P514" s="14" t="n"/>
      <c r="Q514" s="18" t="n"/>
      <c r="R514" s="18" t="n"/>
      <c r="S514" s="13">
        <f>IF($P514&lt;&gt;"✓","",IF($R514&lt;&gt;"","Done",IF($Q514="","Open — no date",IF($Q514&lt;TODAY(),"Overdue",IF($Q514-TODAY()&lt;=DueSoon,"Due soon","Scheduled")))))</f>
        <v/>
      </c>
      <c r="T514" s="14">
        <f>IF($W514="","",IFERROR(IF(INDEX(FormData,$W514,f_Consent)&amp;""="","",IF(ISNUMBER(SEARCH("yes",INDEX(FormData,$W514,f_Consent))),"Yes","No")),""))</f>
        <v/>
      </c>
      <c r="U514" s="14" t="n"/>
      <c r="V514" s="13">
        <f>IF($U514="","",IF($W514="","not found","✓"))</f>
        <v/>
      </c>
      <c r="W514">
        <f>IF($U514="","",IFERROR(MATCH($U514,INDEX(FormData,0,f_Id),0),IFERROR(MATCH(--$U514,INDEX(FormData,0,f_Id),0),IFERROR(MATCH($U514&amp;"",INDEX(FormData,0,f_Id),0),""))))</f>
        <v/>
      </c>
      <c r="X514">
        <f>IF(AND($B514&lt;&gt;"",$B514='Event Report'!$C$3),ROW(),"")</f>
        <v/>
      </c>
      <c r="Y514">
        <f>IF(AND($P514="✓",$R514=""),IF($Q514="",90000,$Q514)+ROW()/100000,"")</f>
        <v/>
      </c>
      <c r="Z514">
        <f>IF(OR($U514&lt;&gt;"",$D514&lt;&gt;"",$E514&lt;&gt;"",$N514&lt;&gt;""),1,"")</f>
        <v/>
      </c>
    </row>
    <row r="515">
      <c r="A515" s="13" t="inlineStr">
        <is>
          <t>P-0511</t>
        </is>
      </c>
      <c r="B515" s="14">
        <f>IF(AND($U515="",$C515=""),"",IFERROR(INDEX(EvID,MATCH(INDEX(FormData,$W515,f_Event),EvID,0)),IFERROR(INDEX(EvID,MATCH(INDEX(FormData,$W515,f_Event),EvName,0)),IFERROR(INDEX(EvID,MATCH(INT($C515),EvDate,0)),""))))</f>
        <v/>
      </c>
      <c r="C515" s="15">
        <f>IF($W515="","",INDEX(FormData,$W515,f_Time))</f>
        <v/>
      </c>
      <c r="D515" s="14">
        <f>IF($W515="","",IFERROR(UPPER(LEFT(TRIM(INDEX(FormData,$W515,f_Name)),1)&amp;IFERROR(MID(TRIM(INDEX(FormData,$W515,f_Name)),FIND("^",SUBSTITUTE(TRIM(INDEX(FormData,$W515,f_Name))," ","^",LEN(TRIM(INDEX(FormData,$W515,f_Name)))-LEN(SUBSTITUTE(TRIM(INDEX(FormData,$W515,f_Name))," ",""))))+1,1),"")),""))</f>
        <v/>
      </c>
      <c r="E515" s="16">
        <f>IF($W515="","",IFERROR(IF(SUMPRODUCT(MAX((WhoKW&lt;&gt;"")*ISNUMBER(SEARCH(WhoKW,INDEX(FormData,$W515,f_Who)&amp;""))*(ROW(WhoKW)-MIN(ROW(WhoKW))+1)))=0,"",INDEX(WhoVal,SUMPRODUCT(MAX((WhoKW&lt;&gt;"")*ISNUMBER(SEARCH(WhoKW,INDEX(FormData,$W515,f_Who)&amp;""))*(ROW(WhoKW)-MIN(ROW(WhoKW))+1))))),""))</f>
        <v/>
      </c>
      <c r="F515" s="17">
        <f>IF($W515="","",TRIM(IFERROR(INDEX(FormData,$W515,f_Org1)&amp;"","")&amp;" "&amp;IFERROR(INDEX(FormData,$W515,f_Org2)&amp;"","")))</f>
        <v/>
      </c>
      <c r="G515" s="16">
        <f>IF($W515="","",IFERROR(INDEX(FormData,$W515,f_Region)&amp;"",""))</f>
        <v/>
      </c>
      <c r="H515" s="16">
        <f>IF($W515="","",IFERROR(IF(SUMPRODUCT(MAX((SitKW&lt;&gt;"")*ISNUMBER(SEARCH(SitKW,INDEX(FormData,$W515,f_Sit)&amp;""))*(ROW(SitKW)-MIN(ROW(SitKW))+1)))=0,"",INDEX(SitVal,SUMPRODUCT(MAX((SitKW&lt;&gt;"")*ISNUMBER(SEARCH(SitKW,INDEX(FormData,$W515,f_Sit)&amp;""))*(ROW(SitKW)-MIN(ROW(SitKW))+1))))),""))</f>
        <v/>
      </c>
      <c r="I515" s="14">
        <f>IF($W515="","",IFERROR(INDEX(FormData,$W515,f_Appr)&amp;"",""))</f>
        <v/>
      </c>
      <c r="J515" s="16">
        <f>IF($W515="","",IFERROR(INDEX(FormData,$W515,f_Trade)&amp;"",""))</f>
        <v/>
      </c>
      <c r="K515" s="16" t="n"/>
      <c r="L515" s="17" t="n"/>
      <c r="M515" s="16" t="n"/>
      <c r="N515" s="17" t="n"/>
      <c r="O515" s="14" t="n"/>
      <c r="P515" s="14" t="n"/>
      <c r="Q515" s="18" t="n"/>
      <c r="R515" s="18" t="n"/>
      <c r="S515" s="13">
        <f>IF($P515&lt;&gt;"✓","",IF($R515&lt;&gt;"","Done",IF($Q515="","Open — no date",IF($Q515&lt;TODAY(),"Overdue",IF($Q515-TODAY()&lt;=DueSoon,"Due soon","Scheduled")))))</f>
        <v/>
      </c>
      <c r="T515" s="14">
        <f>IF($W515="","",IFERROR(IF(INDEX(FormData,$W515,f_Consent)&amp;""="","",IF(ISNUMBER(SEARCH("yes",INDEX(FormData,$W515,f_Consent))),"Yes","No")),""))</f>
        <v/>
      </c>
      <c r="U515" s="14" t="n"/>
      <c r="V515" s="13">
        <f>IF($U515="","",IF($W515="","not found","✓"))</f>
        <v/>
      </c>
      <c r="W515">
        <f>IF($U515="","",IFERROR(MATCH($U515,INDEX(FormData,0,f_Id),0),IFERROR(MATCH(--$U515,INDEX(FormData,0,f_Id),0),IFERROR(MATCH($U515&amp;"",INDEX(FormData,0,f_Id),0),""))))</f>
        <v/>
      </c>
      <c r="X515">
        <f>IF(AND($B515&lt;&gt;"",$B515='Event Report'!$C$3),ROW(),"")</f>
        <v/>
      </c>
      <c r="Y515">
        <f>IF(AND($P515="✓",$R515=""),IF($Q515="",90000,$Q515)+ROW()/100000,"")</f>
        <v/>
      </c>
      <c r="Z515">
        <f>IF(OR($U515&lt;&gt;"",$D515&lt;&gt;"",$E515&lt;&gt;"",$N515&lt;&gt;""),1,"")</f>
        <v/>
      </c>
    </row>
    <row r="516">
      <c r="A516" s="13" t="inlineStr">
        <is>
          <t>P-0512</t>
        </is>
      </c>
      <c r="B516" s="14">
        <f>IF(AND($U516="",$C516=""),"",IFERROR(INDEX(EvID,MATCH(INDEX(FormData,$W516,f_Event),EvID,0)),IFERROR(INDEX(EvID,MATCH(INDEX(FormData,$W516,f_Event),EvName,0)),IFERROR(INDEX(EvID,MATCH(INT($C516),EvDate,0)),""))))</f>
        <v/>
      </c>
      <c r="C516" s="15">
        <f>IF($W516="","",INDEX(FormData,$W516,f_Time))</f>
        <v/>
      </c>
      <c r="D516" s="14">
        <f>IF($W516="","",IFERROR(UPPER(LEFT(TRIM(INDEX(FormData,$W516,f_Name)),1)&amp;IFERROR(MID(TRIM(INDEX(FormData,$W516,f_Name)),FIND("^",SUBSTITUTE(TRIM(INDEX(FormData,$W516,f_Name))," ","^",LEN(TRIM(INDEX(FormData,$W516,f_Name)))-LEN(SUBSTITUTE(TRIM(INDEX(FormData,$W516,f_Name))," ",""))))+1,1),"")),""))</f>
        <v/>
      </c>
      <c r="E516" s="16">
        <f>IF($W516="","",IFERROR(IF(SUMPRODUCT(MAX((WhoKW&lt;&gt;"")*ISNUMBER(SEARCH(WhoKW,INDEX(FormData,$W516,f_Who)&amp;""))*(ROW(WhoKW)-MIN(ROW(WhoKW))+1)))=0,"",INDEX(WhoVal,SUMPRODUCT(MAX((WhoKW&lt;&gt;"")*ISNUMBER(SEARCH(WhoKW,INDEX(FormData,$W516,f_Who)&amp;""))*(ROW(WhoKW)-MIN(ROW(WhoKW))+1))))),""))</f>
        <v/>
      </c>
      <c r="F516" s="17">
        <f>IF($W516="","",TRIM(IFERROR(INDEX(FormData,$W516,f_Org1)&amp;"","")&amp;" "&amp;IFERROR(INDEX(FormData,$W516,f_Org2)&amp;"","")))</f>
        <v/>
      </c>
      <c r="G516" s="16">
        <f>IF($W516="","",IFERROR(INDEX(FormData,$W516,f_Region)&amp;"",""))</f>
        <v/>
      </c>
      <c r="H516" s="16">
        <f>IF($W516="","",IFERROR(IF(SUMPRODUCT(MAX((SitKW&lt;&gt;"")*ISNUMBER(SEARCH(SitKW,INDEX(FormData,$W516,f_Sit)&amp;""))*(ROW(SitKW)-MIN(ROW(SitKW))+1)))=0,"",INDEX(SitVal,SUMPRODUCT(MAX((SitKW&lt;&gt;"")*ISNUMBER(SEARCH(SitKW,INDEX(FormData,$W516,f_Sit)&amp;""))*(ROW(SitKW)-MIN(ROW(SitKW))+1))))),""))</f>
        <v/>
      </c>
      <c r="I516" s="14">
        <f>IF($W516="","",IFERROR(INDEX(FormData,$W516,f_Appr)&amp;"",""))</f>
        <v/>
      </c>
      <c r="J516" s="16">
        <f>IF($W516="","",IFERROR(INDEX(FormData,$W516,f_Trade)&amp;"",""))</f>
        <v/>
      </c>
      <c r="K516" s="16" t="n"/>
      <c r="L516" s="17" t="n"/>
      <c r="M516" s="16" t="n"/>
      <c r="N516" s="17" t="n"/>
      <c r="O516" s="14" t="n"/>
      <c r="P516" s="14" t="n"/>
      <c r="Q516" s="18" t="n"/>
      <c r="R516" s="18" t="n"/>
      <c r="S516" s="13">
        <f>IF($P516&lt;&gt;"✓","",IF($R516&lt;&gt;"","Done",IF($Q516="","Open — no date",IF($Q516&lt;TODAY(),"Overdue",IF($Q516-TODAY()&lt;=DueSoon,"Due soon","Scheduled")))))</f>
        <v/>
      </c>
      <c r="T516" s="14">
        <f>IF($W516="","",IFERROR(IF(INDEX(FormData,$W516,f_Consent)&amp;""="","",IF(ISNUMBER(SEARCH("yes",INDEX(FormData,$W516,f_Consent))),"Yes","No")),""))</f>
        <v/>
      </c>
      <c r="U516" s="14" t="n"/>
      <c r="V516" s="13">
        <f>IF($U516="","",IF($W516="","not found","✓"))</f>
        <v/>
      </c>
      <c r="W516">
        <f>IF($U516="","",IFERROR(MATCH($U516,INDEX(FormData,0,f_Id),0),IFERROR(MATCH(--$U516,INDEX(FormData,0,f_Id),0),IFERROR(MATCH($U516&amp;"",INDEX(FormData,0,f_Id),0),""))))</f>
        <v/>
      </c>
      <c r="X516">
        <f>IF(AND($B516&lt;&gt;"",$B516='Event Report'!$C$3),ROW(),"")</f>
        <v/>
      </c>
      <c r="Y516">
        <f>IF(AND($P516="✓",$R516=""),IF($Q516="",90000,$Q516)+ROW()/100000,"")</f>
        <v/>
      </c>
      <c r="Z516">
        <f>IF(OR($U516&lt;&gt;"",$D516&lt;&gt;"",$E516&lt;&gt;"",$N516&lt;&gt;""),1,"")</f>
        <v/>
      </c>
    </row>
    <row r="517">
      <c r="A517" s="13" t="inlineStr">
        <is>
          <t>P-0513</t>
        </is>
      </c>
      <c r="B517" s="14">
        <f>IF(AND($U517="",$C517=""),"",IFERROR(INDEX(EvID,MATCH(INDEX(FormData,$W517,f_Event),EvID,0)),IFERROR(INDEX(EvID,MATCH(INDEX(FormData,$W517,f_Event),EvName,0)),IFERROR(INDEX(EvID,MATCH(INT($C517),EvDate,0)),""))))</f>
        <v/>
      </c>
      <c r="C517" s="15">
        <f>IF($W517="","",INDEX(FormData,$W517,f_Time))</f>
        <v/>
      </c>
      <c r="D517" s="14">
        <f>IF($W517="","",IFERROR(UPPER(LEFT(TRIM(INDEX(FormData,$W517,f_Name)),1)&amp;IFERROR(MID(TRIM(INDEX(FormData,$W517,f_Name)),FIND("^",SUBSTITUTE(TRIM(INDEX(FormData,$W517,f_Name))," ","^",LEN(TRIM(INDEX(FormData,$W517,f_Name)))-LEN(SUBSTITUTE(TRIM(INDEX(FormData,$W517,f_Name))," ",""))))+1,1),"")),""))</f>
        <v/>
      </c>
      <c r="E517" s="16">
        <f>IF($W517="","",IFERROR(IF(SUMPRODUCT(MAX((WhoKW&lt;&gt;"")*ISNUMBER(SEARCH(WhoKW,INDEX(FormData,$W517,f_Who)&amp;""))*(ROW(WhoKW)-MIN(ROW(WhoKW))+1)))=0,"",INDEX(WhoVal,SUMPRODUCT(MAX((WhoKW&lt;&gt;"")*ISNUMBER(SEARCH(WhoKW,INDEX(FormData,$W517,f_Who)&amp;""))*(ROW(WhoKW)-MIN(ROW(WhoKW))+1))))),""))</f>
        <v/>
      </c>
      <c r="F517" s="17">
        <f>IF($W517="","",TRIM(IFERROR(INDEX(FormData,$W517,f_Org1)&amp;"","")&amp;" "&amp;IFERROR(INDEX(FormData,$W517,f_Org2)&amp;"","")))</f>
        <v/>
      </c>
      <c r="G517" s="16">
        <f>IF($W517="","",IFERROR(INDEX(FormData,$W517,f_Region)&amp;"",""))</f>
        <v/>
      </c>
      <c r="H517" s="16">
        <f>IF($W517="","",IFERROR(IF(SUMPRODUCT(MAX((SitKW&lt;&gt;"")*ISNUMBER(SEARCH(SitKW,INDEX(FormData,$W517,f_Sit)&amp;""))*(ROW(SitKW)-MIN(ROW(SitKW))+1)))=0,"",INDEX(SitVal,SUMPRODUCT(MAX((SitKW&lt;&gt;"")*ISNUMBER(SEARCH(SitKW,INDEX(FormData,$W517,f_Sit)&amp;""))*(ROW(SitKW)-MIN(ROW(SitKW))+1))))),""))</f>
        <v/>
      </c>
      <c r="I517" s="14">
        <f>IF($W517="","",IFERROR(INDEX(FormData,$W517,f_Appr)&amp;"",""))</f>
        <v/>
      </c>
      <c r="J517" s="16">
        <f>IF($W517="","",IFERROR(INDEX(FormData,$W517,f_Trade)&amp;"",""))</f>
        <v/>
      </c>
      <c r="K517" s="16" t="n"/>
      <c r="L517" s="17" t="n"/>
      <c r="M517" s="16" t="n"/>
      <c r="N517" s="17" t="n"/>
      <c r="O517" s="14" t="n"/>
      <c r="P517" s="14" t="n"/>
      <c r="Q517" s="18" t="n"/>
      <c r="R517" s="18" t="n"/>
      <c r="S517" s="13">
        <f>IF($P517&lt;&gt;"✓","",IF($R517&lt;&gt;"","Done",IF($Q517="","Open — no date",IF($Q517&lt;TODAY(),"Overdue",IF($Q517-TODAY()&lt;=DueSoon,"Due soon","Scheduled")))))</f>
        <v/>
      </c>
      <c r="T517" s="14">
        <f>IF($W517="","",IFERROR(IF(INDEX(FormData,$W517,f_Consent)&amp;""="","",IF(ISNUMBER(SEARCH("yes",INDEX(FormData,$W517,f_Consent))),"Yes","No")),""))</f>
        <v/>
      </c>
      <c r="U517" s="14" t="n"/>
      <c r="V517" s="13">
        <f>IF($U517="","",IF($W517="","not found","✓"))</f>
        <v/>
      </c>
      <c r="W517">
        <f>IF($U517="","",IFERROR(MATCH($U517,INDEX(FormData,0,f_Id),0),IFERROR(MATCH(--$U517,INDEX(FormData,0,f_Id),0),IFERROR(MATCH($U517&amp;"",INDEX(FormData,0,f_Id),0),""))))</f>
        <v/>
      </c>
      <c r="X517">
        <f>IF(AND($B517&lt;&gt;"",$B517='Event Report'!$C$3),ROW(),"")</f>
        <v/>
      </c>
      <c r="Y517">
        <f>IF(AND($P517="✓",$R517=""),IF($Q517="",90000,$Q517)+ROW()/100000,"")</f>
        <v/>
      </c>
      <c r="Z517">
        <f>IF(OR($U517&lt;&gt;"",$D517&lt;&gt;"",$E517&lt;&gt;"",$N517&lt;&gt;""),1,"")</f>
        <v/>
      </c>
    </row>
    <row r="518">
      <c r="A518" s="13" t="inlineStr">
        <is>
          <t>P-0514</t>
        </is>
      </c>
      <c r="B518" s="14">
        <f>IF(AND($U518="",$C518=""),"",IFERROR(INDEX(EvID,MATCH(INDEX(FormData,$W518,f_Event),EvID,0)),IFERROR(INDEX(EvID,MATCH(INDEX(FormData,$W518,f_Event),EvName,0)),IFERROR(INDEX(EvID,MATCH(INT($C518),EvDate,0)),""))))</f>
        <v/>
      </c>
      <c r="C518" s="15">
        <f>IF($W518="","",INDEX(FormData,$W518,f_Time))</f>
        <v/>
      </c>
      <c r="D518" s="14">
        <f>IF($W518="","",IFERROR(UPPER(LEFT(TRIM(INDEX(FormData,$W518,f_Name)),1)&amp;IFERROR(MID(TRIM(INDEX(FormData,$W518,f_Name)),FIND("^",SUBSTITUTE(TRIM(INDEX(FormData,$W518,f_Name))," ","^",LEN(TRIM(INDEX(FormData,$W518,f_Name)))-LEN(SUBSTITUTE(TRIM(INDEX(FormData,$W518,f_Name))," ",""))))+1,1),"")),""))</f>
        <v/>
      </c>
      <c r="E518" s="16">
        <f>IF($W518="","",IFERROR(IF(SUMPRODUCT(MAX((WhoKW&lt;&gt;"")*ISNUMBER(SEARCH(WhoKW,INDEX(FormData,$W518,f_Who)&amp;""))*(ROW(WhoKW)-MIN(ROW(WhoKW))+1)))=0,"",INDEX(WhoVal,SUMPRODUCT(MAX((WhoKW&lt;&gt;"")*ISNUMBER(SEARCH(WhoKW,INDEX(FormData,$W518,f_Who)&amp;""))*(ROW(WhoKW)-MIN(ROW(WhoKW))+1))))),""))</f>
        <v/>
      </c>
      <c r="F518" s="17">
        <f>IF($W518="","",TRIM(IFERROR(INDEX(FormData,$W518,f_Org1)&amp;"","")&amp;" "&amp;IFERROR(INDEX(FormData,$W518,f_Org2)&amp;"","")))</f>
        <v/>
      </c>
      <c r="G518" s="16">
        <f>IF($W518="","",IFERROR(INDEX(FormData,$W518,f_Region)&amp;"",""))</f>
        <v/>
      </c>
      <c r="H518" s="16">
        <f>IF($W518="","",IFERROR(IF(SUMPRODUCT(MAX((SitKW&lt;&gt;"")*ISNUMBER(SEARCH(SitKW,INDEX(FormData,$W518,f_Sit)&amp;""))*(ROW(SitKW)-MIN(ROW(SitKW))+1)))=0,"",INDEX(SitVal,SUMPRODUCT(MAX((SitKW&lt;&gt;"")*ISNUMBER(SEARCH(SitKW,INDEX(FormData,$W518,f_Sit)&amp;""))*(ROW(SitKW)-MIN(ROW(SitKW))+1))))),""))</f>
        <v/>
      </c>
      <c r="I518" s="14">
        <f>IF($W518="","",IFERROR(INDEX(FormData,$W518,f_Appr)&amp;"",""))</f>
        <v/>
      </c>
      <c r="J518" s="16">
        <f>IF($W518="","",IFERROR(INDEX(FormData,$W518,f_Trade)&amp;"",""))</f>
        <v/>
      </c>
      <c r="K518" s="16" t="n"/>
      <c r="L518" s="17" t="n"/>
      <c r="M518" s="16" t="n"/>
      <c r="N518" s="17" t="n"/>
      <c r="O518" s="14" t="n"/>
      <c r="P518" s="14" t="n"/>
      <c r="Q518" s="18" t="n"/>
      <c r="R518" s="18" t="n"/>
      <c r="S518" s="13">
        <f>IF($P518&lt;&gt;"✓","",IF($R518&lt;&gt;"","Done",IF($Q518="","Open — no date",IF($Q518&lt;TODAY(),"Overdue",IF($Q518-TODAY()&lt;=DueSoon,"Due soon","Scheduled")))))</f>
        <v/>
      </c>
      <c r="T518" s="14">
        <f>IF($W518="","",IFERROR(IF(INDEX(FormData,$W518,f_Consent)&amp;""="","",IF(ISNUMBER(SEARCH("yes",INDEX(FormData,$W518,f_Consent))),"Yes","No")),""))</f>
        <v/>
      </c>
      <c r="U518" s="14" t="n"/>
      <c r="V518" s="13">
        <f>IF($U518="","",IF($W518="","not found","✓"))</f>
        <v/>
      </c>
      <c r="W518">
        <f>IF($U518="","",IFERROR(MATCH($U518,INDEX(FormData,0,f_Id),0),IFERROR(MATCH(--$U518,INDEX(FormData,0,f_Id),0),IFERROR(MATCH($U518&amp;"",INDEX(FormData,0,f_Id),0),""))))</f>
        <v/>
      </c>
      <c r="X518">
        <f>IF(AND($B518&lt;&gt;"",$B518='Event Report'!$C$3),ROW(),"")</f>
        <v/>
      </c>
      <c r="Y518">
        <f>IF(AND($P518="✓",$R518=""),IF($Q518="",90000,$Q518)+ROW()/100000,"")</f>
        <v/>
      </c>
      <c r="Z518">
        <f>IF(OR($U518&lt;&gt;"",$D518&lt;&gt;"",$E518&lt;&gt;"",$N518&lt;&gt;""),1,"")</f>
        <v/>
      </c>
    </row>
    <row r="519">
      <c r="A519" s="13" t="inlineStr">
        <is>
          <t>P-0515</t>
        </is>
      </c>
      <c r="B519" s="14">
        <f>IF(AND($U519="",$C519=""),"",IFERROR(INDEX(EvID,MATCH(INDEX(FormData,$W519,f_Event),EvID,0)),IFERROR(INDEX(EvID,MATCH(INDEX(FormData,$W519,f_Event),EvName,0)),IFERROR(INDEX(EvID,MATCH(INT($C519),EvDate,0)),""))))</f>
        <v/>
      </c>
      <c r="C519" s="15">
        <f>IF($W519="","",INDEX(FormData,$W519,f_Time))</f>
        <v/>
      </c>
      <c r="D519" s="14">
        <f>IF($W519="","",IFERROR(UPPER(LEFT(TRIM(INDEX(FormData,$W519,f_Name)),1)&amp;IFERROR(MID(TRIM(INDEX(FormData,$W519,f_Name)),FIND("^",SUBSTITUTE(TRIM(INDEX(FormData,$W519,f_Name))," ","^",LEN(TRIM(INDEX(FormData,$W519,f_Name)))-LEN(SUBSTITUTE(TRIM(INDEX(FormData,$W519,f_Name))," ",""))))+1,1),"")),""))</f>
        <v/>
      </c>
      <c r="E519" s="16">
        <f>IF($W519="","",IFERROR(IF(SUMPRODUCT(MAX((WhoKW&lt;&gt;"")*ISNUMBER(SEARCH(WhoKW,INDEX(FormData,$W519,f_Who)&amp;""))*(ROW(WhoKW)-MIN(ROW(WhoKW))+1)))=0,"",INDEX(WhoVal,SUMPRODUCT(MAX((WhoKW&lt;&gt;"")*ISNUMBER(SEARCH(WhoKW,INDEX(FormData,$W519,f_Who)&amp;""))*(ROW(WhoKW)-MIN(ROW(WhoKW))+1))))),""))</f>
        <v/>
      </c>
      <c r="F519" s="17">
        <f>IF($W519="","",TRIM(IFERROR(INDEX(FormData,$W519,f_Org1)&amp;"","")&amp;" "&amp;IFERROR(INDEX(FormData,$W519,f_Org2)&amp;"","")))</f>
        <v/>
      </c>
      <c r="G519" s="16">
        <f>IF($W519="","",IFERROR(INDEX(FormData,$W519,f_Region)&amp;"",""))</f>
        <v/>
      </c>
      <c r="H519" s="16">
        <f>IF($W519="","",IFERROR(IF(SUMPRODUCT(MAX((SitKW&lt;&gt;"")*ISNUMBER(SEARCH(SitKW,INDEX(FormData,$W519,f_Sit)&amp;""))*(ROW(SitKW)-MIN(ROW(SitKW))+1)))=0,"",INDEX(SitVal,SUMPRODUCT(MAX((SitKW&lt;&gt;"")*ISNUMBER(SEARCH(SitKW,INDEX(FormData,$W519,f_Sit)&amp;""))*(ROW(SitKW)-MIN(ROW(SitKW))+1))))),""))</f>
        <v/>
      </c>
      <c r="I519" s="14">
        <f>IF($W519="","",IFERROR(INDEX(FormData,$W519,f_Appr)&amp;"",""))</f>
        <v/>
      </c>
      <c r="J519" s="16">
        <f>IF($W519="","",IFERROR(INDEX(FormData,$W519,f_Trade)&amp;"",""))</f>
        <v/>
      </c>
      <c r="K519" s="16" t="n"/>
      <c r="L519" s="17" t="n"/>
      <c r="M519" s="16" t="n"/>
      <c r="N519" s="17" t="n"/>
      <c r="O519" s="14" t="n"/>
      <c r="P519" s="14" t="n"/>
      <c r="Q519" s="18" t="n"/>
      <c r="R519" s="18" t="n"/>
      <c r="S519" s="13">
        <f>IF($P519&lt;&gt;"✓","",IF($R519&lt;&gt;"","Done",IF($Q519="","Open — no date",IF($Q519&lt;TODAY(),"Overdue",IF($Q519-TODAY()&lt;=DueSoon,"Due soon","Scheduled")))))</f>
        <v/>
      </c>
      <c r="T519" s="14">
        <f>IF($W519="","",IFERROR(IF(INDEX(FormData,$W519,f_Consent)&amp;""="","",IF(ISNUMBER(SEARCH("yes",INDEX(FormData,$W519,f_Consent))),"Yes","No")),""))</f>
        <v/>
      </c>
      <c r="U519" s="14" t="n"/>
      <c r="V519" s="13">
        <f>IF($U519="","",IF($W519="","not found","✓"))</f>
        <v/>
      </c>
      <c r="W519">
        <f>IF($U519="","",IFERROR(MATCH($U519,INDEX(FormData,0,f_Id),0),IFERROR(MATCH(--$U519,INDEX(FormData,0,f_Id),0),IFERROR(MATCH($U519&amp;"",INDEX(FormData,0,f_Id),0),""))))</f>
        <v/>
      </c>
      <c r="X519">
        <f>IF(AND($B519&lt;&gt;"",$B519='Event Report'!$C$3),ROW(),"")</f>
        <v/>
      </c>
      <c r="Y519">
        <f>IF(AND($P519="✓",$R519=""),IF($Q519="",90000,$Q519)+ROW()/100000,"")</f>
        <v/>
      </c>
      <c r="Z519">
        <f>IF(OR($U519&lt;&gt;"",$D519&lt;&gt;"",$E519&lt;&gt;"",$N519&lt;&gt;""),1,"")</f>
        <v/>
      </c>
    </row>
    <row r="520">
      <c r="A520" s="13" t="inlineStr">
        <is>
          <t>P-0516</t>
        </is>
      </c>
      <c r="B520" s="14">
        <f>IF(AND($U520="",$C520=""),"",IFERROR(INDEX(EvID,MATCH(INDEX(FormData,$W520,f_Event),EvID,0)),IFERROR(INDEX(EvID,MATCH(INDEX(FormData,$W520,f_Event),EvName,0)),IFERROR(INDEX(EvID,MATCH(INT($C520),EvDate,0)),""))))</f>
        <v/>
      </c>
      <c r="C520" s="15">
        <f>IF($W520="","",INDEX(FormData,$W520,f_Time))</f>
        <v/>
      </c>
      <c r="D520" s="14">
        <f>IF($W520="","",IFERROR(UPPER(LEFT(TRIM(INDEX(FormData,$W520,f_Name)),1)&amp;IFERROR(MID(TRIM(INDEX(FormData,$W520,f_Name)),FIND("^",SUBSTITUTE(TRIM(INDEX(FormData,$W520,f_Name))," ","^",LEN(TRIM(INDEX(FormData,$W520,f_Name)))-LEN(SUBSTITUTE(TRIM(INDEX(FormData,$W520,f_Name))," ",""))))+1,1),"")),""))</f>
        <v/>
      </c>
      <c r="E520" s="16">
        <f>IF($W520="","",IFERROR(IF(SUMPRODUCT(MAX((WhoKW&lt;&gt;"")*ISNUMBER(SEARCH(WhoKW,INDEX(FormData,$W520,f_Who)&amp;""))*(ROW(WhoKW)-MIN(ROW(WhoKW))+1)))=0,"",INDEX(WhoVal,SUMPRODUCT(MAX((WhoKW&lt;&gt;"")*ISNUMBER(SEARCH(WhoKW,INDEX(FormData,$W520,f_Who)&amp;""))*(ROW(WhoKW)-MIN(ROW(WhoKW))+1))))),""))</f>
        <v/>
      </c>
      <c r="F520" s="17">
        <f>IF($W520="","",TRIM(IFERROR(INDEX(FormData,$W520,f_Org1)&amp;"","")&amp;" "&amp;IFERROR(INDEX(FormData,$W520,f_Org2)&amp;"","")))</f>
        <v/>
      </c>
      <c r="G520" s="16">
        <f>IF($W520="","",IFERROR(INDEX(FormData,$W520,f_Region)&amp;"",""))</f>
        <v/>
      </c>
      <c r="H520" s="16">
        <f>IF($W520="","",IFERROR(IF(SUMPRODUCT(MAX((SitKW&lt;&gt;"")*ISNUMBER(SEARCH(SitKW,INDEX(FormData,$W520,f_Sit)&amp;""))*(ROW(SitKW)-MIN(ROW(SitKW))+1)))=0,"",INDEX(SitVal,SUMPRODUCT(MAX((SitKW&lt;&gt;"")*ISNUMBER(SEARCH(SitKW,INDEX(FormData,$W520,f_Sit)&amp;""))*(ROW(SitKW)-MIN(ROW(SitKW))+1))))),""))</f>
        <v/>
      </c>
      <c r="I520" s="14">
        <f>IF($W520="","",IFERROR(INDEX(FormData,$W520,f_Appr)&amp;"",""))</f>
        <v/>
      </c>
      <c r="J520" s="16">
        <f>IF($W520="","",IFERROR(INDEX(FormData,$W520,f_Trade)&amp;"",""))</f>
        <v/>
      </c>
      <c r="K520" s="16" t="n"/>
      <c r="L520" s="17" t="n"/>
      <c r="M520" s="16" t="n"/>
      <c r="N520" s="17" t="n"/>
      <c r="O520" s="14" t="n"/>
      <c r="P520" s="14" t="n"/>
      <c r="Q520" s="18" t="n"/>
      <c r="R520" s="18" t="n"/>
      <c r="S520" s="13">
        <f>IF($P520&lt;&gt;"✓","",IF($R520&lt;&gt;"","Done",IF($Q520="","Open — no date",IF($Q520&lt;TODAY(),"Overdue",IF($Q520-TODAY()&lt;=DueSoon,"Due soon","Scheduled")))))</f>
        <v/>
      </c>
      <c r="T520" s="14">
        <f>IF($W520="","",IFERROR(IF(INDEX(FormData,$W520,f_Consent)&amp;""="","",IF(ISNUMBER(SEARCH("yes",INDEX(FormData,$W520,f_Consent))),"Yes","No")),""))</f>
        <v/>
      </c>
      <c r="U520" s="14" t="n"/>
      <c r="V520" s="13">
        <f>IF($U520="","",IF($W520="","not found","✓"))</f>
        <v/>
      </c>
      <c r="W520">
        <f>IF($U520="","",IFERROR(MATCH($U520,INDEX(FormData,0,f_Id),0),IFERROR(MATCH(--$U520,INDEX(FormData,0,f_Id),0),IFERROR(MATCH($U520&amp;"",INDEX(FormData,0,f_Id),0),""))))</f>
        <v/>
      </c>
      <c r="X520">
        <f>IF(AND($B520&lt;&gt;"",$B520='Event Report'!$C$3),ROW(),"")</f>
        <v/>
      </c>
      <c r="Y520">
        <f>IF(AND($P520="✓",$R520=""),IF($Q520="",90000,$Q520)+ROW()/100000,"")</f>
        <v/>
      </c>
      <c r="Z520">
        <f>IF(OR($U520&lt;&gt;"",$D520&lt;&gt;"",$E520&lt;&gt;"",$N520&lt;&gt;""),1,"")</f>
        <v/>
      </c>
    </row>
    <row r="521">
      <c r="A521" s="13" t="inlineStr">
        <is>
          <t>P-0517</t>
        </is>
      </c>
      <c r="B521" s="14">
        <f>IF(AND($U521="",$C521=""),"",IFERROR(INDEX(EvID,MATCH(INDEX(FormData,$W521,f_Event),EvID,0)),IFERROR(INDEX(EvID,MATCH(INDEX(FormData,$W521,f_Event),EvName,0)),IFERROR(INDEX(EvID,MATCH(INT($C521),EvDate,0)),""))))</f>
        <v/>
      </c>
      <c r="C521" s="15">
        <f>IF($W521="","",INDEX(FormData,$W521,f_Time))</f>
        <v/>
      </c>
      <c r="D521" s="14">
        <f>IF($W521="","",IFERROR(UPPER(LEFT(TRIM(INDEX(FormData,$W521,f_Name)),1)&amp;IFERROR(MID(TRIM(INDEX(FormData,$W521,f_Name)),FIND("^",SUBSTITUTE(TRIM(INDEX(FormData,$W521,f_Name))," ","^",LEN(TRIM(INDEX(FormData,$W521,f_Name)))-LEN(SUBSTITUTE(TRIM(INDEX(FormData,$W521,f_Name))," ",""))))+1,1),"")),""))</f>
        <v/>
      </c>
      <c r="E521" s="16">
        <f>IF($W521="","",IFERROR(IF(SUMPRODUCT(MAX((WhoKW&lt;&gt;"")*ISNUMBER(SEARCH(WhoKW,INDEX(FormData,$W521,f_Who)&amp;""))*(ROW(WhoKW)-MIN(ROW(WhoKW))+1)))=0,"",INDEX(WhoVal,SUMPRODUCT(MAX((WhoKW&lt;&gt;"")*ISNUMBER(SEARCH(WhoKW,INDEX(FormData,$W521,f_Who)&amp;""))*(ROW(WhoKW)-MIN(ROW(WhoKW))+1))))),""))</f>
        <v/>
      </c>
      <c r="F521" s="17">
        <f>IF($W521="","",TRIM(IFERROR(INDEX(FormData,$W521,f_Org1)&amp;"","")&amp;" "&amp;IFERROR(INDEX(FormData,$W521,f_Org2)&amp;"","")))</f>
        <v/>
      </c>
      <c r="G521" s="16">
        <f>IF($W521="","",IFERROR(INDEX(FormData,$W521,f_Region)&amp;"",""))</f>
        <v/>
      </c>
      <c r="H521" s="16">
        <f>IF($W521="","",IFERROR(IF(SUMPRODUCT(MAX((SitKW&lt;&gt;"")*ISNUMBER(SEARCH(SitKW,INDEX(FormData,$W521,f_Sit)&amp;""))*(ROW(SitKW)-MIN(ROW(SitKW))+1)))=0,"",INDEX(SitVal,SUMPRODUCT(MAX((SitKW&lt;&gt;"")*ISNUMBER(SEARCH(SitKW,INDEX(FormData,$W521,f_Sit)&amp;""))*(ROW(SitKW)-MIN(ROW(SitKW))+1))))),""))</f>
        <v/>
      </c>
      <c r="I521" s="14">
        <f>IF($W521="","",IFERROR(INDEX(FormData,$W521,f_Appr)&amp;"",""))</f>
        <v/>
      </c>
      <c r="J521" s="16">
        <f>IF($W521="","",IFERROR(INDEX(FormData,$W521,f_Trade)&amp;"",""))</f>
        <v/>
      </c>
      <c r="K521" s="16" t="n"/>
      <c r="L521" s="17" t="n"/>
      <c r="M521" s="16" t="n"/>
      <c r="N521" s="17" t="n"/>
      <c r="O521" s="14" t="n"/>
      <c r="P521" s="14" t="n"/>
      <c r="Q521" s="18" t="n"/>
      <c r="R521" s="18" t="n"/>
      <c r="S521" s="13">
        <f>IF($P521&lt;&gt;"✓","",IF($R521&lt;&gt;"","Done",IF($Q521="","Open — no date",IF($Q521&lt;TODAY(),"Overdue",IF($Q521-TODAY()&lt;=DueSoon,"Due soon","Scheduled")))))</f>
        <v/>
      </c>
      <c r="T521" s="14">
        <f>IF($W521="","",IFERROR(IF(INDEX(FormData,$W521,f_Consent)&amp;""="","",IF(ISNUMBER(SEARCH("yes",INDEX(FormData,$W521,f_Consent))),"Yes","No")),""))</f>
        <v/>
      </c>
      <c r="U521" s="14" t="n"/>
      <c r="V521" s="13">
        <f>IF($U521="","",IF($W521="","not found","✓"))</f>
        <v/>
      </c>
      <c r="W521">
        <f>IF($U521="","",IFERROR(MATCH($U521,INDEX(FormData,0,f_Id),0),IFERROR(MATCH(--$U521,INDEX(FormData,0,f_Id),0),IFERROR(MATCH($U521&amp;"",INDEX(FormData,0,f_Id),0),""))))</f>
        <v/>
      </c>
      <c r="X521">
        <f>IF(AND($B521&lt;&gt;"",$B521='Event Report'!$C$3),ROW(),"")</f>
        <v/>
      </c>
      <c r="Y521">
        <f>IF(AND($P521="✓",$R521=""),IF($Q521="",90000,$Q521)+ROW()/100000,"")</f>
        <v/>
      </c>
      <c r="Z521">
        <f>IF(OR($U521&lt;&gt;"",$D521&lt;&gt;"",$E521&lt;&gt;"",$N521&lt;&gt;""),1,"")</f>
        <v/>
      </c>
    </row>
    <row r="522">
      <c r="A522" s="13" t="inlineStr">
        <is>
          <t>P-0518</t>
        </is>
      </c>
      <c r="B522" s="14">
        <f>IF(AND($U522="",$C522=""),"",IFERROR(INDEX(EvID,MATCH(INDEX(FormData,$W522,f_Event),EvID,0)),IFERROR(INDEX(EvID,MATCH(INDEX(FormData,$W522,f_Event),EvName,0)),IFERROR(INDEX(EvID,MATCH(INT($C522),EvDate,0)),""))))</f>
        <v/>
      </c>
      <c r="C522" s="15">
        <f>IF($W522="","",INDEX(FormData,$W522,f_Time))</f>
        <v/>
      </c>
      <c r="D522" s="14">
        <f>IF($W522="","",IFERROR(UPPER(LEFT(TRIM(INDEX(FormData,$W522,f_Name)),1)&amp;IFERROR(MID(TRIM(INDEX(FormData,$W522,f_Name)),FIND("^",SUBSTITUTE(TRIM(INDEX(FormData,$W522,f_Name))," ","^",LEN(TRIM(INDEX(FormData,$W522,f_Name)))-LEN(SUBSTITUTE(TRIM(INDEX(FormData,$W522,f_Name))," ",""))))+1,1),"")),""))</f>
        <v/>
      </c>
      <c r="E522" s="16">
        <f>IF($W522="","",IFERROR(IF(SUMPRODUCT(MAX((WhoKW&lt;&gt;"")*ISNUMBER(SEARCH(WhoKW,INDEX(FormData,$W522,f_Who)&amp;""))*(ROW(WhoKW)-MIN(ROW(WhoKW))+1)))=0,"",INDEX(WhoVal,SUMPRODUCT(MAX((WhoKW&lt;&gt;"")*ISNUMBER(SEARCH(WhoKW,INDEX(FormData,$W522,f_Who)&amp;""))*(ROW(WhoKW)-MIN(ROW(WhoKW))+1))))),""))</f>
        <v/>
      </c>
      <c r="F522" s="17">
        <f>IF($W522="","",TRIM(IFERROR(INDEX(FormData,$W522,f_Org1)&amp;"","")&amp;" "&amp;IFERROR(INDEX(FormData,$W522,f_Org2)&amp;"","")))</f>
        <v/>
      </c>
      <c r="G522" s="16">
        <f>IF($W522="","",IFERROR(INDEX(FormData,$W522,f_Region)&amp;"",""))</f>
        <v/>
      </c>
      <c r="H522" s="16">
        <f>IF($W522="","",IFERROR(IF(SUMPRODUCT(MAX((SitKW&lt;&gt;"")*ISNUMBER(SEARCH(SitKW,INDEX(FormData,$W522,f_Sit)&amp;""))*(ROW(SitKW)-MIN(ROW(SitKW))+1)))=0,"",INDEX(SitVal,SUMPRODUCT(MAX((SitKW&lt;&gt;"")*ISNUMBER(SEARCH(SitKW,INDEX(FormData,$W522,f_Sit)&amp;""))*(ROW(SitKW)-MIN(ROW(SitKW))+1))))),""))</f>
        <v/>
      </c>
      <c r="I522" s="14">
        <f>IF($W522="","",IFERROR(INDEX(FormData,$W522,f_Appr)&amp;"",""))</f>
        <v/>
      </c>
      <c r="J522" s="16">
        <f>IF($W522="","",IFERROR(INDEX(FormData,$W522,f_Trade)&amp;"",""))</f>
        <v/>
      </c>
      <c r="K522" s="16" t="n"/>
      <c r="L522" s="17" t="n"/>
      <c r="M522" s="16" t="n"/>
      <c r="N522" s="17" t="n"/>
      <c r="O522" s="14" t="n"/>
      <c r="P522" s="14" t="n"/>
      <c r="Q522" s="18" t="n"/>
      <c r="R522" s="18" t="n"/>
      <c r="S522" s="13">
        <f>IF($P522&lt;&gt;"✓","",IF($R522&lt;&gt;"","Done",IF($Q522="","Open — no date",IF($Q522&lt;TODAY(),"Overdue",IF($Q522-TODAY()&lt;=DueSoon,"Due soon","Scheduled")))))</f>
        <v/>
      </c>
      <c r="T522" s="14">
        <f>IF($W522="","",IFERROR(IF(INDEX(FormData,$W522,f_Consent)&amp;""="","",IF(ISNUMBER(SEARCH("yes",INDEX(FormData,$W522,f_Consent))),"Yes","No")),""))</f>
        <v/>
      </c>
      <c r="U522" s="14" t="n"/>
      <c r="V522" s="13">
        <f>IF($U522="","",IF($W522="","not found","✓"))</f>
        <v/>
      </c>
      <c r="W522">
        <f>IF($U522="","",IFERROR(MATCH($U522,INDEX(FormData,0,f_Id),0),IFERROR(MATCH(--$U522,INDEX(FormData,0,f_Id),0),IFERROR(MATCH($U522&amp;"",INDEX(FormData,0,f_Id),0),""))))</f>
        <v/>
      </c>
      <c r="X522">
        <f>IF(AND($B522&lt;&gt;"",$B522='Event Report'!$C$3),ROW(),"")</f>
        <v/>
      </c>
      <c r="Y522">
        <f>IF(AND($P522="✓",$R522=""),IF($Q522="",90000,$Q522)+ROW()/100000,"")</f>
        <v/>
      </c>
      <c r="Z522">
        <f>IF(OR($U522&lt;&gt;"",$D522&lt;&gt;"",$E522&lt;&gt;"",$N522&lt;&gt;""),1,"")</f>
        <v/>
      </c>
    </row>
    <row r="523">
      <c r="A523" s="13" t="inlineStr">
        <is>
          <t>P-0519</t>
        </is>
      </c>
      <c r="B523" s="14">
        <f>IF(AND($U523="",$C523=""),"",IFERROR(INDEX(EvID,MATCH(INDEX(FormData,$W523,f_Event),EvID,0)),IFERROR(INDEX(EvID,MATCH(INDEX(FormData,$W523,f_Event),EvName,0)),IFERROR(INDEX(EvID,MATCH(INT($C523),EvDate,0)),""))))</f>
        <v/>
      </c>
      <c r="C523" s="15">
        <f>IF($W523="","",INDEX(FormData,$W523,f_Time))</f>
        <v/>
      </c>
      <c r="D523" s="14">
        <f>IF($W523="","",IFERROR(UPPER(LEFT(TRIM(INDEX(FormData,$W523,f_Name)),1)&amp;IFERROR(MID(TRIM(INDEX(FormData,$W523,f_Name)),FIND("^",SUBSTITUTE(TRIM(INDEX(FormData,$W523,f_Name))," ","^",LEN(TRIM(INDEX(FormData,$W523,f_Name)))-LEN(SUBSTITUTE(TRIM(INDEX(FormData,$W523,f_Name))," ",""))))+1,1),"")),""))</f>
        <v/>
      </c>
      <c r="E523" s="16">
        <f>IF($W523="","",IFERROR(IF(SUMPRODUCT(MAX((WhoKW&lt;&gt;"")*ISNUMBER(SEARCH(WhoKW,INDEX(FormData,$W523,f_Who)&amp;""))*(ROW(WhoKW)-MIN(ROW(WhoKW))+1)))=0,"",INDEX(WhoVal,SUMPRODUCT(MAX((WhoKW&lt;&gt;"")*ISNUMBER(SEARCH(WhoKW,INDEX(FormData,$W523,f_Who)&amp;""))*(ROW(WhoKW)-MIN(ROW(WhoKW))+1))))),""))</f>
        <v/>
      </c>
      <c r="F523" s="17">
        <f>IF($W523="","",TRIM(IFERROR(INDEX(FormData,$W523,f_Org1)&amp;"","")&amp;" "&amp;IFERROR(INDEX(FormData,$W523,f_Org2)&amp;"","")))</f>
        <v/>
      </c>
      <c r="G523" s="16">
        <f>IF($W523="","",IFERROR(INDEX(FormData,$W523,f_Region)&amp;"",""))</f>
        <v/>
      </c>
      <c r="H523" s="16">
        <f>IF($W523="","",IFERROR(IF(SUMPRODUCT(MAX((SitKW&lt;&gt;"")*ISNUMBER(SEARCH(SitKW,INDEX(FormData,$W523,f_Sit)&amp;""))*(ROW(SitKW)-MIN(ROW(SitKW))+1)))=0,"",INDEX(SitVal,SUMPRODUCT(MAX((SitKW&lt;&gt;"")*ISNUMBER(SEARCH(SitKW,INDEX(FormData,$W523,f_Sit)&amp;""))*(ROW(SitKW)-MIN(ROW(SitKW))+1))))),""))</f>
        <v/>
      </c>
      <c r="I523" s="14">
        <f>IF($W523="","",IFERROR(INDEX(FormData,$W523,f_Appr)&amp;"",""))</f>
        <v/>
      </c>
      <c r="J523" s="16">
        <f>IF($W523="","",IFERROR(INDEX(FormData,$W523,f_Trade)&amp;"",""))</f>
        <v/>
      </c>
      <c r="K523" s="16" t="n"/>
      <c r="L523" s="17" t="n"/>
      <c r="M523" s="16" t="n"/>
      <c r="N523" s="17" t="n"/>
      <c r="O523" s="14" t="n"/>
      <c r="P523" s="14" t="n"/>
      <c r="Q523" s="18" t="n"/>
      <c r="R523" s="18" t="n"/>
      <c r="S523" s="13">
        <f>IF($P523&lt;&gt;"✓","",IF($R523&lt;&gt;"","Done",IF($Q523="","Open — no date",IF($Q523&lt;TODAY(),"Overdue",IF($Q523-TODAY()&lt;=DueSoon,"Due soon","Scheduled")))))</f>
        <v/>
      </c>
      <c r="T523" s="14">
        <f>IF($W523="","",IFERROR(IF(INDEX(FormData,$W523,f_Consent)&amp;""="","",IF(ISNUMBER(SEARCH("yes",INDEX(FormData,$W523,f_Consent))),"Yes","No")),""))</f>
        <v/>
      </c>
      <c r="U523" s="14" t="n"/>
      <c r="V523" s="13">
        <f>IF($U523="","",IF($W523="","not found","✓"))</f>
        <v/>
      </c>
      <c r="W523">
        <f>IF($U523="","",IFERROR(MATCH($U523,INDEX(FormData,0,f_Id),0),IFERROR(MATCH(--$U523,INDEX(FormData,0,f_Id),0),IFERROR(MATCH($U523&amp;"",INDEX(FormData,0,f_Id),0),""))))</f>
        <v/>
      </c>
      <c r="X523">
        <f>IF(AND($B523&lt;&gt;"",$B523='Event Report'!$C$3),ROW(),"")</f>
        <v/>
      </c>
      <c r="Y523">
        <f>IF(AND($P523="✓",$R523=""),IF($Q523="",90000,$Q523)+ROW()/100000,"")</f>
        <v/>
      </c>
      <c r="Z523">
        <f>IF(OR($U523&lt;&gt;"",$D523&lt;&gt;"",$E523&lt;&gt;"",$N523&lt;&gt;""),1,"")</f>
        <v/>
      </c>
    </row>
    <row r="524">
      <c r="A524" s="13" t="inlineStr">
        <is>
          <t>P-0520</t>
        </is>
      </c>
      <c r="B524" s="14">
        <f>IF(AND($U524="",$C524=""),"",IFERROR(INDEX(EvID,MATCH(INDEX(FormData,$W524,f_Event),EvID,0)),IFERROR(INDEX(EvID,MATCH(INDEX(FormData,$W524,f_Event),EvName,0)),IFERROR(INDEX(EvID,MATCH(INT($C524),EvDate,0)),""))))</f>
        <v/>
      </c>
      <c r="C524" s="15">
        <f>IF($W524="","",INDEX(FormData,$W524,f_Time))</f>
        <v/>
      </c>
      <c r="D524" s="14">
        <f>IF($W524="","",IFERROR(UPPER(LEFT(TRIM(INDEX(FormData,$W524,f_Name)),1)&amp;IFERROR(MID(TRIM(INDEX(FormData,$W524,f_Name)),FIND("^",SUBSTITUTE(TRIM(INDEX(FormData,$W524,f_Name))," ","^",LEN(TRIM(INDEX(FormData,$W524,f_Name)))-LEN(SUBSTITUTE(TRIM(INDEX(FormData,$W524,f_Name))," ",""))))+1,1),"")),""))</f>
        <v/>
      </c>
      <c r="E524" s="16">
        <f>IF($W524="","",IFERROR(IF(SUMPRODUCT(MAX((WhoKW&lt;&gt;"")*ISNUMBER(SEARCH(WhoKW,INDEX(FormData,$W524,f_Who)&amp;""))*(ROW(WhoKW)-MIN(ROW(WhoKW))+1)))=0,"",INDEX(WhoVal,SUMPRODUCT(MAX((WhoKW&lt;&gt;"")*ISNUMBER(SEARCH(WhoKW,INDEX(FormData,$W524,f_Who)&amp;""))*(ROW(WhoKW)-MIN(ROW(WhoKW))+1))))),""))</f>
        <v/>
      </c>
      <c r="F524" s="17">
        <f>IF($W524="","",TRIM(IFERROR(INDEX(FormData,$W524,f_Org1)&amp;"","")&amp;" "&amp;IFERROR(INDEX(FormData,$W524,f_Org2)&amp;"","")))</f>
        <v/>
      </c>
      <c r="G524" s="16">
        <f>IF($W524="","",IFERROR(INDEX(FormData,$W524,f_Region)&amp;"",""))</f>
        <v/>
      </c>
      <c r="H524" s="16">
        <f>IF($W524="","",IFERROR(IF(SUMPRODUCT(MAX((SitKW&lt;&gt;"")*ISNUMBER(SEARCH(SitKW,INDEX(FormData,$W524,f_Sit)&amp;""))*(ROW(SitKW)-MIN(ROW(SitKW))+1)))=0,"",INDEX(SitVal,SUMPRODUCT(MAX((SitKW&lt;&gt;"")*ISNUMBER(SEARCH(SitKW,INDEX(FormData,$W524,f_Sit)&amp;""))*(ROW(SitKW)-MIN(ROW(SitKW))+1))))),""))</f>
        <v/>
      </c>
      <c r="I524" s="14">
        <f>IF($W524="","",IFERROR(INDEX(FormData,$W524,f_Appr)&amp;"",""))</f>
        <v/>
      </c>
      <c r="J524" s="16">
        <f>IF($W524="","",IFERROR(INDEX(FormData,$W524,f_Trade)&amp;"",""))</f>
        <v/>
      </c>
      <c r="K524" s="16" t="n"/>
      <c r="L524" s="17" t="n"/>
      <c r="M524" s="16" t="n"/>
      <c r="N524" s="17" t="n"/>
      <c r="O524" s="14" t="n"/>
      <c r="P524" s="14" t="n"/>
      <c r="Q524" s="18" t="n"/>
      <c r="R524" s="18" t="n"/>
      <c r="S524" s="13">
        <f>IF($P524&lt;&gt;"✓","",IF($R524&lt;&gt;"","Done",IF($Q524="","Open — no date",IF($Q524&lt;TODAY(),"Overdue",IF($Q524-TODAY()&lt;=DueSoon,"Due soon","Scheduled")))))</f>
        <v/>
      </c>
      <c r="T524" s="14">
        <f>IF($W524="","",IFERROR(IF(INDEX(FormData,$W524,f_Consent)&amp;""="","",IF(ISNUMBER(SEARCH("yes",INDEX(FormData,$W524,f_Consent))),"Yes","No")),""))</f>
        <v/>
      </c>
      <c r="U524" s="14" t="n"/>
      <c r="V524" s="13">
        <f>IF($U524="","",IF($W524="","not found","✓"))</f>
        <v/>
      </c>
      <c r="W524">
        <f>IF($U524="","",IFERROR(MATCH($U524,INDEX(FormData,0,f_Id),0),IFERROR(MATCH(--$U524,INDEX(FormData,0,f_Id),0),IFERROR(MATCH($U524&amp;"",INDEX(FormData,0,f_Id),0),""))))</f>
        <v/>
      </c>
      <c r="X524">
        <f>IF(AND($B524&lt;&gt;"",$B524='Event Report'!$C$3),ROW(),"")</f>
        <v/>
      </c>
      <c r="Y524">
        <f>IF(AND($P524="✓",$R524=""),IF($Q524="",90000,$Q524)+ROW()/100000,"")</f>
        <v/>
      </c>
      <c r="Z524">
        <f>IF(OR($U524&lt;&gt;"",$D524&lt;&gt;"",$E524&lt;&gt;"",$N524&lt;&gt;""),1,"")</f>
        <v/>
      </c>
    </row>
    <row r="525">
      <c r="A525" s="13" t="inlineStr">
        <is>
          <t>P-0521</t>
        </is>
      </c>
      <c r="B525" s="14">
        <f>IF(AND($U525="",$C525=""),"",IFERROR(INDEX(EvID,MATCH(INDEX(FormData,$W525,f_Event),EvID,0)),IFERROR(INDEX(EvID,MATCH(INDEX(FormData,$W525,f_Event),EvName,0)),IFERROR(INDEX(EvID,MATCH(INT($C525),EvDate,0)),""))))</f>
        <v/>
      </c>
      <c r="C525" s="15">
        <f>IF($W525="","",INDEX(FormData,$W525,f_Time))</f>
        <v/>
      </c>
      <c r="D525" s="14">
        <f>IF($W525="","",IFERROR(UPPER(LEFT(TRIM(INDEX(FormData,$W525,f_Name)),1)&amp;IFERROR(MID(TRIM(INDEX(FormData,$W525,f_Name)),FIND("^",SUBSTITUTE(TRIM(INDEX(FormData,$W525,f_Name))," ","^",LEN(TRIM(INDEX(FormData,$W525,f_Name)))-LEN(SUBSTITUTE(TRIM(INDEX(FormData,$W525,f_Name))," ",""))))+1,1),"")),""))</f>
        <v/>
      </c>
      <c r="E525" s="16">
        <f>IF($W525="","",IFERROR(IF(SUMPRODUCT(MAX((WhoKW&lt;&gt;"")*ISNUMBER(SEARCH(WhoKW,INDEX(FormData,$W525,f_Who)&amp;""))*(ROW(WhoKW)-MIN(ROW(WhoKW))+1)))=0,"",INDEX(WhoVal,SUMPRODUCT(MAX((WhoKW&lt;&gt;"")*ISNUMBER(SEARCH(WhoKW,INDEX(FormData,$W525,f_Who)&amp;""))*(ROW(WhoKW)-MIN(ROW(WhoKW))+1))))),""))</f>
        <v/>
      </c>
      <c r="F525" s="17">
        <f>IF($W525="","",TRIM(IFERROR(INDEX(FormData,$W525,f_Org1)&amp;"","")&amp;" "&amp;IFERROR(INDEX(FormData,$W525,f_Org2)&amp;"","")))</f>
        <v/>
      </c>
      <c r="G525" s="16">
        <f>IF($W525="","",IFERROR(INDEX(FormData,$W525,f_Region)&amp;"",""))</f>
        <v/>
      </c>
      <c r="H525" s="16">
        <f>IF($W525="","",IFERROR(IF(SUMPRODUCT(MAX((SitKW&lt;&gt;"")*ISNUMBER(SEARCH(SitKW,INDEX(FormData,$W525,f_Sit)&amp;""))*(ROW(SitKW)-MIN(ROW(SitKW))+1)))=0,"",INDEX(SitVal,SUMPRODUCT(MAX((SitKW&lt;&gt;"")*ISNUMBER(SEARCH(SitKW,INDEX(FormData,$W525,f_Sit)&amp;""))*(ROW(SitKW)-MIN(ROW(SitKW))+1))))),""))</f>
        <v/>
      </c>
      <c r="I525" s="14">
        <f>IF($W525="","",IFERROR(INDEX(FormData,$W525,f_Appr)&amp;"",""))</f>
        <v/>
      </c>
      <c r="J525" s="16">
        <f>IF($W525="","",IFERROR(INDEX(FormData,$W525,f_Trade)&amp;"",""))</f>
        <v/>
      </c>
      <c r="K525" s="16" t="n"/>
      <c r="L525" s="17" t="n"/>
      <c r="M525" s="16" t="n"/>
      <c r="N525" s="17" t="n"/>
      <c r="O525" s="14" t="n"/>
      <c r="P525" s="14" t="n"/>
      <c r="Q525" s="18" t="n"/>
      <c r="R525" s="18" t="n"/>
      <c r="S525" s="13">
        <f>IF($P525&lt;&gt;"✓","",IF($R525&lt;&gt;"","Done",IF($Q525="","Open — no date",IF($Q525&lt;TODAY(),"Overdue",IF($Q525-TODAY()&lt;=DueSoon,"Due soon","Scheduled")))))</f>
        <v/>
      </c>
      <c r="T525" s="14">
        <f>IF($W525="","",IFERROR(IF(INDEX(FormData,$W525,f_Consent)&amp;""="","",IF(ISNUMBER(SEARCH("yes",INDEX(FormData,$W525,f_Consent))),"Yes","No")),""))</f>
        <v/>
      </c>
      <c r="U525" s="14" t="n"/>
      <c r="V525" s="13">
        <f>IF($U525="","",IF($W525="","not found","✓"))</f>
        <v/>
      </c>
      <c r="W525">
        <f>IF($U525="","",IFERROR(MATCH($U525,INDEX(FormData,0,f_Id),0),IFERROR(MATCH(--$U525,INDEX(FormData,0,f_Id),0),IFERROR(MATCH($U525&amp;"",INDEX(FormData,0,f_Id),0),""))))</f>
        <v/>
      </c>
      <c r="X525">
        <f>IF(AND($B525&lt;&gt;"",$B525='Event Report'!$C$3),ROW(),"")</f>
        <v/>
      </c>
      <c r="Y525">
        <f>IF(AND($P525="✓",$R525=""),IF($Q525="",90000,$Q525)+ROW()/100000,"")</f>
        <v/>
      </c>
      <c r="Z525">
        <f>IF(OR($U525&lt;&gt;"",$D525&lt;&gt;"",$E525&lt;&gt;"",$N525&lt;&gt;""),1,"")</f>
        <v/>
      </c>
    </row>
    <row r="526">
      <c r="A526" s="13" t="inlineStr">
        <is>
          <t>P-0522</t>
        </is>
      </c>
      <c r="B526" s="14">
        <f>IF(AND($U526="",$C526=""),"",IFERROR(INDEX(EvID,MATCH(INDEX(FormData,$W526,f_Event),EvID,0)),IFERROR(INDEX(EvID,MATCH(INDEX(FormData,$W526,f_Event),EvName,0)),IFERROR(INDEX(EvID,MATCH(INT($C526),EvDate,0)),""))))</f>
        <v/>
      </c>
      <c r="C526" s="15">
        <f>IF($W526="","",INDEX(FormData,$W526,f_Time))</f>
        <v/>
      </c>
      <c r="D526" s="14">
        <f>IF($W526="","",IFERROR(UPPER(LEFT(TRIM(INDEX(FormData,$W526,f_Name)),1)&amp;IFERROR(MID(TRIM(INDEX(FormData,$W526,f_Name)),FIND("^",SUBSTITUTE(TRIM(INDEX(FormData,$W526,f_Name))," ","^",LEN(TRIM(INDEX(FormData,$W526,f_Name)))-LEN(SUBSTITUTE(TRIM(INDEX(FormData,$W526,f_Name))," ",""))))+1,1),"")),""))</f>
        <v/>
      </c>
      <c r="E526" s="16">
        <f>IF($W526="","",IFERROR(IF(SUMPRODUCT(MAX((WhoKW&lt;&gt;"")*ISNUMBER(SEARCH(WhoKW,INDEX(FormData,$W526,f_Who)&amp;""))*(ROW(WhoKW)-MIN(ROW(WhoKW))+1)))=0,"",INDEX(WhoVal,SUMPRODUCT(MAX((WhoKW&lt;&gt;"")*ISNUMBER(SEARCH(WhoKW,INDEX(FormData,$W526,f_Who)&amp;""))*(ROW(WhoKW)-MIN(ROW(WhoKW))+1))))),""))</f>
        <v/>
      </c>
      <c r="F526" s="17">
        <f>IF($W526="","",TRIM(IFERROR(INDEX(FormData,$W526,f_Org1)&amp;"","")&amp;" "&amp;IFERROR(INDEX(FormData,$W526,f_Org2)&amp;"","")))</f>
        <v/>
      </c>
      <c r="G526" s="16">
        <f>IF($W526="","",IFERROR(INDEX(FormData,$W526,f_Region)&amp;"",""))</f>
        <v/>
      </c>
      <c r="H526" s="16">
        <f>IF($W526="","",IFERROR(IF(SUMPRODUCT(MAX((SitKW&lt;&gt;"")*ISNUMBER(SEARCH(SitKW,INDEX(FormData,$W526,f_Sit)&amp;""))*(ROW(SitKW)-MIN(ROW(SitKW))+1)))=0,"",INDEX(SitVal,SUMPRODUCT(MAX((SitKW&lt;&gt;"")*ISNUMBER(SEARCH(SitKW,INDEX(FormData,$W526,f_Sit)&amp;""))*(ROW(SitKW)-MIN(ROW(SitKW))+1))))),""))</f>
        <v/>
      </c>
      <c r="I526" s="14">
        <f>IF($W526="","",IFERROR(INDEX(FormData,$W526,f_Appr)&amp;"",""))</f>
        <v/>
      </c>
      <c r="J526" s="16">
        <f>IF($W526="","",IFERROR(INDEX(FormData,$W526,f_Trade)&amp;"",""))</f>
        <v/>
      </c>
      <c r="K526" s="16" t="n"/>
      <c r="L526" s="17" t="n"/>
      <c r="M526" s="16" t="n"/>
      <c r="N526" s="17" t="n"/>
      <c r="O526" s="14" t="n"/>
      <c r="P526" s="14" t="n"/>
      <c r="Q526" s="18" t="n"/>
      <c r="R526" s="18" t="n"/>
      <c r="S526" s="13">
        <f>IF($P526&lt;&gt;"✓","",IF($R526&lt;&gt;"","Done",IF($Q526="","Open — no date",IF($Q526&lt;TODAY(),"Overdue",IF($Q526-TODAY()&lt;=DueSoon,"Due soon","Scheduled")))))</f>
        <v/>
      </c>
      <c r="T526" s="14">
        <f>IF($W526="","",IFERROR(IF(INDEX(FormData,$W526,f_Consent)&amp;""="","",IF(ISNUMBER(SEARCH("yes",INDEX(FormData,$W526,f_Consent))),"Yes","No")),""))</f>
        <v/>
      </c>
      <c r="U526" s="14" t="n"/>
      <c r="V526" s="13">
        <f>IF($U526="","",IF($W526="","not found","✓"))</f>
        <v/>
      </c>
      <c r="W526">
        <f>IF($U526="","",IFERROR(MATCH($U526,INDEX(FormData,0,f_Id),0),IFERROR(MATCH(--$U526,INDEX(FormData,0,f_Id),0),IFERROR(MATCH($U526&amp;"",INDEX(FormData,0,f_Id),0),""))))</f>
        <v/>
      </c>
      <c r="X526">
        <f>IF(AND($B526&lt;&gt;"",$B526='Event Report'!$C$3),ROW(),"")</f>
        <v/>
      </c>
      <c r="Y526">
        <f>IF(AND($P526="✓",$R526=""),IF($Q526="",90000,$Q526)+ROW()/100000,"")</f>
        <v/>
      </c>
      <c r="Z526">
        <f>IF(OR($U526&lt;&gt;"",$D526&lt;&gt;"",$E526&lt;&gt;"",$N526&lt;&gt;""),1,"")</f>
        <v/>
      </c>
    </row>
    <row r="527">
      <c r="A527" s="13" t="inlineStr">
        <is>
          <t>P-0523</t>
        </is>
      </c>
      <c r="B527" s="14">
        <f>IF(AND($U527="",$C527=""),"",IFERROR(INDEX(EvID,MATCH(INDEX(FormData,$W527,f_Event),EvID,0)),IFERROR(INDEX(EvID,MATCH(INDEX(FormData,$W527,f_Event),EvName,0)),IFERROR(INDEX(EvID,MATCH(INT($C527),EvDate,0)),""))))</f>
        <v/>
      </c>
      <c r="C527" s="15">
        <f>IF($W527="","",INDEX(FormData,$W527,f_Time))</f>
        <v/>
      </c>
      <c r="D527" s="14">
        <f>IF($W527="","",IFERROR(UPPER(LEFT(TRIM(INDEX(FormData,$W527,f_Name)),1)&amp;IFERROR(MID(TRIM(INDEX(FormData,$W527,f_Name)),FIND("^",SUBSTITUTE(TRIM(INDEX(FormData,$W527,f_Name))," ","^",LEN(TRIM(INDEX(FormData,$W527,f_Name)))-LEN(SUBSTITUTE(TRIM(INDEX(FormData,$W527,f_Name))," ",""))))+1,1),"")),""))</f>
        <v/>
      </c>
      <c r="E527" s="16">
        <f>IF($W527="","",IFERROR(IF(SUMPRODUCT(MAX((WhoKW&lt;&gt;"")*ISNUMBER(SEARCH(WhoKW,INDEX(FormData,$W527,f_Who)&amp;""))*(ROW(WhoKW)-MIN(ROW(WhoKW))+1)))=0,"",INDEX(WhoVal,SUMPRODUCT(MAX((WhoKW&lt;&gt;"")*ISNUMBER(SEARCH(WhoKW,INDEX(FormData,$W527,f_Who)&amp;""))*(ROW(WhoKW)-MIN(ROW(WhoKW))+1))))),""))</f>
        <v/>
      </c>
      <c r="F527" s="17">
        <f>IF($W527="","",TRIM(IFERROR(INDEX(FormData,$W527,f_Org1)&amp;"","")&amp;" "&amp;IFERROR(INDEX(FormData,$W527,f_Org2)&amp;"","")))</f>
        <v/>
      </c>
      <c r="G527" s="16">
        <f>IF($W527="","",IFERROR(INDEX(FormData,$W527,f_Region)&amp;"",""))</f>
        <v/>
      </c>
      <c r="H527" s="16">
        <f>IF($W527="","",IFERROR(IF(SUMPRODUCT(MAX((SitKW&lt;&gt;"")*ISNUMBER(SEARCH(SitKW,INDEX(FormData,$W527,f_Sit)&amp;""))*(ROW(SitKW)-MIN(ROW(SitKW))+1)))=0,"",INDEX(SitVal,SUMPRODUCT(MAX((SitKW&lt;&gt;"")*ISNUMBER(SEARCH(SitKW,INDEX(FormData,$W527,f_Sit)&amp;""))*(ROW(SitKW)-MIN(ROW(SitKW))+1))))),""))</f>
        <v/>
      </c>
      <c r="I527" s="14">
        <f>IF($W527="","",IFERROR(INDEX(FormData,$W527,f_Appr)&amp;"",""))</f>
        <v/>
      </c>
      <c r="J527" s="16">
        <f>IF($W527="","",IFERROR(INDEX(FormData,$W527,f_Trade)&amp;"",""))</f>
        <v/>
      </c>
      <c r="K527" s="16" t="n"/>
      <c r="L527" s="17" t="n"/>
      <c r="M527" s="16" t="n"/>
      <c r="N527" s="17" t="n"/>
      <c r="O527" s="14" t="n"/>
      <c r="P527" s="14" t="n"/>
      <c r="Q527" s="18" t="n"/>
      <c r="R527" s="18" t="n"/>
      <c r="S527" s="13">
        <f>IF($P527&lt;&gt;"✓","",IF($R527&lt;&gt;"","Done",IF($Q527="","Open — no date",IF($Q527&lt;TODAY(),"Overdue",IF($Q527-TODAY()&lt;=DueSoon,"Due soon","Scheduled")))))</f>
        <v/>
      </c>
      <c r="T527" s="14">
        <f>IF($W527="","",IFERROR(IF(INDEX(FormData,$W527,f_Consent)&amp;""="","",IF(ISNUMBER(SEARCH("yes",INDEX(FormData,$W527,f_Consent))),"Yes","No")),""))</f>
        <v/>
      </c>
      <c r="U527" s="14" t="n"/>
      <c r="V527" s="13">
        <f>IF($U527="","",IF($W527="","not found","✓"))</f>
        <v/>
      </c>
      <c r="W527">
        <f>IF($U527="","",IFERROR(MATCH($U527,INDEX(FormData,0,f_Id),0),IFERROR(MATCH(--$U527,INDEX(FormData,0,f_Id),0),IFERROR(MATCH($U527&amp;"",INDEX(FormData,0,f_Id),0),""))))</f>
        <v/>
      </c>
      <c r="X527">
        <f>IF(AND($B527&lt;&gt;"",$B527='Event Report'!$C$3),ROW(),"")</f>
        <v/>
      </c>
      <c r="Y527">
        <f>IF(AND($P527="✓",$R527=""),IF($Q527="",90000,$Q527)+ROW()/100000,"")</f>
        <v/>
      </c>
      <c r="Z527">
        <f>IF(OR($U527&lt;&gt;"",$D527&lt;&gt;"",$E527&lt;&gt;"",$N527&lt;&gt;""),1,"")</f>
        <v/>
      </c>
    </row>
    <row r="528">
      <c r="A528" s="13" t="inlineStr">
        <is>
          <t>P-0524</t>
        </is>
      </c>
      <c r="B528" s="14">
        <f>IF(AND($U528="",$C528=""),"",IFERROR(INDEX(EvID,MATCH(INDEX(FormData,$W528,f_Event),EvID,0)),IFERROR(INDEX(EvID,MATCH(INDEX(FormData,$W528,f_Event),EvName,0)),IFERROR(INDEX(EvID,MATCH(INT($C528),EvDate,0)),""))))</f>
        <v/>
      </c>
      <c r="C528" s="15">
        <f>IF($W528="","",INDEX(FormData,$W528,f_Time))</f>
        <v/>
      </c>
      <c r="D528" s="14">
        <f>IF($W528="","",IFERROR(UPPER(LEFT(TRIM(INDEX(FormData,$W528,f_Name)),1)&amp;IFERROR(MID(TRIM(INDEX(FormData,$W528,f_Name)),FIND("^",SUBSTITUTE(TRIM(INDEX(FormData,$W528,f_Name))," ","^",LEN(TRIM(INDEX(FormData,$W528,f_Name)))-LEN(SUBSTITUTE(TRIM(INDEX(FormData,$W528,f_Name))," ",""))))+1,1),"")),""))</f>
        <v/>
      </c>
      <c r="E528" s="16">
        <f>IF($W528="","",IFERROR(IF(SUMPRODUCT(MAX((WhoKW&lt;&gt;"")*ISNUMBER(SEARCH(WhoKW,INDEX(FormData,$W528,f_Who)&amp;""))*(ROW(WhoKW)-MIN(ROW(WhoKW))+1)))=0,"",INDEX(WhoVal,SUMPRODUCT(MAX((WhoKW&lt;&gt;"")*ISNUMBER(SEARCH(WhoKW,INDEX(FormData,$W528,f_Who)&amp;""))*(ROW(WhoKW)-MIN(ROW(WhoKW))+1))))),""))</f>
        <v/>
      </c>
      <c r="F528" s="17">
        <f>IF($W528="","",TRIM(IFERROR(INDEX(FormData,$W528,f_Org1)&amp;"","")&amp;" "&amp;IFERROR(INDEX(FormData,$W528,f_Org2)&amp;"","")))</f>
        <v/>
      </c>
      <c r="G528" s="16">
        <f>IF($W528="","",IFERROR(INDEX(FormData,$W528,f_Region)&amp;"",""))</f>
        <v/>
      </c>
      <c r="H528" s="16">
        <f>IF($W528="","",IFERROR(IF(SUMPRODUCT(MAX((SitKW&lt;&gt;"")*ISNUMBER(SEARCH(SitKW,INDEX(FormData,$W528,f_Sit)&amp;""))*(ROW(SitKW)-MIN(ROW(SitKW))+1)))=0,"",INDEX(SitVal,SUMPRODUCT(MAX((SitKW&lt;&gt;"")*ISNUMBER(SEARCH(SitKW,INDEX(FormData,$W528,f_Sit)&amp;""))*(ROW(SitKW)-MIN(ROW(SitKW))+1))))),""))</f>
        <v/>
      </c>
      <c r="I528" s="14">
        <f>IF($W528="","",IFERROR(INDEX(FormData,$W528,f_Appr)&amp;"",""))</f>
        <v/>
      </c>
      <c r="J528" s="16">
        <f>IF($W528="","",IFERROR(INDEX(FormData,$W528,f_Trade)&amp;"",""))</f>
        <v/>
      </c>
      <c r="K528" s="16" t="n"/>
      <c r="L528" s="17" t="n"/>
      <c r="M528" s="16" t="n"/>
      <c r="N528" s="17" t="n"/>
      <c r="O528" s="14" t="n"/>
      <c r="P528" s="14" t="n"/>
      <c r="Q528" s="18" t="n"/>
      <c r="R528" s="18" t="n"/>
      <c r="S528" s="13">
        <f>IF($P528&lt;&gt;"✓","",IF($R528&lt;&gt;"","Done",IF($Q528="","Open — no date",IF($Q528&lt;TODAY(),"Overdue",IF($Q528-TODAY()&lt;=DueSoon,"Due soon","Scheduled")))))</f>
        <v/>
      </c>
      <c r="T528" s="14">
        <f>IF($W528="","",IFERROR(IF(INDEX(FormData,$W528,f_Consent)&amp;""="","",IF(ISNUMBER(SEARCH("yes",INDEX(FormData,$W528,f_Consent))),"Yes","No")),""))</f>
        <v/>
      </c>
      <c r="U528" s="14" t="n"/>
      <c r="V528" s="13">
        <f>IF($U528="","",IF($W528="","not found","✓"))</f>
        <v/>
      </c>
      <c r="W528">
        <f>IF($U528="","",IFERROR(MATCH($U528,INDEX(FormData,0,f_Id),0),IFERROR(MATCH(--$U528,INDEX(FormData,0,f_Id),0),IFERROR(MATCH($U528&amp;"",INDEX(FormData,0,f_Id),0),""))))</f>
        <v/>
      </c>
      <c r="X528">
        <f>IF(AND($B528&lt;&gt;"",$B528='Event Report'!$C$3),ROW(),"")</f>
        <v/>
      </c>
      <c r="Y528">
        <f>IF(AND($P528="✓",$R528=""),IF($Q528="",90000,$Q528)+ROW()/100000,"")</f>
        <v/>
      </c>
      <c r="Z528">
        <f>IF(OR($U528&lt;&gt;"",$D528&lt;&gt;"",$E528&lt;&gt;"",$N528&lt;&gt;""),1,"")</f>
        <v/>
      </c>
    </row>
    <row r="529">
      <c r="A529" s="13" t="inlineStr">
        <is>
          <t>P-0525</t>
        </is>
      </c>
      <c r="B529" s="14">
        <f>IF(AND($U529="",$C529=""),"",IFERROR(INDEX(EvID,MATCH(INDEX(FormData,$W529,f_Event),EvID,0)),IFERROR(INDEX(EvID,MATCH(INDEX(FormData,$W529,f_Event),EvName,0)),IFERROR(INDEX(EvID,MATCH(INT($C529),EvDate,0)),""))))</f>
        <v/>
      </c>
      <c r="C529" s="15">
        <f>IF($W529="","",INDEX(FormData,$W529,f_Time))</f>
        <v/>
      </c>
      <c r="D529" s="14">
        <f>IF($W529="","",IFERROR(UPPER(LEFT(TRIM(INDEX(FormData,$W529,f_Name)),1)&amp;IFERROR(MID(TRIM(INDEX(FormData,$W529,f_Name)),FIND("^",SUBSTITUTE(TRIM(INDEX(FormData,$W529,f_Name))," ","^",LEN(TRIM(INDEX(FormData,$W529,f_Name)))-LEN(SUBSTITUTE(TRIM(INDEX(FormData,$W529,f_Name))," ",""))))+1,1),"")),""))</f>
        <v/>
      </c>
      <c r="E529" s="16">
        <f>IF($W529="","",IFERROR(IF(SUMPRODUCT(MAX((WhoKW&lt;&gt;"")*ISNUMBER(SEARCH(WhoKW,INDEX(FormData,$W529,f_Who)&amp;""))*(ROW(WhoKW)-MIN(ROW(WhoKW))+1)))=0,"",INDEX(WhoVal,SUMPRODUCT(MAX((WhoKW&lt;&gt;"")*ISNUMBER(SEARCH(WhoKW,INDEX(FormData,$W529,f_Who)&amp;""))*(ROW(WhoKW)-MIN(ROW(WhoKW))+1))))),""))</f>
        <v/>
      </c>
      <c r="F529" s="17">
        <f>IF($W529="","",TRIM(IFERROR(INDEX(FormData,$W529,f_Org1)&amp;"","")&amp;" "&amp;IFERROR(INDEX(FormData,$W529,f_Org2)&amp;"","")))</f>
        <v/>
      </c>
      <c r="G529" s="16">
        <f>IF($W529="","",IFERROR(INDEX(FormData,$W529,f_Region)&amp;"",""))</f>
        <v/>
      </c>
      <c r="H529" s="16">
        <f>IF($W529="","",IFERROR(IF(SUMPRODUCT(MAX((SitKW&lt;&gt;"")*ISNUMBER(SEARCH(SitKW,INDEX(FormData,$W529,f_Sit)&amp;""))*(ROW(SitKW)-MIN(ROW(SitKW))+1)))=0,"",INDEX(SitVal,SUMPRODUCT(MAX((SitKW&lt;&gt;"")*ISNUMBER(SEARCH(SitKW,INDEX(FormData,$W529,f_Sit)&amp;""))*(ROW(SitKW)-MIN(ROW(SitKW))+1))))),""))</f>
        <v/>
      </c>
      <c r="I529" s="14">
        <f>IF($W529="","",IFERROR(INDEX(FormData,$W529,f_Appr)&amp;"",""))</f>
        <v/>
      </c>
      <c r="J529" s="16">
        <f>IF($W529="","",IFERROR(INDEX(FormData,$W529,f_Trade)&amp;"",""))</f>
        <v/>
      </c>
      <c r="K529" s="16" t="n"/>
      <c r="L529" s="17" t="n"/>
      <c r="M529" s="16" t="n"/>
      <c r="N529" s="17" t="n"/>
      <c r="O529" s="14" t="n"/>
      <c r="P529" s="14" t="n"/>
      <c r="Q529" s="18" t="n"/>
      <c r="R529" s="18" t="n"/>
      <c r="S529" s="13">
        <f>IF($P529&lt;&gt;"✓","",IF($R529&lt;&gt;"","Done",IF($Q529="","Open — no date",IF($Q529&lt;TODAY(),"Overdue",IF($Q529-TODAY()&lt;=DueSoon,"Due soon","Scheduled")))))</f>
        <v/>
      </c>
      <c r="T529" s="14">
        <f>IF($W529="","",IFERROR(IF(INDEX(FormData,$W529,f_Consent)&amp;""="","",IF(ISNUMBER(SEARCH("yes",INDEX(FormData,$W529,f_Consent))),"Yes","No")),""))</f>
        <v/>
      </c>
      <c r="U529" s="14" t="n"/>
      <c r="V529" s="13">
        <f>IF($U529="","",IF($W529="","not found","✓"))</f>
        <v/>
      </c>
      <c r="W529">
        <f>IF($U529="","",IFERROR(MATCH($U529,INDEX(FormData,0,f_Id),0),IFERROR(MATCH(--$U529,INDEX(FormData,0,f_Id),0),IFERROR(MATCH($U529&amp;"",INDEX(FormData,0,f_Id),0),""))))</f>
        <v/>
      </c>
      <c r="X529">
        <f>IF(AND($B529&lt;&gt;"",$B529='Event Report'!$C$3),ROW(),"")</f>
        <v/>
      </c>
      <c r="Y529">
        <f>IF(AND($P529="✓",$R529=""),IF($Q529="",90000,$Q529)+ROW()/100000,"")</f>
        <v/>
      </c>
      <c r="Z529">
        <f>IF(OR($U529&lt;&gt;"",$D529&lt;&gt;"",$E529&lt;&gt;"",$N529&lt;&gt;""),1,"")</f>
        <v/>
      </c>
    </row>
    <row r="530">
      <c r="A530" s="13" t="inlineStr">
        <is>
          <t>P-0526</t>
        </is>
      </c>
      <c r="B530" s="14">
        <f>IF(AND($U530="",$C530=""),"",IFERROR(INDEX(EvID,MATCH(INDEX(FormData,$W530,f_Event),EvID,0)),IFERROR(INDEX(EvID,MATCH(INDEX(FormData,$W530,f_Event),EvName,0)),IFERROR(INDEX(EvID,MATCH(INT($C530),EvDate,0)),""))))</f>
        <v/>
      </c>
      <c r="C530" s="15">
        <f>IF($W530="","",INDEX(FormData,$W530,f_Time))</f>
        <v/>
      </c>
      <c r="D530" s="14">
        <f>IF($W530="","",IFERROR(UPPER(LEFT(TRIM(INDEX(FormData,$W530,f_Name)),1)&amp;IFERROR(MID(TRIM(INDEX(FormData,$W530,f_Name)),FIND("^",SUBSTITUTE(TRIM(INDEX(FormData,$W530,f_Name))," ","^",LEN(TRIM(INDEX(FormData,$W530,f_Name)))-LEN(SUBSTITUTE(TRIM(INDEX(FormData,$W530,f_Name))," ",""))))+1,1),"")),""))</f>
        <v/>
      </c>
      <c r="E530" s="16">
        <f>IF($W530="","",IFERROR(IF(SUMPRODUCT(MAX((WhoKW&lt;&gt;"")*ISNUMBER(SEARCH(WhoKW,INDEX(FormData,$W530,f_Who)&amp;""))*(ROW(WhoKW)-MIN(ROW(WhoKW))+1)))=0,"",INDEX(WhoVal,SUMPRODUCT(MAX((WhoKW&lt;&gt;"")*ISNUMBER(SEARCH(WhoKW,INDEX(FormData,$W530,f_Who)&amp;""))*(ROW(WhoKW)-MIN(ROW(WhoKW))+1))))),""))</f>
        <v/>
      </c>
      <c r="F530" s="17">
        <f>IF($W530="","",TRIM(IFERROR(INDEX(FormData,$W530,f_Org1)&amp;"","")&amp;" "&amp;IFERROR(INDEX(FormData,$W530,f_Org2)&amp;"","")))</f>
        <v/>
      </c>
      <c r="G530" s="16">
        <f>IF($W530="","",IFERROR(INDEX(FormData,$W530,f_Region)&amp;"",""))</f>
        <v/>
      </c>
      <c r="H530" s="16">
        <f>IF($W530="","",IFERROR(IF(SUMPRODUCT(MAX((SitKW&lt;&gt;"")*ISNUMBER(SEARCH(SitKW,INDEX(FormData,$W530,f_Sit)&amp;""))*(ROW(SitKW)-MIN(ROW(SitKW))+1)))=0,"",INDEX(SitVal,SUMPRODUCT(MAX((SitKW&lt;&gt;"")*ISNUMBER(SEARCH(SitKW,INDEX(FormData,$W530,f_Sit)&amp;""))*(ROW(SitKW)-MIN(ROW(SitKW))+1))))),""))</f>
        <v/>
      </c>
      <c r="I530" s="14">
        <f>IF($W530="","",IFERROR(INDEX(FormData,$W530,f_Appr)&amp;"",""))</f>
        <v/>
      </c>
      <c r="J530" s="16">
        <f>IF($W530="","",IFERROR(INDEX(FormData,$W530,f_Trade)&amp;"",""))</f>
        <v/>
      </c>
      <c r="K530" s="16" t="n"/>
      <c r="L530" s="17" t="n"/>
      <c r="M530" s="16" t="n"/>
      <c r="N530" s="17" t="n"/>
      <c r="O530" s="14" t="n"/>
      <c r="P530" s="14" t="n"/>
      <c r="Q530" s="18" t="n"/>
      <c r="R530" s="18" t="n"/>
      <c r="S530" s="13">
        <f>IF($P530&lt;&gt;"✓","",IF($R530&lt;&gt;"","Done",IF($Q530="","Open — no date",IF($Q530&lt;TODAY(),"Overdue",IF($Q530-TODAY()&lt;=DueSoon,"Due soon","Scheduled")))))</f>
        <v/>
      </c>
      <c r="T530" s="14">
        <f>IF($W530="","",IFERROR(IF(INDEX(FormData,$W530,f_Consent)&amp;""="","",IF(ISNUMBER(SEARCH("yes",INDEX(FormData,$W530,f_Consent))),"Yes","No")),""))</f>
        <v/>
      </c>
      <c r="U530" s="14" t="n"/>
      <c r="V530" s="13">
        <f>IF($U530="","",IF($W530="","not found","✓"))</f>
        <v/>
      </c>
      <c r="W530">
        <f>IF($U530="","",IFERROR(MATCH($U530,INDEX(FormData,0,f_Id),0),IFERROR(MATCH(--$U530,INDEX(FormData,0,f_Id),0),IFERROR(MATCH($U530&amp;"",INDEX(FormData,0,f_Id),0),""))))</f>
        <v/>
      </c>
      <c r="X530">
        <f>IF(AND($B530&lt;&gt;"",$B530='Event Report'!$C$3),ROW(),"")</f>
        <v/>
      </c>
      <c r="Y530">
        <f>IF(AND($P530="✓",$R530=""),IF($Q530="",90000,$Q530)+ROW()/100000,"")</f>
        <v/>
      </c>
      <c r="Z530">
        <f>IF(OR($U530&lt;&gt;"",$D530&lt;&gt;"",$E530&lt;&gt;"",$N530&lt;&gt;""),1,"")</f>
        <v/>
      </c>
    </row>
    <row r="531">
      <c r="A531" s="13" t="inlineStr">
        <is>
          <t>P-0527</t>
        </is>
      </c>
      <c r="B531" s="14">
        <f>IF(AND($U531="",$C531=""),"",IFERROR(INDEX(EvID,MATCH(INDEX(FormData,$W531,f_Event),EvID,0)),IFERROR(INDEX(EvID,MATCH(INDEX(FormData,$W531,f_Event),EvName,0)),IFERROR(INDEX(EvID,MATCH(INT($C531),EvDate,0)),""))))</f>
        <v/>
      </c>
      <c r="C531" s="15">
        <f>IF($W531="","",INDEX(FormData,$W531,f_Time))</f>
        <v/>
      </c>
      <c r="D531" s="14">
        <f>IF($W531="","",IFERROR(UPPER(LEFT(TRIM(INDEX(FormData,$W531,f_Name)),1)&amp;IFERROR(MID(TRIM(INDEX(FormData,$W531,f_Name)),FIND("^",SUBSTITUTE(TRIM(INDEX(FormData,$W531,f_Name))," ","^",LEN(TRIM(INDEX(FormData,$W531,f_Name)))-LEN(SUBSTITUTE(TRIM(INDEX(FormData,$W531,f_Name))," ",""))))+1,1),"")),""))</f>
        <v/>
      </c>
      <c r="E531" s="16">
        <f>IF($W531="","",IFERROR(IF(SUMPRODUCT(MAX((WhoKW&lt;&gt;"")*ISNUMBER(SEARCH(WhoKW,INDEX(FormData,$W531,f_Who)&amp;""))*(ROW(WhoKW)-MIN(ROW(WhoKW))+1)))=0,"",INDEX(WhoVal,SUMPRODUCT(MAX((WhoKW&lt;&gt;"")*ISNUMBER(SEARCH(WhoKW,INDEX(FormData,$W531,f_Who)&amp;""))*(ROW(WhoKW)-MIN(ROW(WhoKW))+1))))),""))</f>
        <v/>
      </c>
      <c r="F531" s="17">
        <f>IF($W531="","",TRIM(IFERROR(INDEX(FormData,$W531,f_Org1)&amp;"","")&amp;" "&amp;IFERROR(INDEX(FormData,$W531,f_Org2)&amp;"","")))</f>
        <v/>
      </c>
      <c r="G531" s="16">
        <f>IF($W531="","",IFERROR(INDEX(FormData,$W531,f_Region)&amp;"",""))</f>
        <v/>
      </c>
      <c r="H531" s="16">
        <f>IF($W531="","",IFERROR(IF(SUMPRODUCT(MAX((SitKW&lt;&gt;"")*ISNUMBER(SEARCH(SitKW,INDEX(FormData,$W531,f_Sit)&amp;""))*(ROW(SitKW)-MIN(ROW(SitKW))+1)))=0,"",INDEX(SitVal,SUMPRODUCT(MAX((SitKW&lt;&gt;"")*ISNUMBER(SEARCH(SitKW,INDEX(FormData,$W531,f_Sit)&amp;""))*(ROW(SitKW)-MIN(ROW(SitKW))+1))))),""))</f>
        <v/>
      </c>
      <c r="I531" s="14">
        <f>IF($W531="","",IFERROR(INDEX(FormData,$W531,f_Appr)&amp;"",""))</f>
        <v/>
      </c>
      <c r="J531" s="16">
        <f>IF($W531="","",IFERROR(INDEX(FormData,$W531,f_Trade)&amp;"",""))</f>
        <v/>
      </c>
      <c r="K531" s="16" t="n"/>
      <c r="L531" s="17" t="n"/>
      <c r="M531" s="16" t="n"/>
      <c r="N531" s="17" t="n"/>
      <c r="O531" s="14" t="n"/>
      <c r="P531" s="14" t="n"/>
      <c r="Q531" s="18" t="n"/>
      <c r="R531" s="18" t="n"/>
      <c r="S531" s="13">
        <f>IF($P531&lt;&gt;"✓","",IF($R531&lt;&gt;"","Done",IF($Q531="","Open — no date",IF($Q531&lt;TODAY(),"Overdue",IF($Q531-TODAY()&lt;=DueSoon,"Due soon","Scheduled")))))</f>
        <v/>
      </c>
      <c r="T531" s="14">
        <f>IF($W531="","",IFERROR(IF(INDEX(FormData,$W531,f_Consent)&amp;""="","",IF(ISNUMBER(SEARCH("yes",INDEX(FormData,$W531,f_Consent))),"Yes","No")),""))</f>
        <v/>
      </c>
      <c r="U531" s="14" t="n"/>
      <c r="V531" s="13">
        <f>IF($U531="","",IF($W531="","not found","✓"))</f>
        <v/>
      </c>
      <c r="W531">
        <f>IF($U531="","",IFERROR(MATCH($U531,INDEX(FormData,0,f_Id),0),IFERROR(MATCH(--$U531,INDEX(FormData,0,f_Id),0),IFERROR(MATCH($U531&amp;"",INDEX(FormData,0,f_Id),0),""))))</f>
        <v/>
      </c>
      <c r="X531">
        <f>IF(AND($B531&lt;&gt;"",$B531='Event Report'!$C$3),ROW(),"")</f>
        <v/>
      </c>
      <c r="Y531">
        <f>IF(AND($P531="✓",$R531=""),IF($Q531="",90000,$Q531)+ROW()/100000,"")</f>
        <v/>
      </c>
      <c r="Z531">
        <f>IF(OR($U531&lt;&gt;"",$D531&lt;&gt;"",$E531&lt;&gt;"",$N531&lt;&gt;""),1,"")</f>
        <v/>
      </c>
    </row>
    <row r="532">
      <c r="A532" s="13" t="inlineStr">
        <is>
          <t>P-0528</t>
        </is>
      </c>
      <c r="B532" s="14">
        <f>IF(AND($U532="",$C532=""),"",IFERROR(INDEX(EvID,MATCH(INDEX(FormData,$W532,f_Event),EvID,0)),IFERROR(INDEX(EvID,MATCH(INDEX(FormData,$W532,f_Event),EvName,0)),IFERROR(INDEX(EvID,MATCH(INT($C532),EvDate,0)),""))))</f>
        <v/>
      </c>
      <c r="C532" s="15">
        <f>IF($W532="","",INDEX(FormData,$W532,f_Time))</f>
        <v/>
      </c>
      <c r="D532" s="14">
        <f>IF($W532="","",IFERROR(UPPER(LEFT(TRIM(INDEX(FormData,$W532,f_Name)),1)&amp;IFERROR(MID(TRIM(INDEX(FormData,$W532,f_Name)),FIND("^",SUBSTITUTE(TRIM(INDEX(FormData,$W532,f_Name))," ","^",LEN(TRIM(INDEX(FormData,$W532,f_Name)))-LEN(SUBSTITUTE(TRIM(INDEX(FormData,$W532,f_Name))," ",""))))+1,1),"")),""))</f>
        <v/>
      </c>
      <c r="E532" s="16">
        <f>IF($W532="","",IFERROR(IF(SUMPRODUCT(MAX((WhoKW&lt;&gt;"")*ISNUMBER(SEARCH(WhoKW,INDEX(FormData,$W532,f_Who)&amp;""))*(ROW(WhoKW)-MIN(ROW(WhoKW))+1)))=0,"",INDEX(WhoVal,SUMPRODUCT(MAX((WhoKW&lt;&gt;"")*ISNUMBER(SEARCH(WhoKW,INDEX(FormData,$W532,f_Who)&amp;""))*(ROW(WhoKW)-MIN(ROW(WhoKW))+1))))),""))</f>
        <v/>
      </c>
      <c r="F532" s="17">
        <f>IF($W532="","",TRIM(IFERROR(INDEX(FormData,$W532,f_Org1)&amp;"","")&amp;" "&amp;IFERROR(INDEX(FormData,$W532,f_Org2)&amp;"","")))</f>
        <v/>
      </c>
      <c r="G532" s="16">
        <f>IF($W532="","",IFERROR(INDEX(FormData,$W532,f_Region)&amp;"",""))</f>
        <v/>
      </c>
      <c r="H532" s="16">
        <f>IF($W532="","",IFERROR(IF(SUMPRODUCT(MAX((SitKW&lt;&gt;"")*ISNUMBER(SEARCH(SitKW,INDEX(FormData,$W532,f_Sit)&amp;""))*(ROW(SitKW)-MIN(ROW(SitKW))+1)))=0,"",INDEX(SitVal,SUMPRODUCT(MAX((SitKW&lt;&gt;"")*ISNUMBER(SEARCH(SitKW,INDEX(FormData,$W532,f_Sit)&amp;""))*(ROW(SitKW)-MIN(ROW(SitKW))+1))))),""))</f>
        <v/>
      </c>
      <c r="I532" s="14">
        <f>IF($W532="","",IFERROR(INDEX(FormData,$W532,f_Appr)&amp;"",""))</f>
        <v/>
      </c>
      <c r="J532" s="16">
        <f>IF($W532="","",IFERROR(INDEX(FormData,$W532,f_Trade)&amp;"",""))</f>
        <v/>
      </c>
      <c r="K532" s="16" t="n"/>
      <c r="L532" s="17" t="n"/>
      <c r="M532" s="16" t="n"/>
      <c r="N532" s="17" t="n"/>
      <c r="O532" s="14" t="n"/>
      <c r="P532" s="14" t="n"/>
      <c r="Q532" s="18" t="n"/>
      <c r="R532" s="18" t="n"/>
      <c r="S532" s="13">
        <f>IF($P532&lt;&gt;"✓","",IF($R532&lt;&gt;"","Done",IF($Q532="","Open — no date",IF($Q532&lt;TODAY(),"Overdue",IF($Q532-TODAY()&lt;=DueSoon,"Due soon","Scheduled")))))</f>
        <v/>
      </c>
      <c r="T532" s="14">
        <f>IF($W532="","",IFERROR(IF(INDEX(FormData,$W532,f_Consent)&amp;""="","",IF(ISNUMBER(SEARCH("yes",INDEX(FormData,$W532,f_Consent))),"Yes","No")),""))</f>
        <v/>
      </c>
      <c r="U532" s="14" t="n"/>
      <c r="V532" s="13">
        <f>IF($U532="","",IF($W532="","not found","✓"))</f>
        <v/>
      </c>
      <c r="W532">
        <f>IF($U532="","",IFERROR(MATCH($U532,INDEX(FormData,0,f_Id),0),IFERROR(MATCH(--$U532,INDEX(FormData,0,f_Id),0),IFERROR(MATCH($U532&amp;"",INDEX(FormData,0,f_Id),0),""))))</f>
        <v/>
      </c>
      <c r="X532">
        <f>IF(AND($B532&lt;&gt;"",$B532='Event Report'!$C$3),ROW(),"")</f>
        <v/>
      </c>
      <c r="Y532">
        <f>IF(AND($P532="✓",$R532=""),IF($Q532="",90000,$Q532)+ROW()/100000,"")</f>
        <v/>
      </c>
      <c r="Z532">
        <f>IF(OR($U532&lt;&gt;"",$D532&lt;&gt;"",$E532&lt;&gt;"",$N532&lt;&gt;""),1,"")</f>
        <v/>
      </c>
    </row>
    <row r="533">
      <c r="A533" s="13" t="inlineStr">
        <is>
          <t>P-0529</t>
        </is>
      </c>
      <c r="B533" s="14">
        <f>IF(AND($U533="",$C533=""),"",IFERROR(INDEX(EvID,MATCH(INDEX(FormData,$W533,f_Event),EvID,0)),IFERROR(INDEX(EvID,MATCH(INDEX(FormData,$W533,f_Event),EvName,0)),IFERROR(INDEX(EvID,MATCH(INT($C533),EvDate,0)),""))))</f>
        <v/>
      </c>
      <c r="C533" s="15">
        <f>IF($W533="","",INDEX(FormData,$W533,f_Time))</f>
        <v/>
      </c>
      <c r="D533" s="14">
        <f>IF($W533="","",IFERROR(UPPER(LEFT(TRIM(INDEX(FormData,$W533,f_Name)),1)&amp;IFERROR(MID(TRIM(INDEX(FormData,$W533,f_Name)),FIND("^",SUBSTITUTE(TRIM(INDEX(FormData,$W533,f_Name))," ","^",LEN(TRIM(INDEX(FormData,$W533,f_Name)))-LEN(SUBSTITUTE(TRIM(INDEX(FormData,$W533,f_Name))," ",""))))+1,1),"")),""))</f>
        <v/>
      </c>
      <c r="E533" s="16">
        <f>IF($W533="","",IFERROR(IF(SUMPRODUCT(MAX((WhoKW&lt;&gt;"")*ISNUMBER(SEARCH(WhoKW,INDEX(FormData,$W533,f_Who)&amp;""))*(ROW(WhoKW)-MIN(ROW(WhoKW))+1)))=0,"",INDEX(WhoVal,SUMPRODUCT(MAX((WhoKW&lt;&gt;"")*ISNUMBER(SEARCH(WhoKW,INDEX(FormData,$W533,f_Who)&amp;""))*(ROW(WhoKW)-MIN(ROW(WhoKW))+1))))),""))</f>
        <v/>
      </c>
      <c r="F533" s="17">
        <f>IF($W533="","",TRIM(IFERROR(INDEX(FormData,$W533,f_Org1)&amp;"","")&amp;" "&amp;IFERROR(INDEX(FormData,$W533,f_Org2)&amp;"","")))</f>
        <v/>
      </c>
      <c r="G533" s="16">
        <f>IF($W533="","",IFERROR(INDEX(FormData,$W533,f_Region)&amp;"",""))</f>
        <v/>
      </c>
      <c r="H533" s="16">
        <f>IF($W533="","",IFERROR(IF(SUMPRODUCT(MAX((SitKW&lt;&gt;"")*ISNUMBER(SEARCH(SitKW,INDEX(FormData,$W533,f_Sit)&amp;""))*(ROW(SitKW)-MIN(ROW(SitKW))+1)))=0,"",INDEX(SitVal,SUMPRODUCT(MAX((SitKW&lt;&gt;"")*ISNUMBER(SEARCH(SitKW,INDEX(FormData,$W533,f_Sit)&amp;""))*(ROW(SitKW)-MIN(ROW(SitKW))+1))))),""))</f>
        <v/>
      </c>
      <c r="I533" s="14">
        <f>IF($W533="","",IFERROR(INDEX(FormData,$W533,f_Appr)&amp;"",""))</f>
        <v/>
      </c>
      <c r="J533" s="16">
        <f>IF($W533="","",IFERROR(INDEX(FormData,$W533,f_Trade)&amp;"",""))</f>
        <v/>
      </c>
      <c r="K533" s="16" t="n"/>
      <c r="L533" s="17" t="n"/>
      <c r="M533" s="16" t="n"/>
      <c r="N533" s="17" t="n"/>
      <c r="O533" s="14" t="n"/>
      <c r="P533" s="14" t="n"/>
      <c r="Q533" s="18" t="n"/>
      <c r="R533" s="18" t="n"/>
      <c r="S533" s="13">
        <f>IF($P533&lt;&gt;"✓","",IF($R533&lt;&gt;"","Done",IF($Q533="","Open — no date",IF($Q533&lt;TODAY(),"Overdue",IF($Q533-TODAY()&lt;=DueSoon,"Due soon","Scheduled")))))</f>
        <v/>
      </c>
      <c r="T533" s="14">
        <f>IF($W533="","",IFERROR(IF(INDEX(FormData,$W533,f_Consent)&amp;""="","",IF(ISNUMBER(SEARCH("yes",INDEX(FormData,$W533,f_Consent))),"Yes","No")),""))</f>
        <v/>
      </c>
      <c r="U533" s="14" t="n"/>
      <c r="V533" s="13">
        <f>IF($U533="","",IF($W533="","not found","✓"))</f>
        <v/>
      </c>
      <c r="W533">
        <f>IF($U533="","",IFERROR(MATCH($U533,INDEX(FormData,0,f_Id),0),IFERROR(MATCH(--$U533,INDEX(FormData,0,f_Id),0),IFERROR(MATCH($U533&amp;"",INDEX(FormData,0,f_Id),0),""))))</f>
        <v/>
      </c>
      <c r="X533">
        <f>IF(AND($B533&lt;&gt;"",$B533='Event Report'!$C$3),ROW(),"")</f>
        <v/>
      </c>
      <c r="Y533">
        <f>IF(AND($P533="✓",$R533=""),IF($Q533="",90000,$Q533)+ROW()/100000,"")</f>
        <v/>
      </c>
      <c r="Z533">
        <f>IF(OR($U533&lt;&gt;"",$D533&lt;&gt;"",$E533&lt;&gt;"",$N533&lt;&gt;""),1,"")</f>
        <v/>
      </c>
    </row>
    <row r="534">
      <c r="A534" s="13" t="inlineStr">
        <is>
          <t>P-0530</t>
        </is>
      </c>
      <c r="B534" s="14">
        <f>IF(AND($U534="",$C534=""),"",IFERROR(INDEX(EvID,MATCH(INDEX(FormData,$W534,f_Event),EvID,0)),IFERROR(INDEX(EvID,MATCH(INDEX(FormData,$W534,f_Event),EvName,0)),IFERROR(INDEX(EvID,MATCH(INT($C534),EvDate,0)),""))))</f>
        <v/>
      </c>
      <c r="C534" s="15">
        <f>IF($W534="","",INDEX(FormData,$W534,f_Time))</f>
        <v/>
      </c>
      <c r="D534" s="14">
        <f>IF($W534="","",IFERROR(UPPER(LEFT(TRIM(INDEX(FormData,$W534,f_Name)),1)&amp;IFERROR(MID(TRIM(INDEX(FormData,$W534,f_Name)),FIND("^",SUBSTITUTE(TRIM(INDEX(FormData,$W534,f_Name))," ","^",LEN(TRIM(INDEX(FormData,$W534,f_Name)))-LEN(SUBSTITUTE(TRIM(INDEX(FormData,$W534,f_Name))," ",""))))+1,1),"")),""))</f>
        <v/>
      </c>
      <c r="E534" s="16">
        <f>IF($W534="","",IFERROR(IF(SUMPRODUCT(MAX((WhoKW&lt;&gt;"")*ISNUMBER(SEARCH(WhoKW,INDEX(FormData,$W534,f_Who)&amp;""))*(ROW(WhoKW)-MIN(ROW(WhoKW))+1)))=0,"",INDEX(WhoVal,SUMPRODUCT(MAX((WhoKW&lt;&gt;"")*ISNUMBER(SEARCH(WhoKW,INDEX(FormData,$W534,f_Who)&amp;""))*(ROW(WhoKW)-MIN(ROW(WhoKW))+1))))),""))</f>
        <v/>
      </c>
      <c r="F534" s="17">
        <f>IF($W534="","",TRIM(IFERROR(INDEX(FormData,$W534,f_Org1)&amp;"","")&amp;" "&amp;IFERROR(INDEX(FormData,$W534,f_Org2)&amp;"","")))</f>
        <v/>
      </c>
      <c r="G534" s="16">
        <f>IF($W534="","",IFERROR(INDEX(FormData,$W534,f_Region)&amp;"",""))</f>
        <v/>
      </c>
      <c r="H534" s="16">
        <f>IF($W534="","",IFERROR(IF(SUMPRODUCT(MAX((SitKW&lt;&gt;"")*ISNUMBER(SEARCH(SitKW,INDEX(FormData,$W534,f_Sit)&amp;""))*(ROW(SitKW)-MIN(ROW(SitKW))+1)))=0,"",INDEX(SitVal,SUMPRODUCT(MAX((SitKW&lt;&gt;"")*ISNUMBER(SEARCH(SitKW,INDEX(FormData,$W534,f_Sit)&amp;""))*(ROW(SitKW)-MIN(ROW(SitKW))+1))))),""))</f>
        <v/>
      </c>
      <c r="I534" s="14">
        <f>IF($W534="","",IFERROR(INDEX(FormData,$W534,f_Appr)&amp;"",""))</f>
        <v/>
      </c>
      <c r="J534" s="16">
        <f>IF($W534="","",IFERROR(INDEX(FormData,$W534,f_Trade)&amp;"",""))</f>
        <v/>
      </c>
      <c r="K534" s="16" t="n"/>
      <c r="L534" s="17" t="n"/>
      <c r="M534" s="16" t="n"/>
      <c r="N534" s="17" t="n"/>
      <c r="O534" s="14" t="n"/>
      <c r="P534" s="14" t="n"/>
      <c r="Q534" s="18" t="n"/>
      <c r="R534" s="18" t="n"/>
      <c r="S534" s="13">
        <f>IF($P534&lt;&gt;"✓","",IF($R534&lt;&gt;"","Done",IF($Q534="","Open — no date",IF($Q534&lt;TODAY(),"Overdue",IF($Q534-TODAY()&lt;=DueSoon,"Due soon","Scheduled")))))</f>
        <v/>
      </c>
      <c r="T534" s="14">
        <f>IF($W534="","",IFERROR(IF(INDEX(FormData,$W534,f_Consent)&amp;""="","",IF(ISNUMBER(SEARCH("yes",INDEX(FormData,$W534,f_Consent))),"Yes","No")),""))</f>
        <v/>
      </c>
      <c r="U534" s="14" t="n"/>
      <c r="V534" s="13">
        <f>IF($U534="","",IF($W534="","not found","✓"))</f>
        <v/>
      </c>
      <c r="W534">
        <f>IF($U534="","",IFERROR(MATCH($U534,INDEX(FormData,0,f_Id),0),IFERROR(MATCH(--$U534,INDEX(FormData,0,f_Id),0),IFERROR(MATCH($U534&amp;"",INDEX(FormData,0,f_Id),0),""))))</f>
        <v/>
      </c>
      <c r="X534">
        <f>IF(AND($B534&lt;&gt;"",$B534='Event Report'!$C$3),ROW(),"")</f>
        <v/>
      </c>
      <c r="Y534">
        <f>IF(AND($P534="✓",$R534=""),IF($Q534="",90000,$Q534)+ROW()/100000,"")</f>
        <v/>
      </c>
      <c r="Z534">
        <f>IF(OR($U534&lt;&gt;"",$D534&lt;&gt;"",$E534&lt;&gt;"",$N534&lt;&gt;""),1,"")</f>
        <v/>
      </c>
    </row>
    <row r="535">
      <c r="A535" s="13" t="inlineStr">
        <is>
          <t>P-0531</t>
        </is>
      </c>
      <c r="B535" s="14">
        <f>IF(AND($U535="",$C535=""),"",IFERROR(INDEX(EvID,MATCH(INDEX(FormData,$W535,f_Event),EvID,0)),IFERROR(INDEX(EvID,MATCH(INDEX(FormData,$W535,f_Event),EvName,0)),IFERROR(INDEX(EvID,MATCH(INT($C535),EvDate,0)),""))))</f>
        <v/>
      </c>
      <c r="C535" s="15">
        <f>IF($W535="","",INDEX(FormData,$W535,f_Time))</f>
        <v/>
      </c>
      <c r="D535" s="14">
        <f>IF($W535="","",IFERROR(UPPER(LEFT(TRIM(INDEX(FormData,$W535,f_Name)),1)&amp;IFERROR(MID(TRIM(INDEX(FormData,$W535,f_Name)),FIND("^",SUBSTITUTE(TRIM(INDEX(FormData,$W535,f_Name))," ","^",LEN(TRIM(INDEX(FormData,$W535,f_Name)))-LEN(SUBSTITUTE(TRIM(INDEX(FormData,$W535,f_Name))," ",""))))+1,1),"")),""))</f>
        <v/>
      </c>
      <c r="E535" s="16">
        <f>IF($W535="","",IFERROR(IF(SUMPRODUCT(MAX((WhoKW&lt;&gt;"")*ISNUMBER(SEARCH(WhoKW,INDEX(FormData,$W535,f_Who)&amp;""))*(ROW(WhoKW)-MIN(ROW(WhoKW))+1)))=0,"",INDEX(WhoVal,SUMPRODUCT(MAX((WhoKW&lt;&gt;"")*ISNUMBER(SEARCH(WhoKW,INDEX(FormData,$W535,f_Who)&amp;""))*(ROW(WhoKW)-MIN(ROW(WhoKW))+1))))),""))</f>
        <v/>
      </c>
      <c r="F535" s="17">
        <f>IF($W535="","",TRIM(IFERROR(INDEX(FormData,$W535,f_Org1)&amp;"","")&amp;" "&amp;IFERROR(INDEX(FormData,$W535,f_Org2)&amp;"","")))</f>
        <v/>
      </c>
      <c r="G535" s="16">
        <f>IF($W535="","",IFERROR(INDEX(FormData,$W535,f_Region)&amp;"",""))</f>
        <v/>
      </c>
      <c r="H535" s="16">
        <f>IF($W535="","",IFERROR(IF(SUMPRODUCT(MAX((SitKW&lt;&gt;"")*ISNUMBER(SEARCH(SitKW,INDEX(FormData,$W535,f_Sit)&amp;""))*(ROW(SitKW)-MIN(ROW(SitKW))+1)))=0,"",INDEX(SitVal,SUMPRODUCT(MAX((SitKW&lt;&gt;"")*ISNUMBER(SEARCH(SitKW,INDEX(FormData,$W535,f_Sit)&amp;""))*(ROW(SitKW)-MIN(ROW(SitKW))+1))))),""))</f>
        <v/>
      </c>
      <c r="I535" s="14">
        <f>IF($W535="","",IFERROR(INDEX(FormData,$W535,f_Appr)&amp;"",""))</f>
        <v/>
      </c>
      <c r="J535" s="16">
        <f>IF($W535="","",IFERROR(INDEX(FormData,$W535,f_Trade)&amp;"",""))</f>
        <v/>
      </c>
      <c r="K535" s="16" t="n"/>
      <c r="L535" s="17" t="n"/>
      <c r="M535" s="16" t="n"/>
      <c r="N535" s="17" t="n"/>
      <c r="O535" s="14" t="n"/>
      <c r="P535" s="14" t="n"/>
      <c r="Q535" s="18" t="n"/>
      <c r="R535" s="18" t="n"/>
      <c r="S535" s="13">
        <f>IF($P535&lt;&gt;"✓","",IF($R535&lt;&gt;"","Done",IF($Q535="","Open — no date",IF($Q535&lt;TODAY(),"Overdue",IF($Q535-TODAY()&lt;=DueSoon,"Due soon","Scheduled")))))</f>
        <v/>
      </c>
      <c r="T535" s="14">
        <f>IF($W535="","",IFERROR(IF(INDEX(FormData,$W535,f_Consent)&amp;""="","",IF(ISNUMBER(SEARCH("yes",INDEX(FormData,$W535,f_Consent))),"Yes","No")),""))</f>
        <v/>
      </c>
      <c r="U535" s="14" t="n"/>
      <c r="V535" s="13">
        <f>IF($U535="","",IF($W535="","not found","✓"))</f>
        <v/>
      </c>
      <c r="W535">
        <f>IF($U535="","",IFERROR(MATCH($U535,INDEX(FormData,0,f_Id),0),IFERROR(MATCH(--$U535,INDEX(FormData,0,f_Id),0),IFERROR(MATCH($U535&amp;"",INDEX(FormData,0,f_Id),0),""))))</f>
        <v/>
      </c>
      <c r="X535">
        <f>IF(AND($B535&lt;&gt;"",$B535='Event Report'!$C$3),ROW(),"")</f>
        <v/>
      </c>
      <c r="Y535">
        <f>IF(AND($P535="✓",$R535=""),IF($Q535="",90000,$Q535)+ROW()/100000,"")</f>
        <v/>
      </c>
      <c r="Z535">
        <f>IF(OR($U535&lt;&gt;"",$D535&lt;&gt;"",$E535&lt;&gt;"",$N535&lt;&gt;""),1,"")</f>
        <v/>
      </c>
    </row>
    <row r="536">
      <c r="A536" s="13" t="inlineStr">
        <is>
          <t>P-0532</t>
        </is>
      </c>
      <c r="B536" s="14">
        <f>IF(AND($U536="",$C536=""),"",IFERROR(INDEX(EvID,MATCH(INDEX(FormData,$W536,f_Event),EvID,0)),IFERROR(INDEX(EvID,MATCH(INDEX(FormData,$W536,f_Event),EvName,0)),IFERROR(INDEX(EvID,MATCH(INT($C536),EvDate,0)),""))))</f>
        <v/>
      </c>
      <c r="C536" s="15">
        <f>IF($W536="","",INDEX(FormData,$W536,f_Time))</f>
        <v/>
      </c>
      <c r="D536" s="14">
        <f>IF($W536="","",IFERROR(UPPER(LEFT(TRIM(INDEX(FormData,$W536,f_Name)),1)&amp;IFERROR(MID(TRIM(INDEX(FormData,$W536,f_Name)),FIND("^",SUBSTITUTE(TRIM(INDEX(FormData,$W536,f_Name))," ","^",LEN(TRIM(INDEX(FormData,$W536,f_Name)))-LEN(SUBSTITUTE(TRIM(INDEX(FormData,$W536,f_Name))," ",""))))+1,1),"")),""))</f>
        <v/>
      </c>
      <c r="E536" s="16">
        <f>IF($W536="","",IFERROR(IF(SUMPRODUCT(MAX((WhoKW&lt;&gt;"")*ISNUMBER(SEARCH(WhoKW,INDEX(FormData,$W536,f_Who)&amp;""))*(ROW(WhoKW)-MIN(ROW(WhoKW))+1)))=0,"",INDEX(WhoVal,SUMPRODUCT(MAX((WhoKW&lt;&gt;"")*ISNUMBER(SEARCH(WhoKW,INDEX(FormData,$W536,f_Who)&amp;""))*(ROW(WhoKW)-MIN(ROW(WhoKW))+1))))),""))</f>
        <v/>
      </c>
      <c r="F536" s="17">
        <f>IF($W536="","",TRIM(IFERROR(INDEX(FormData,$W536,f_Org1)&amp;"","")&amp;" "&amp;IFERROR(INDEX(FormData,$W536,f_Org2)&amp;"","")))</f>
        <v/>
      </c>
      <c r="G536" s="16">
        <f>IF($W536="","",IFERROR(INDEX(FormData,$W536,f_Region)&amp;"",""))</f>
        <v/>
      </c>
      <c r="H536" s="16">
        <f>IF($W536="","",IFERROR(IF(SUMPRODUCT(MAX((SitKW&lt;&gt;"")*ISNUMBER(SEARCH(SitKW,INDEX(FormData,$W536,f_Sit)&amp;""))*(ROW(SitKW)-MIN(ROW(SitKW))+1)))=0,"",INDEX(SitVal,SUMPRODUCT(MAX((SitKW&lt;&gt;"")*ISNUMBER(SEARCH(SitKW,INDEX(FormData,$W536,f_Sit)&amp;""))*(ROW(SitKW)-MIN(ROW(SitKW))+1))))),""))</f>
        <v/>
      </c>
      <c r="I536" s="14">
        <f>IF($W536="","",IFERROR(INDEX(FormData,$W536,f_Appr)&amp;"",""))</f>
        <v/>
      </c>
      <c r="J536" s="16">
        <f>IF($W536="","",IFERROR(INDEX(FormData,$W536,f_Trade)&amp;"",""))</f>
        <v/>
      </c>
      <c r="K536" s="16" t="n"/>
      <c r="L536" s="17" t="n"/>
      <c r="M536" s="16" t="n"/>
      <c r="N536" s="17" t="n"/>
      <c r="O536" s="14" t="n"/>
      <c r="P536" s="14" t="n"/>
      <c r="Q536" s="18" t="n"/>
      <c r="R536" s="18" t="n"/>
      <c r="S536" s="13">
        <f>IF($P536&lt;&gt;"✓","",IF($R536&lt;&gt;"","Done",IF($Q536="","Open — no date",IF($Q536&lt;TODAY(),"Overdue",IF($Q536-TODAY()&lt;=DueSoon,"Due soon","Scheduled")))))</f>
        <v/>
      </c>
      <c r="T536" s="14">
        <f>IF($W536="","",IFERROR(IF(INDEX(FormData,$W536,f_Consent)&amp;""="","",IF(ISNUMBER(SEARCH("yes",INDEX(FormData,$W536,f_Consent))),"Yes","No")),""))</f>
        <v/>
      </c>
      <c r="U536" s="14" t="n"/>
      <c r="V536" s="13">
        <f>IF($U536="","",IF($W536="","not found","✓"))</f>
        <v/>
      </c>
      <c r="W536">
        <f>IF($U536="","",IFERROR(MATCH($U536,INDEX(FormData,0,f_Id),0),IFERROR(MATCH(--$U536,INDEX(FormData,0,f_Id),0),IFERROR(MATCH($U536&amp;"",INDEX(FormData,0,f_Id),0),""))))</f>
        <v/>
      </c>
      <c r="X536">
        <f>IF(AND($B536&lt;&gt;"",$B536='Event Report'!$C$3),ROW(),"")</f>
        <v/>
      </c>
      <c r="Y536">
        <f>IF(AND($P536="✓",$R536=""),IF($Q536="",90000,$Q536)+ROW()/100000,"")</f>
        <v/>
      </c>
      <c r="Z536">
        <f>IF(OR($U536&lt;&gt;"",$D536&lt;&gt;"",$E536&lt;&gt;"",$N536&lt;&gt;""),1,"")</f>
        <v/>
      </c>
    </row>
    <row r="537">
      <c r="A537" s="13" t="inlineStr">
        <is>
          <t>P-0533</t>
        </is>
      </c>
      <c r="B537" s="14">
        <f>IF(AND($U537="",$C537=""),"",IFERROR(INDEX(EvID,MATCH(INDEX(FormData,$W537,f_Event),EvID,0)),IFERROR(INDEX(EvID,MATCH(INDEX(FormData,$W537,f_Event),EvName,0)),IFERROR(INDEX(EvID,MATCH(INT($C537),EvDate,0)),""))))</f>
        <v/>
      </c>
      <c r="C537" s="15">
        <f>IF($W537="","",INDEX(FormData,$W537,f_Time))</f>
        <v/>
      </c>
      <c r="D537" s="14">
        <f>IF($W537="","",IFERROR(UPPER(LEFT(TRIM(INDEX(FormData,$W537,f_Name)),1)&amp;IFERROR(MID(TRIM(INDEX(FormData,$W537,f_Name)),FIND("^",SUBSTITUTE(TRIM(INDEX(FormData,$W537,f_Name))," ","^",LEN(TRIM(INDEX(FormData,$W537,f_Name)))-LEN(SUBSTITUTE(TRIM(INDEX(FormData,$W537,f_Name))," ",""))))+1,1),"")),""))</f>
        <v/>
      </c>
      <c r="E537" s="16">
        <f>IF($W537="","",IFERROR(IF(SUMPRODUCT(MAX((WhoKW&lt;&gt;"")*ISNUMBER(SEARCH(WhoKW,INDEX(FormData,$W537,f_Who)&amp;""))*(ROW(WhoKW)-MIN(ROW(WhoKW))+1)))=0,"",INDEX(WhoVal,SUMPRODUCT(MAX((WhoKW&lt;&gt;"")*ISNUMBER(SEARCH(WhoKW,INDEX(FormData,$W537,f_Who)&amp;""))*(ROW(WhoKW)-MIN(ROW(WhoKW))+1))))),""))</f>
        <v/>
      </c>
      <c r="F537" s="17">
        <f>IF($W537="","",TRIM(IFERROR(INDEX(FormData,$W537,f_Org1)&amp;"","")&amp;" "&amp;IFERROR(INDEX(FormData,$W537,f_Org2)&amp;"","")))</f>
        <v/>
      </c>
      <c r="G537" s="16">
        <f>IF($W537="","",IFERROR(INDEX(FormData,$W537,f_Region)&amp;"",""))</f>
        <v/>
      </c>
      <c r="H537" s="16">
        <f>IF($W537="","",IFERROR(IF(SUMPRODUCT(MAX((SitKW&lt;&gt;"")*ISNUMBER(SEARCH(SitKW,INDEX(FormData,$W537,f_Sit)&amp;""))*(ROW(SitKW)-MIN(ROW(SitKW))+1)))=0,"",INDEX(SitVal,SUMPRODUCT(MAX((SitKW&lt;&gt;"")*ISNUMBER(SEARCH(SitKW,INDEX(FormData,$W537,f_Sit)&amp;""))*(ROW(SitKW)-MIN(ROW(SitKW))+1))))),""))</f>
        <v/>
      </c>
      <c r="I537" s="14">
        <f>IF($W537="","",IFERROR(INDEX(FormData,$W537,f_Appr)&amp;"",""))</f>
        <v/>
      </c>
      <c r="J537" s="16">
        <f>IF($W537="","",IFERROR(INDEX(FormData,$W537,f_Trade)&amp;"",""))</f>
        <v/>
      </c>
      <c r="K537" s="16" t="n"/>
      <c r="L537" s="17" t="n"/>
      <c r="M537" s="16" t="n"/>
      <c r="N537" s="17" t="n"/>
      <c r="O537" s="14" t="n"/>
      <c r="P537" s="14" t="n"/>
      <c r="Q537" s="18" t="n"/>
      <c r="R537" s="18" t="n"/>
      <c r="S537" s="13">
        <f>IF($P537&lt;&gt;"✓","",IF($R537&lt;&gt;"","Done",IF($Q537="","Open — no date",IF($Q537&lt;TODAY(),"Overdue",IF($Q537-TODAY()&lt;=DueSoon,"Due soon","Scheduled")))))</f>
        <v/>
      </c>
      <c r="T537" s="14">
        <f>IF($W537="","",IFERROR(IF(INDEX(FormData,$W537,f_Consent)&amp;""="","",IF(ISNUMBER(SEARCH("yes",INDEX(FormData,$W537,f_Consent))),"Yes","No")),""))</f>
        <v/>
      </c>
      <c r="U537" s="14" t="n"/>
      <c r="V537" s="13">
        <f>IF($U537="","",IF($W537="","not found","✓"))</f>
        <v/>
      </c>
      <c r="W537">
        <f>IF($U537="","",IFERROR(MATCH($U537,INDEX(FormData,0,f_Id),0),IFERROR(MATCH(--$U537,INDEX(FormData,0,f_Id),0),IFERROR(MATCH($U537&amp;"",INDEX(FormData,0,f_Id),0),""))))</f>
        <v/>
      </c>
      <c r="X537">
        <f>IF(AND($B537&lt;&gt;"",$B537='Event Report'!$C$3),ROW(),"")</f>
        <v/>
      </c>
      <c r="Y537">
        <f>IF(AND($P537="✓",$R537=""),IF($Q537="",90000,$Q537)+ROW()/100000,"")</f>
        <v/>
      </c>
      <c r="Z537">
        <f>IF(OR($U537&lt;&gt;"",$D537&lt;&gt;"",$E537&lt;&gt;"",$N537&lt;&gt;""),1,"")</f>
        <v/>
      </c>
    </row>
    <row r="538">
      <c r="A538" s="13" t="inlineStr">
        <is>
          <t>P-0534</t>
        </is>
      </c>
      <c r="B538" s="14">
        <f>IF(AND($U538="",$C538=""),"",IFERROR(INDEX(EvID,MATCH(INDEX(FormData,$W538,f_Event),EvID,0)),IFERROR(INDEX(EvID,MATCH(INDEX(FormData,$W538,f_Event),EvName,0)),IFERROR(INDEX(EvID,MATCH(INT($C538),EvDate,0)),""))))</f>
        <v/>
      </c>
      <c r="C538" s="15">
        <f>IF($W538="","",INDEX(FormData,$W538,f_Time))</f>
        <v/>
      </c>
      <c r="D538" s="14">
        <f>IF($W538="","",IFERROR(UPPER(LEFT(TRIM(INDEX(FormData,$W538,f_Name)),1)&amp;IFERROR(MID(TRIM(INDEX(FormData,$W538,f_Name)),FIND("^",SUBSTITUTE(TRIM(INDEX(FormData,$W538,f_Name))," ","^",LEN(TRIM(INDEX(FormData,$W538,f_Name)))-LEN(SUBSTITUTE(TRIM(INDEX(FormData,$W538,f_Name))," ",""))))+1,1),"")),""))</f>
        <v/>
      </c>
      <c r="E538" s="16">
        <f>IF($W538="","",IFERROR(IF(SUMPRODUCT(MAX((WhoKW&lt;&gt;"")*ISNUMBER(SEARCH(WhoKW,INDEX(FormData,$W538,f_Who)&amp;""))*(ROW(WhoKW)-MIN(ROW(WhoKW))+1)))=0,"",INDEX(WhoVal,SUMPRODUCT(MAX((WhoKW&lt;&gt;"")*ISNUMBER(SEARCH(WhoKW,INDEX(FormData,$W538,f_Who)&amp;""))*(ROW(WhoKW)-MIN(ROW(WhoKW))+1))))),""))</f>
        <v/>
      </c>
      <c r="F538" s="17">
        <f>IF($W538="","",TRIM(IFERROR(INDEX(FormData,$W538,f_Org1)&amp;"","")&amp;" "&amp;IFERROR(INDEX(FormData,$W538,f_Org2)&amp;"","")))</f>
        <v/>
      </c>
      <c r="G538" s="16">
        <f>IF($W538="","",IFERROR(INDEX(FormData,$W538,f_Region)&amp;"",""))</f>
        <v/>
      </c>
      <c r="H538" s="16">
        <f>IF($W538="","",IFERROR(IF(SUMPRODUCT(MAX((SitKW&lt;&gt;"")*ISNUMBER(SEARCH(SitKW,INDEX(FormData,$W538,f_Sit)&amp;""))*(ROW(SitKW)-MIN(ROW(SitKW))+1)))=0,"",INDEX(SitVal,SUMPRODUCT(MAX((SitKW&lt;&gt;"")*ISNUMBER(SEARCH(SitKW,INDEX(FormData,$W538,f_Sit)&amp;""))*(ROW(SitKW)-MIN(ROW(SitKW))+1))))),""))</f>
        <v/>
      </c>
      <c r="I538" s="14">
        <f>IF($W538="","",IFERROR(INDEX(FormData,$W538,f_Appr)&amp;"",""))</f>
        <v/>
      </c>
      <c r="J538" s="16">
        <f>IF($W538="","",IFERROR(INDEX(FormData,$W538,f_Trade)&amp;"",""))</f>
        <v/>
      </c>
      <c r="K538" s="16" t="n"/>
      <c r="L538" s="17" t="n"/>
      <c r="M538" s="16" t="n"/>
      <c r="N538" s="17" t="n"/>
      <c r="O538" s="14" t="n"/>
      <c r="P538" s="14" t="n"/>
      <c r="Q538" s="18" t="n"/>
      <c r="R538" s="18" t="n"/>
      <c r="S538" s="13">
        <f>IF($P538&lt;&gt;"✓","",IF($R538&lt;&gt;"","Done",IF($Q538="","Open — no date",IF($Q538&lt;TODAY(),"Overdue",IF($Q538-TODAY()&lt;=DueSoon,"Due soon","Scheduled")))))</f>
        <v/>
      </c>
      <c r="T538" s="14">
        <f>IF($W538="","",IFERROR(IF(INDEX(FormData,$W538,f_Consent)&amp;""="","",IF(ISNUMBER(SEARCH("yes",INDEX(FormData,$W538,f_Consent))),"Yes","No")),""))</f>
        <v/>
      </c>
      <c r="U538" s="14" t="n"/>
      <c r="V538" s="13">
        <f>IF($U538="","",IF($W538="","not found","✓"))</f>
        <v/>
      </c>
      <c r="W538">
        <f>IF($U538="","",IFERROR(MATCH($U538,INDEX(FormData,0,f_Id),0),IFERROR(MATCH(--$U538,INDEX(FormData,0,f_Id),0),IFERROR(MATCH($U538&amp;"",INDEX(FormData,0,f_Id),0),""))))</f>
        <v/>
      </c>
      <c r="X538">
        <f>IF(AND($B538&lt;&gt;"",$B538='Event Report'!$C$3),ROW(),"")</f>
        <v/>
      </c>
      <c r="Y538">
        <f>IF(AND($P538="✓",$R538=""),IF($Q538="",90000,$Q538)+ROW()/100000,"")</f>
        <v/>
      </c>
      <c r="Z538">
        <f>IF(OR($U538&lt;&gt;"",$D538&lt;&gt;"",$E538&lt;&gt;"",$N538&lt;&gt;""),1,"")</f>
        <v/>
      </c>
    </row>
    <row r="539">
      <c r="A539" s="13" t="inlineStr">
        <is>
          <t>P-0535</t>
        </is>
      </c>
      <c r="B539" s="14">
        <f>IF(AND($U539="",$C539=""),"",IFERROR(INDEX(EvID,MATCH(INDEX(FormData,$W539,f_Event),EvID,0)),IFERROR(INDEX(EvID,MATCH(INDEX(FormData,$W539,f_Event),EvName,0)),IFERROR(INDEX(EvID,MATCH(INT($C539),EvDate,0)),""))))</f>
        <v/>
      </c>
      <c r="C539" s="15">
        <f>IF($W539="","",INDEX(FormData,$W539,f_Time))</f>
        <v/>
      </c>
      <c r="D539" s="14">
        <f>IF($W539="","",IFERROR(UPPER(LEFT(TRIM(INDEX(FormData,$W539,f_Name)),1)&amp;IFERROR(MID(TRIM(INDEX(FormData,$W539,f_Name)),FIND("^",SUBSTITUTE(TRIM(INDEX(FormData,$W539,f_Name))," ","^",LEN(TRIM(INDEX(FormData,$W539,f_Name)))-LEN(SUBSTITUTE(TRIM(INDEX(FormData,$W539,f_Name))," ",""))))+1,1),"")),""))</f>
        <v/>
      </c>
      <c r="E539" s="16">
        <f>IF($W539="","",IFERROR(IF(SUMPRODUCT(MAX((WhoKW&lt;&gt;"")*ISNUMBER(SEARCH(WhoKW,INDEX(FormData,$W539,f_Who)&amp;""))*(ROW(WhoKW)-MIN(ROW(WhoKW))+1)))=0,"",INDEX(WhoVal,SUMPRODUCT(MAX((WhoKW&lt;&gt;"")*ISNUMBER(SEARCH(WhoKW,INDEX(FormData,$W539,f_Who)&amp;""))*(ROW(WhoKW)-MIN(ROW(WhoKW))+1))))),""))</f>
        <v/>
      </c>
      <c r="F539" s="17">
        <f>IF($W539="","",TRIM(IFERROR(INDEX(FormData,$W539,f_Org1)&amp;"","")&amp;" "&amp;IFERROR(INDEX(FormData,$W539,f_Org2)&amp;"","")))</f>
        <v/>
      </c>
      <c r="G539" s="16">
        <f>IF($W539="","",IFERROR(INDEX(FormData,$W539,f_Region)&amp;"",""))</f>
        <v/>
      </c>
      <c r="H539" s="16">
        <f>IF($W539="","",IFERROR(IF(SUMPRODUCT(MAX((SitKW&lt;&gt;"")*ISNUMBER(SEARCH(SitKW,INDEX(FormData,$W539,f_Sit)&amp;""))*(ROW(SitKW)-MIN(ROW(SitKW))+1)))=0,"",INDEX(SitVal,SUMPRODUCT(MAX((SitKW&lt;&gt;"")*ISNUMBER(SEARCH(SitKW,INDEX(FormData,$W539,f_Sit)&amp;""))*(ROW(SitKW)-MIN(ROW(SitKW))+1))))),""))</f>
        <v/>
      </c>
      <c r="I539" s="14">
        <f>IF($W539="","",IFERROR(INDEX(FormData,$W539,f_Appr)&amp;"",""))</f>
        <v/>
      </c>
      <c r="J539" s="16">
        <f>IF($W539="","",IFERROR(INDEX(FormData,$W539,f_Trade)&amp;"",""))</f>
        <v/>
      </c>
      <c r="K539" s="16" t="n"/>
      <c r="L539" s="17" t="n"/>
      <c r="M539" s="16" t="n"/>
      <c r="N539" s="17" t="n"/>
      <c r="O539" s="14" t="n"/>
      <c r="P539" s="14" t="n"/>
      <c r="Q539" s="18" t="n"/>
      <c r="R539" s="18" t="n"/>
      <c r="S539" s="13">
        <f>IF($P539&lt;&gt;"✓","",IF($R539&lt;&gt;"","Done",IF($Q539="","Open — no date",IF($Q539&lt;TODAY(),"Overdue",IF($Q539-TODAY()&lt;=DueSoon,"Due soon","Scheduled")))))</f>
        <v/>
      </c>
      <c r="T539" s="14">
        <f>IF($W539="","",IFERROR(IF(INDEX(FormData,$W539,f_Consent)&amp;""="","",IF(ISNUMBER(SEARCH("yes",INDEX(FormData,$W539,f_Consent))),"Yes","No")),""))</f>
        <v/>
      </c>
      <c r="U539" s="14" t="n"/>
      <c r="V539" s="13">
        <f>IF($U539="","",IF($W539="","not found","✓"))</f>
        <v/>
      </c>
      <c r="W539">
        <f>IF($U539="","",IFERROR(MATCH($U539,INDEX(FormData,0,f_Id),0),IFERROR(MATCH(--$U539,INDEX(FormData,0,f_Id),0),IFERROR(MATCH($U539&amp;"",INDEX(FormData,0,f_Id),0),""))))</f>
        <v/>
      </c>
      <c r="X539">
        <f>IF(AND($B539&lt;&gt;"",$B539='Event Report'!$C$3),ROW(),"")</f>
        <v/>
      </c>
      <c r="Y539">
        <f>IF(AND($P539="✓",$R539=""),IF($Q539="",90000,$Q539)+ROW()/100000,"")</f>
        <v/>
      </c>
      <c r="Z539">
        <f>IF(OR($U539&lt;&gt;"",$D539&lt;&gt;"",$E539&lt;&gt;"",$N539&lt;&gt;""),1,"")</f>
        <v/>
      </c>
    </row>
    <row r="540">
      <c r="A540" s="13" t="inlineStr">
        <is>
          <t>P-0536</t>
        </is>
      </c>
      <c r="B540" s="14">
        <f>IF(AND($U540="",$C540=""),"",IFERROR(INDEX(EvID,MATCH(INDEX(FormData,$W540,f_Event),EvID,0)),IFERROR(INDEX(EvID,MATCH(INDEX(FormData,$W540,f_Event),EvName,0)),IFERROR(INDEX(EvID,MATCH(INT($C540),EvDate,0)),""))))</f>
        <v/>
      </c>
      <c r="C540" s="15">
        <f>IF($W540="","",INDEX(FormData,$W540,f_Time))</f>
        <v/>
      </c>
      <c r="D540" s="14">
        <f>IF($W540="","",IFERROR(UPPER(LEFT(TRIM(INDEX(FormData,$W540,f_Name)),1)&amp;IFERROR(MID(TRIM(INDEX(FormData,$W540,f_Name)),FIND("^",SUBSTITUTE(TRIM(INDEX(FormData,$W540,f_Name))," ","^",LEN(TRIM(INDEX(FormData,$W540,f_Name)))-LEN(SUBSTITUTE(TRIM(INDEX(FormData,$W540,f_Name))," ",""))))+1,1),"")),""))</f>
        <v/>
      </c>
      <c r="E540" s="16">
        <f>IF($W540="","",IFERROR(IF(SUMPRODUCT(MAX((WhoKW&lt;&gt;"")*ISNUMBER(SEARCH(WhoKW,INDEX(FormData,$W540,f_Who)&amp;""))*(ROW(WhoKW)-MIN(ROW(WhoKW))+1)))=0,"",INDEX(WhoVal,SUMPRODUCT(MAX((WhoKW&lt;&gt;"")*ISNUMBER(SEARCH(WhoKW,INDEX(FormData,$W540,f_Who)&amp;""))*(ROW(WhoKW)-MIN(ROW(WhoKW))+1))))),""))</f>
        <v/>
      </c>
      <c r="F540" s="17">
        <f>IF($W540="","",TRIM(IFERROR(INDEX(FormData,$W540,f_Org1)&amp;"","")&amp;" "&amp;IFERROR(INDEX(FormData,$W540,f_Org2)&amp;"","")))</f>
        <v/>
      </c>
      <c r="G540" s="16">
        <f>IF($W540="","",IFERROR(INDEX(FormData,$W540,f_Region)&amp;"",""))</f>
        <v/>
      </c>
      <c r="H540" s="16">
        <f>IF($W540="","",IFERROR(IF(SUMPRODUCT(MAX((SitKW&lt;&gt;"")*ISNUMBER(SEARCH(SitKW,INDEX(FormData,$W540,f_Sit)&amp;""))*(ROW(SitKW)-MIN(ROW(SitKW))+1)))=0,"",INDEX(SitVal,SUMPRODUCT(MAX((SitKW&lt;&gt;"")*ISNUMBER(SEARCH(SitKW,INDEX(FormData,$W540,f_Sit)&amp;""))*(ROW(SitKW)-MIN(ROW(SitKW))+1))))),""))</f>
        <v/>
      </c>
      <c r="I540" s="14">
        <f>IF($W540="","",IFERROR(INDEX(FormData,$W540,f_Appr)&amp;"",""))</f>
        <v/>
      </c>
      <c r="J540" s="16">
        <f>IF($W540="","",IFERROR(INDEX(FormData,$W540,f_Trade)&amp;"",""))</f>
        <v/>
      </c>
      <c r="K540" s="16" t="n"/>
      <c r="L540" s="17" t="n"/>
      <c r="M540" s="16" t="n"/>
      <c r="N540" s="17" t="n"/>
      <c r="O540" s="14" t="n"/>
      <c r="P540" s="14" t="n"/>
      <c r="Q540" s="18" t="n"/>
      <c r="R540" s="18" t="n"/>
      <c r="S540" s="13">
        <f>IF($P540&lt;&gt;"✓","",IF($R540&lt;&gt;"","Done",IF($Q540="","Open — no date",IF($Q540&lt;TODAY(),"Overdue",IF($Q540-TODAY()&lt;=DueSoon,"Due soon","Scheduled")))))</f>
        <v/>
      </c>
      <c r="T540" s="14">
        <f>IF($W540="","",IFERROR(IF(INDEX(FormData,$W540,f_Consent)&amp;""="","",IF(ISNUMBER(SEARCH("yes",INDEX(FormData,$W540,f_Consent))),"Yes","No")),""))</f>
        <v/>
      </c>
      <c r="U540" s="14" t="n"/>
      <c r="V540" s="13">
        <f>IF($U540="","",IF($W540="","not found","✓"))</f>
        <v/>
      </c>
      <c r="W540">
        <f>IF($U540="","",IFERROR(MATCH($U540,INDEX(FormData,0,f_Id),0),IFERROR(MATCH(--$U540,INDEX(FormData,0,f_Id),0),IFERROR(MATCH($U540&amp;"",INDEX(FormData,0,f_Id),0),""))))</f>
        <v/>
      </c>
      <c r="X540">
        <f>IF(AND($B540&lt;&gt;"",$B540='Event Report'!$C$3),ROW(),"")</f>
        <v/>
      </c>
      <c r="Y540">
        <f>IF(AND($P540="✓",$R540=""),IF($Q540="",90000,$Q540)+ROW()/100000,"")</f>
        <v/>
      </c>
      <c r="Z540">
        <f>IF(OR($U540&lt;&gt;"",$D540&lt;&gt;"",$E540&lt;&gt;"",$N540&lt;&gt;""),1,"")</f>
        <v/>
      </c>
    </row>
    <row r="541">
      <c r="A541" s="13" t="inlineStr">
        <is>
          <t>P-0537</t>
        </is>
      </c>
      <c r="B541" s="14">
        <f>IF(AND($U541="",$C541=""),"",IFERROR(INDEX(EvID,MATCH(INDEX(FormData,$W541,f_Event),EvID,0)),IFERROR(INDEX(EvID,MATCH(INDEX(FormData,$W541,f_Event),EvName,0)),IFERROR(INDEX(EvID,MATCH(INT($C541),EvDate,0)),""))))</f>
        <v/>
      </c>
      <c r="C541" s="15">
        <f>IF($W541="","",INDEX(FormData,$W541,f_Time))</f>
        <v/>
      </c>
      <c r="D541" s="14">
        <f>IF($W541="","",IFERROR(UPPER(LEFT(TRIM(INDEX(FormData,$W541,f_Name)),1)&amp;IFERROR(MID(TRIM(INDEX(FormData,$W541,f_Name)),FIND("^",SUBSTITUTE(TRIM(INDEX(FormData,$W541,f_Name))," ","^",LEN(TRIM(INDEX(FormData,$W541,f_Name)))-LEN(SUBSTITUTE(TRIM(INDEX(FormData,$W541,f_Name))," ",""))))+1,1),"")),""))</f>
        <v/>
      </c>
      <c r="E541" s="16">
        <f>IF($W541="","",IFERROR(IF(SUMPRODUCT(MAX((WhoKW&lt;&gt;"")*ISNUMBER(SEARCH(WhoKW,INDEX(FormData,$W541,f_Who)&amp;""))*(ROW(WhoKW)-MIN(ROW(WhoKW))+1)))=0,"",INDEX(WhoVal,SUMPRODUCT(MAX((WhoKW&lt;&gt;"")*ISNUMBER(SEARCH(WhoKW,INDEX(FormData,$W541,f_Who)&amp;""))*(ROW(WhoKW)-MIN(ROW(WhoKW))+1))))),""))</f>
        <v/>
      </c>
      <c r="F541" s="17">
        <f>IF($W541="","",TRIM(IFERROR(INDEX(FormData,$W541,f_Org1)&amp;"","")&amp;" "&amp;IFERROR(INDEX(FormData,$W541,f_Org2)&amp;"","")))</f>
        <v/>
      </c>
      <c r="G541" s="16">
        <f>IF($W541="","",IFERROR(INDEX(FormData,$W541,f_Region)&amp;"",""))</f>
        <v/>
      </c>
      <c r="H541" s="16">
        <f>IF($W541="","",IFERROR(IF(SUMPRODUCT(MAX((SitKW&lt;&gt;"")*ISNUMBER(SEARCH(SitKW,INDEX(FormData,$W541,f_Sit)&amp;""))*(ROW(SitKW)-MIN(ROW(SitKW))+1)))=0,"",INDEX(SitVal,SUMPRODUCT(MAX((SitKW&lt;&gt;"")*ISNUMBER(SEARCH(SitKW,INDEX(FormData,$W541,f_Sit)&amp;""))*(ROW(SitKW)-MIN(ROW(SitKW))+1))))),""))</f>
        <v/>
      </c>
      <c r="I541" s="14">
        <f>IF($W541="","",IFERROR(INDEX(FormData,$W541,f_Appr)&amp;"",""))</f>
        <v/>
      </c>
      <c r="J541" s="16">
        <f>IF($W541="","",IFERROR(INDEX(FormData,$W541,f_Trade)&amp;"",""))</f>
        <v/>
      </c>
      <c r="K541" s="16" t="n"/>
      <c r="L541" s="17" t="n"/>
      <c r="M541" s="16" t="n"/>
      <c r="N541" s="17" t="n"/>
      <c r="O541" s="14" t="n"/>
      <c r="P541" s="14" t="n"/>
      <c r="Q541" s="18" t="n"/>
      <c r="R541" s="18" t="n"/>
      <c r="S541" s="13">
        <f>IF($P541&lt;&gt;"✓","",IF($R541&lt;&gt;"","Done",IF($Q541="","Open — no date",IF($Q541&lt;TODAY(),"Overdue",IF($Q541-TODAY()&lt;=DueSoon,"Due soon","Scheduled")))))</f>
        <v/>
      </c>
      <c r="T541" s="14">
        <f>IF($W541="","",IFERROR(IF(INDEX(FormData,$W541,f_Consent)&amp;""="","",IF(ISNUMBER(SEARCH("yes",INDEX(FormData,$W541,f_Consent))),"Yes","No")),""))</f>
        <v/>
      </c>
      <c r="U541" s="14" t="n"/>
      <c r="V541" s="13">
        <f>IF($U541="","",IF($W541="","not found","✓"))</f>
        <v/>
      </c>
      <c r="W541">
        <f>IF($U541="","",IFERROR(MATCH($U541,INDEX(FormData,0,f_Id),0),IFERROR(MATCH(--$U541,INDEX(FormData,0,f_Id),0),IFERROR(MATCH($U541&amp;"",INDEX(FormData,0,f_Id),0),""))))</f>
        <v/>
      </c>
      <c r="X541">
        <f>IF(AND($B541&lt;&gt;"",$B541='Event Report'!$C$3),ROW(),"")</f>
        <v/>
      </c>
      <c r="Y541">
        <f>IF(AND($P541="✓",$R541=""),IF($Q541="",90000,$Q541)+ROW()/100000,"")</f>
        <v/>
      </c>
      <c r="Z541">
        <f>IF(OR($U541&lt;&gt;"",$D541&lt;&gt;"",$E541&lt;&gt;"",$N541&lt;&gt;""),1,"")</f>
        <v/>
      </c>
    </row>
    <row r="542">
      <c r="A542" s="13" t="inlineStr">
        <is>
          <t>P-0538</t>
        </is>
      </c>
      <c r="B542" s="14">
        <f>IF(AND($U542="",$C542=""),"",IFERROR(INDEX(EvID,MATCH(INDEX(FormData,$W542,f_Event),EvID,0)),IFERROR(INDEX(EvID,MATCH(INDEX(FormData,$W542,f_Event),EvName,0)),IFERROR(INDEX(EvID,MATCH(INT($C542),EvDate,0)),""))))</f>
        <v/>
      </c>
      <c r="C542" s="15">
        <f>IF($W542="","",INDEX(FormData,$W542,f_Time))</f>
        <v/>
      </c>
      <c r="D542" s="14">
        <f>IF($W542="","",IFERROR(UPPER(LEFT(TRIM(INDEX(FormData,$W542,f_Name)),1)&amp;IFERROR(MID(TRIM(INDEX(FormData,$W542,f_Name)),FIND("^",SUBSTITUTE(TRIM(INDEX(FormData,$W542,f_Name))," ","^",LEN(TRIM(INDEX(FormData,$W542,f_Name)))-LEN(SUBSTITUTE(TRIM(INDEX(FormData,$W542,f_Name))," ",""))))+1,1),"")),""))</f>
        <v/>
      </c>
      <c r="E542" s="16">
        <f>IF($W542="","",IFERROR(IF(SUMPRODUCT(MAX((WhoKW&lt;&gt;"")*ISNUMBER(SEARCH(WhoKW,INDEX(FormData,$W542,f_Who)&amp;""))*(ROW(WhoKW)-MIN(ROW(WhoKW))+1)))=0,"",INDEX(WhoVal,SUMPRODUCT(MAX((WhoKW&lt;&gt;"")*ISNUMBER(SEARCH(WhoKW,INDEX(FormData,$W542,f_Who)&amp;""))*(ROW(WhoKW)-MIN(ROW(WhoKW))+1))))),""))</f>
        <v/>
      </c>
      <c r="F542" s="17">
        <f>IF($W542="","",TRIM(IFERROR(INDEX(FormData,$W542,f_Org1)&amp;"","")&amp;" "&amp;IFERROR(INDEX(FormData,$W542,f_Org2)&amp;"","")))</f>
        <v/>
      </c>
      <c r="G542" s="16">
        <f>IF($W542="","",IFERROR(INDEX(FormData,$W542,f_Region)&amp;"",""))</f>
        <v/>
      </c>
      <c r="H542" s="16">
        <f>IF($W542="","",IFERROR(IF(SUMPRODUCT(MAX((SitKW&lt;&gt;"")*ISNUMBER(SEARCH(SitKW,INDEX(FormData,$W542,f_Sit)&amp;""))*(ROW(SitKW)-MIN(ROW(SitKW))+1)))=0,"",INDEX(SitVal,SUMPRODUCT(MAX((SitKW&lt;&gt;"")*ISNUMBER(SEARCH(SitKW,INDEX(FormData,$W542,f_Sit)&amp;""))*(ROW(SitKW)-MIN(ROW(SitKW))+1))))),""))</f>
        <v/>
      </c>
      <c r="I542" s="14">
        <f>IF($W542="","",IFERROR(INDEX(FormData,$W542,f_Appr)&amp;"",""))</f>
        <v/>
      </c>
      <c r="J542" s="16">
        <f>IF($W542="","",IFERROR(INDEX(FormData,$W542,f_Trade)&amp;"",""))</f>
        <v/>
      </c>
      <c r="K542" s="16" t="n"/>
      <c r="L542" s="17" t="n"/>
      <c r="M542" s="16" t="n"/>
      <c r="N542" s="17" t="n"/>
      <c r="O542" s="14" t="n"/>
      <c r="P542" s="14" t="n"/>
      <c r="Q542" s="18" t="n"/>
      <c r="R542" s="18" t="n"/>
      <c r="S542" s="13">
        <f>IF($P542&lt;&gt;"✓","",IF($R542&lt;&gt;"","Done",IF($Q542="","Open — no date",IF($Q542&lt;TODAY(),"Overdue",IF($Q542-TODAY()&lt;=DueSoon,"Due soon","Scheduled")))))</f>
        <v/>
      </c>
      <c r="T542" s="14">
        <f>IF($W542="","",IFERROR(IF(INDEX(FormData,$W542,f_Consent)&amp;""="","",IF(ISNUMBER(SEARCH("yes",INDEX(FormData,$W542,f_Consent))),"Yes","No")),""))</f>
        <v/>
      </c>
      <c r="U542" s="14" t="n"/>
      <c r="V542" s="13">
        <f>IF($U542="","",IF($W542="","not found","✓"))</f>
        <v/>
      </c>
      <c r="W542">
        <f>IF($U542="","",IFERROR(MATCH($U542,INDEX(FormData,0,f_Id),0),IFERROR(MATCH(--$U542,INDEX(FormData,0,f_Id),0),IFERROR(MATCH($U542&amp;"",INDEX(FormData,0,f_Id),0),""))))</f>
        <v/>
      </c>
      <c r="X542">
        <f>IF(AND($B542&lt;&gt;"",$B542='Event Report'!$C$3),ROW(),"")</f>
        <v/>
      </c>
      <c r="Y542">
        <f>IF(AND($P542="✓",$R542=""),IF($Q542="",90000,$Q542)+ROW()/100000,"")</f>
        <v/>
      </c>
      <c r="Z542">
        <f>IF(OR($U542&lt;&gt;"",$D542&lt;&gt;"",$E542&lt;&gt;"",$N542&lt;&gt;""),1,"")</f>
        <v/>
      </c>
    </row>
    <row r="543">
      <c r="A543" s="13" t="inlineStr">
        <is>
          <t>P-0539</t>
        </is>
      </c>
      <c r="B543" s="14">
        <f>IF(AND($U543="",$C543=""),"",IFERROR(INDEX(EvID,MATCH(INDEX(FormData,$W543,f_Event),EvID,0)),IFERROR(INDEX(EvID,MATCH(INDEX(FormData,$W543,f_Event),EvName,0)),IFERROR(INDEX(EvID,MATCH(INT($C543),EvDate,0)),""))))</f>
        <v/>
      </c>
      <c r="C543" s="15">
        <f>IF($W543="","",INDEX(FormData,$W543,f_Time))</f>
        <v/>
      </c>
      <c r="D543" s="14">
        <f>IF($W543="","",IFERROR(UPPER(LEFT(TRIM(INDEX(FormData,$W543,f_Name)),1)&amp;IFERROR(MID(TRIM(INDEX(FormData,$W543,f_Name)),FIND("^",SUBSTITUTE(TRIM(INDEX(FormData,$W543,f_Name))," ","^",LEN(TRIM(INDEX(FormData,$W543,f_Name)))-LEN(SUBSTITUTE(TRIM(INDEX(FormData,$W543,f_Name))," ",""))))+1,1),"")),""))</f>
        <v/>
      </c>
      <c r="E543" s="16">
        <f>IF($W543="","",IFERROR(IF(SUMPRODUCT(MAX((WhoKW&lt;&gt;"")*ISNUMBER(SEARCH(WhoKW,INDEX(FormData,$W543,f_Who)&amp;""))*(ROW(WhoKW)-MIN(ROW(WhoKW))+1)))=0,"",INDEX(WhoVal,SUMPRODUCT(MAX((WhoKW&lt;&gt;"")*ISNUMBER(SEARCH(WhoKW,INDEX(FormData,$W543,f_Who)&amp;""))*(ROW(WhoKW)-MIN(ROW(WhoKW))+1))))),""))</f>
        <v/>
      </c>
      <c r="F543" s="17">
        <f>IF($W543="","",TRIM(IFERROR(INDEX(FormData,$W543,f_Org1)&amp;"","")&amp;" "&amp;IFERROR(INDEX(FormData,$W543,f_Org2)&amp;"","")))</f>
        <v/>
      </c>
      <c r="G543" s="16">
        <f>IF($W543="","",IFERROR(INDEX(FormData,$W543,f_Region)&amp;"",""))</f>
        <v/>
      </c>
      <c r="H543" s="16">
        <f>IF($W543="","",IFERROR(IF(SUMPRODUCT(MAX((SitKW&lt;&gt;"")*ISNUMBER(SEARCH(SitKW,INDEX(FormData,$W543,f_Sit)&amp;""))*(ROW(SitKW)-MIN(ROW(SitKW))+1)))=0,"",INDEX(SitVal,SUMPRODUCT(MAX((SitKW&lt;&gt;"")*ISNUMBER(SEARCH(SitKW,INDEX(FormData,$W543,f_Sit)&amp;""))*(ROW(SitKW)-MIN(ROW(SitKW))+1))))),""))</f>
        <v/>
      </c>
      <c r="I543" s="14">
        <f>IF($W543="","",IFERROR(INDEX(FormData,$W543,f_Appr)&amp;"",""))</f>
        <v/>
      </c>
      <c r="J543" s="16">
        <f>IF($W543="","",IFERROR(INDEX(FormData,$W543,f_Trade)&amp;"",""))</f>
        <v/>
      </c>
      <c r="K543" s="16" t="n"/>
      <c r="L543" s="17" t="n"/>
      <c r="M543" s="16" t="n"/>
      <c r="N543" s="17" t="n"/>
      <c r="O543" s="14" t="n"/>
      <c r="P543" s="14" t="n"/>
      <c r="Q543" s="18" t="n"/>
      <c r="R543" s="18" t="n"/>
      <c r="S543" s="13">
        <f>IF($P543&lt;&gt;"✓","",IF($R543&lt;&gt;"","Done",IF($Q543="","Open — no date",IF($Q543&lt;TODAY(),"Overdue",IF($Q543-TODAY()&lt;=DueSoon,"Due soon","Scheduled")))))</f>
        <v/>
      </c>
      <c r="T543" s="14">
        <f>IF($W543="","",IFERROR(IF(INDEX(FormData,$W543,f_Consent)&amp;""="","",IF(ISNUMBER(SEARCH("yes",INDEX(FormData,$W543,f_Consent))),"Yes","No")),""))</f>
        <v/>
      </c>
      <c r="U543" s="14" t="n"/>
      <c r="V543" s="13">
        <f>IF($U543="","",IF($W543="","not found","✓"))</f>
        <v/>
      </c>
      <c r="W543">
        <f>IF($U543="","",IFERROR(MATCH($U543,INDEX(FormData,0,f_Id),0),IFERROR(MATCH(--$U543,INDEX(FormData,0,f_Id),0),IFERROR(MATCH($U543&amp;"",INDEX(FormData,0,f_Id),0),""))))</f>
        <v/>
      </c>
      <c r="X543">
        <f>IF(AND($B543&lt;&gt;"",$B543='Event Report'!$C$3),ROW(),"")</f>
        <v/>
      </c>
      <c r="Y543">
        <f>IF(AND($P543="✓",$R543=""),IF($Q543="",90000,$Q543)+ROW()/100000,"")</f>
        <v/>
      </c>
      <c r="Z543">
        <f>IF(OR($U543&lt;&gt;"",$D543&lt;&gt;"",$E543&lt;&gt;"",$N543&lt;&gt;""),1,"")</f>
        <v/>
      </c>
    </row>
    <row r="544">
      <c r="A544" s="13" t="inlineStr">
        <is>
          <t>P-0540</t>
        </is>
      </c>
      <c r="B544" s="14">
        <f>IF(AND($U544="",$C544=""),"",IFERROR(INDEX(EvID,MATCH(INDEX(FormData,$W544,f_Event),EvID,0)),IFERROR(INDEX(EvID,MATCH(INDEX(FormData,$W544,f_Event),EvName,0)),IFERROR(INDEX(EvID,MATCH(INT($C544),EvDate,0)),""))))</f>
        <v/>
      </c>
      <c r="C544" s="15">
        <f>IF($W544="","",INDEX(FormData,$W544,f_Time))</f>
        <v/>
      </c>
      <c r="D544" s="14">
        <f>IF($W544="","",IFERROR(UPPER(LEFT(TRIM(INDEX(FormData,$W544,f_Name)),1)&amp;IFERROR(MID(TRIM(INDEX(FormData,$W544,f_Name)),FIND("^",SUBSTITUTE(TRIM(INDEX(FormData,$W544,f_Name))," ","^",LEN(TRIM(INDEX(FormData,$W544,f_Name)))-LEN(SUBSTITUTE(TRIM(INDEX(FormData,$W544,f_Name))," ",""))))+1,1),"")),""))</f>
        <v/>
      </c>
      <c r="E544" s="16">
        <f>IF($W544="","",IFERROR(IF(SUMPRODUCT(MAX((WhoKW&lt;&gt;"")*ISNUMBER(SEARCH(WhoKW,INDEX(FormData,$W544,f_Who)&amp;""))*(ROW(WhoKW)-MIN(ROW(WhoKW))+1)))=0,"",INDEX(WhoVal,SUMPRODUCT(MAX((WhoKW&lt;&gt;"")*ISNUMBER(SEARCH(WhoKW,INDEX(FormData,$W544,f_Who)&amp;""))*(ROW(WhoKW)-MIN(ROW(WhoKW))+1))))),""))</f>
        <v/>
      </c>
      <c r="F544" s="17">
        <f>IF($W544="","",TRIM(IFERROR(INDEX(FormData,$W544,f_Org1)&amp;"","")&amp;" "&amp;IFERROR(INDEX(FormData,$W544,f_Org2)&amp;"","")))</f>
        <v/>
      </c>
      <c r="G544" s="16">
        <f>IF($W544="","",IFERROR(INDEX(FormData,$W544,f_Region)&amp;"",""))</f>
        <v/>
      </c>
      <c r="H544" s="16">
        <f>IF($W544="","",IFERROR(IF(SUMPRODUCT(MAX((SitKW&lt;&gt;"")*ISNUMBER(SEARCH(SitKW,INDEX(FormData,$W544,f_Sit)&amp;""))*(ROW(SitKW)-MIN(ROW(SitKW))+1)))=0,"",INDEX(SitVal,SUMPRODUCT(MAX((SitKW&lt;&gt;"")*ISNUMBER(SEARCH(SitKW,INDEX(FormData,$W544,f_Sit)&amp;""))*(ROW(SitKW)-MIN(ROW(SitKW))+1))))),""))</f>
        <v/>
      </c>
      <c r="I544" s="14">
        <f>IF($W544="","",IFERROR(INDEX(FormData,$W544,f_Appr)&amp;"",""))</f>
        <v/>
      </c>
      <c r="J544" s="16">
        <f>IF($W544="","",IFERROR(INDEX(FormData,$W544,f_Trade)&amp;"",""))</f>
        <v/>
      </c>
      <c r="K544" s="16" t="n"/>
      <c r="L544" s="17" t="n"/>
      <c r="M544" s="16" t="n"/>
      <c r="N544" s="17" t="n"/>
      <c r="O544" s="14" t="n"/>
      <c r="P544" s="14" t="n"/>
      <c r="Q544" s="18" t="n"/>
      <c r="R544" s="18" t="n"/>
      <c r="S544" s="13">
        <f>IF($P544&lt;&gt;"✓","",IF($R544&lt;&gt;"","Done",IF($Q544="","Open — no date",IF($Q544&lt;TODAY(),"Overdue",IF($Q544-TODAY()&lt;=DueSoon,"Due soon","Scheduled")))))</f>
        <v/>
      </c>
      <c r="T544" s="14">
        <f>IF($W544="","",IFERROR(IF(INDEX(FormData,$W544,f_Consent)&amp;""="","",IF(ISNUMBER(SEARCH("yes",INDEX(FormData,$W544,f_Consent))),"Yes","No")),""))</f>
        <v/>
      </c>
      <c r="U544" s="14" t="n"/>
      <c r="V544" s="13">
        <f>IF($U544="","",IF($W544="","not found","✓"))</f>
        <v/>
      </c>
      <c r="W544">
        <f>IF($U544="","",IFERROR(MATCH($U544,INDEX(FormData,0,f_Id),0),IFERROR(MATCH(--$U544,INDEX(FormData,0,f_Id),0),IFERROR(MATCH($U544&amp;"",INDEX(FormData,0,f_Id),0),""))))</f>
        <v/>
      </c>
      <c r="X544">
        <f>IF(AND($B544&lt;&gt;"",$B544='Event Report'!$C$3),ROW(),"")</f>
        <v/>
      </c>
      <c r="Y544">
        <f>IF(AND($P544="✓",$R544=""),IF($Q544="",90000,$Q544)+ROW()/100000,"")</f>
        <v/>
      </c>
      <c r="Z544">
        <f>IF(OR($U544&lt;&gt;"",$D544&lt;&gt;"",$E544&lt;&gt;"",$N544&lt;&gt;""),1,"")</f>
        <v/>
      </c>
    </row>
    <row r="545">
      <c r="A545" s="13" t="inlineStr">
        <is>
          <t>P-0541</t>
        </is>
      </c>
      <c r="B545" s="14">
        <f>IF(AND($U545="",$C545=""),"",IFERROR(INDEX(EvID,MATCH(INDEX(FormData,$W545,f_Event),EvID,0)),IFERROR(INDEX(EvID,MATCH(INDEX(FormData,$W545,f_Event),EvName,0)),IFERROR(INDEX(EvID,MATCH(INT($C545),EvDate,0)),""))))</f>
        <v/>
      </c>
      <c r="C545" s="15">
        <f>IF($W545="","",INDEX(FormData,$W545,f_Time))</f>
        <v/>
      </c>
      <c r="D545" s="14">
        <f>IF($W545="","",IFERROR(UPPER(LEFT(TRIM(INDEX(FormData,$W545,f_Name)),1)&amp;IFERROR(MID(TRIM(INDEX(FormData,$W545,f_Name)),FIND("^",SUBSTITUTE(TRIM(INDEX(FormData,$W545,f_Name))," ","^",LEN(TRIM(INDEX(FormData,$W545,f_Name)))-LEN(SUBSTITUTE(TRIM(INDEX(FormData,$W545,f_Name))," ",""))))+1,1),"")),""))</f>
        <v/>
      </c>
      <c r="E545" s="16">
        <f>IF($W545="","",IFERROR(IF(SUMPRODUCT(MAX((WhoKW&lt;&gt;"")*ISNUMBER(SEARCH(WhoKW,INDEX(FormData,$W545,f_Who)&amp;""))*(ROW(WhoKW)-MIN(ROW(WhoKW))+1)))=0,"",INDEX(WhoVal,SUMPRODUCT(MAX((WhoKW&lt;&gt;"")*ISNUMBER(SEARCH(WhoKW,INDEX(FormData,$W545,f_Who)&amp;""))*(ROW(WhoKW)-MIN(ROW(WhoKW))+1))))),""))</f>
        <v/>
      </c>
      <c r="F545" s="17">
        <f>IF($W545="","",TRIM(IFERROR(INDEX(FormData,$W545,f_Org1)&amp;"","")&amp;" "&amp;IFERROR(INDEX(FormData,$W545,f_Org2)&amp;"","")))</f>
        <v/>
      </c>
      <c r="G545" s="16">
        <f>IF($W545="","",IFERROR(INDEX(FormData,$W545,f_Region)&amp;"",""))</f>
        <v/>
      </c>
      <c r="H545" s="16">
        <f>IF($W545="","",IFERROR(IF(SUMPRODUCT(MAX((SitKW&lt;&gt;"")*ISNUMBER(SEARCH(SitKW,INDEX(FormData,$W545,f_Sit)&amp;""))*(ROW(SitKW)-MIN(ROW(SitKW))+1)))=0,"",INDEX(SitVal,SUMPRODUCT(MAX((SitKW&lt;&gt;"")*ISNUMBER(SEARCH(SitKW,INDEX(FormData,$W545,f_Sit)&amp;""))*(ROW(SitKW)-MIN(ROW(SitKW))+1))))),""))</f>
        <v/>
      </c>
      <c r="I545" s="14">
        <f>IF($W545="","",IFERROR(INDEX(FormData,$W545,f_Appr)&amp;"",""))</f>
        <v/>
      </c>
      <c r="J545" s="16">
        <f>IF($W545="","",IFERROR(INDEX(FormData,$W545,f_Trade)&amp;"",""))</f>
        <v/>
      </c>
      <c r="K545" s="16" t="n"/>
      <c r="L545" s="17" t="n"/>
      <c r="M545" s="16" t="n"/>
      <c r="N545" s="17" t="n"/>
      <c r="O545" s="14" t="n"/>
      <c r="P545" s="14" t="n"/>
      <c r="Q545" s="18" t="n"/>
      <c r="R545" s="18" t="n"/>
      <c r="S545" s="13">
        <f>IF($P545&lt;&gt;"✓","",IF($R545&lt;&gt;"","Done",IF($Q545="","Open — no date",IF($Q545&lt;TODAY(),"Overdue",IF($Q545-TODAY()&lt;=DueSoon,"Due soon","Scheduled")))))</f>
        <v/>
      </c>
      <c r="T545" s="14">
        <f>IF($W545="","",IFERROR(IF(INDEX(FormData,$W545,f_Consent)&amp;""="","",IF(ISNUMBER(SEARCH("yes",INDEX(FormData,$W545,f_Consent))),"Yes","No")),""))</f>
        <v/>
      </c>
      <c r="U545" s="14" t="n"/>
      <c r="V545" s="13">
        <f>IF($U545="","",IF($W545="","not found","✓"))</f>
        <v/>
      </c>
      <c r="W545">
        <f>IF($U545="","",IFERROR(MATCH($U545,INDEX(FormData,0,f_Id),0),IFERROR(MATCH(--$U545,INDEX(FormData,0,f_Id),0),IFERROR(MATCH($U545&amp;"",INDEX(FormData,0,f_Id),0),""))))</f>
        <v/>
      </c>
      <c r="X545">
        <f>IF(AND($B545&lt;&gt;"",$B545='Event Report'!$C$3),ROW(),"")</f>
        <v/>
      </c>
      <c r="Y545">
        <f>IF(AND($P545="✓",$R545=""),IF($Q545="",90000,$Q545)+ROW()/100000,"")</f>
        <v/>
      </c>
      <c r="Z545">
        <f>IF(OR($U545&lt;&gt;"",$D545&lt;&gt;"",$E545&lt;&gt;"",$N545&lt;&gt;""),1,"")</f>
        <v/>
      </c>
    </row>
    <row r="546">
      <c r="A546" s="13" t="inlineStr">
        <is>
          <t>P-0542</t>
        </is>
      </c>
      <c r="B546" s="14">
        <f>IF(AND($U546="",$C546=""),"",IFERROR(INDEX(EvID,MATCH(INDEX(FormData,$W546,f_Event),EvID,0)),IFERROR(INDEX(EvID,MATCH(INDEX(FormData,$W546,f_Event),EvName,0)),IFERROR(INDEX(EvID,MATCH(INT($C546),EvDate,0)),""))))</f>
        <v/>
      </c>
      <c r="C546" s="15">
        <f>IF($W546="","",INDEX(FormData,$W546,f_Time))</f>
        <v/>
      </c>
      <c r="D546" s="14">
        <f>IF($W546="","",IFERROR(UPPER(LEFT(TRIM(INDEX(FormData,$W546,f_Name)),1)&amp;IFERROR(MID(TRIM(INDEX(FormData,$W546,f_Name)),FIND("^",SUBSTITUTE(TRIM(INDEX(FormData,$W546,f_Name))," ","^",LEN(TRIM(INDEX(FormData,$W546,f_Name)))-LEN(SUBSTITUTE(TRIM(INDEX(FormData,$W546,f_Name))," ",""))))+1,1),"")),""))</f>
        <v/>
      </c>
      <c r="E546" s="16">
        <f>IF($W546="","",IFERROR(IF(SUMPRODUCT(MAX((WhoKW&lt;&gt;"")*ISNUMBER(SEARCH(WhoKW,INDEX(FormData,$W546,f_Who)&amp;""))*(ROW(WhoKW)-MIN(ROW(WhoKW))+1)))=0,"",INDEX(WhoVal,SUMPRODUCT(MAX((WhoKW&lt;&gt;"")*ISNUMBER(SEARCH(WhoKW,INDEX(FormData,$W546,f_Who)&amp;""))*(ROW(WhoKW)-MIN(ROW(WhoKW))+1))))),""))</f>
        <v/>
      </c>
      <c r="F546" s="17">
        <f>IF($W546="","",TRIM(IFERROR(INDEX(FormData,$W546,f_Org1)&amp;"","")&amp;" "&amp;IFERROR(INDEX(FormData,$W546,f_Org2)&amp;"","")))</f>
        <v/>
      </c>
      <c r="G546" s="16">
        <f>IF($W546="","",IFERROR(INDEX(FormData,$W546,f_Region)&amp;"",""))</f>
        <v/>
      </c>
      <c r="H546" s="16">
        <f>IF($W546="","",IFERROR(IF(SUMPRODUCT(MAX((SitKW&lt;&gt;"")*ISNUMBER(SEARCH(SitKW,INDEX(FormData,$W546,f_Sit)&amp;""))*(ROW(SitKW)-MIN(ROW(SitKW))+1)))=0,"",INDEX(SitVal,SUMPRODUCT(MAX((SitKW&lt;&gt;"")*ISNUMBER(SEARCH(SitKW,INDEX(FormData,$W546,f_Sit)&amp;""))*(ROW(SitKW)-MIN(ROW(SitKW))+1))))),""))</f>
        <v/>
      </c>
      <c r="I546" s="14">
        <f>IF($W546="","",IFERROR(INDEX(FormData,$W546,f_Appr)&amp;"",""))</f>
        <v/>
      </c>
      <c r="J546" s="16">
        <f>IF($W546="","",IFERROR(INDEX(FormData,$W546,f_Trade)&amp;"",""))</f>
        <v/>
      </c>
      <c r="K546" s="16" t="n"/>
      <c r="L546" s="17" t="n"/>
      <c r="M546" s="16" t="n"/>
      <c r="N546" s="17" t="n"/>
      <c r="O546" s="14" t="n"/>
      <c r="P546" s="14" t="n"/>
      <c r="Q546" s="18" t="n"/>
      <c r="R546" s="18" t="n"/>
      <c r="S546" s="13">
        <f>IF($P546&lt;&gt;"✓","",IF($R546&lt;&gt;"","Done",IF($Q546="","Open — no date",IF($Q546&lt;TODAY(),"Overdue",IF($Q546-TODAY()&lt;=DueSoon,"Due soon","Scheduled")))))</f>
        <v/>
      </c>
      <c r="T546" s="14">
        <f>IF($W546="","",IFERROR(IF(INDEX(FormData,$W546,f_Consent)&amp;""="","",IF(ISNUMBER(SEARCH("yes",INDEX(FormData,$W546,f_Consent))),"Yes","No")),""))</f>
        <v/>
      </c>
      <c r="U546" s="14" t="n"/>
      <c r="V546" s="13">
        <f>IF($U546="","",IF($W546="","not found","✓"))</f>
        <v/>
      </c>
      <c r="W546">
        <f>IF($U546="","",IFERROR(MATCH($U546,INDEX(FormData,0,f_Id),0),IFERROR(MATCH(--$U546,INDEX(FormData,0,f_Id),0),IFERROR(MATCH($U546&amp;"",INDEX(FormData,0,f_Id),0),""))))</f>
        <v/>
      </c>
      <c r="X546">
        <f>IF(AND($B546&lt;&gt;"",$B546='Event Report'!$C$3),ROW(),"")</f>
        <v/>
      </c>
      <c r="Y546">
        <f>IF(AND($P546="✓",$R546=""),IF($Q546="",90000,$Q546)+ROW()/100000,"")</f>
        <v/>
      </c>
      <c r="Z546">
        <f>IF(OR($U546&lt;&gt;"",$D546&lt;&gt;"",$E546&lt;&gt;"",$N546&lt;&gt;""),1,"")</f>
        <v/>
      </c>
    </row>
    <row r="547">
      <c r="A547" s="13" t="inlineStr">
        <is>
          <t>P-0543</t>
        </is>
      </c>
      <c r="B547" s="14">
        <f>IF(AND($U547="",$C547=""),"",IFERROR(INDEX(EvID,MATCH(INDEX(FormData,$W547,f_Event),EvID,0)),IFERROR(INDEX(EvID,MATCH(INDEX(FormData,$W547,f_Event),EvName,0)),IFERROR(INDEX(EvID,MATCH(INT($C547),EvDate,0)),""))))</f>
        <v/>
      </c>
      <c r="C547" s="15">
        <f>IF($W547="","",INDEX(FormData,$W547,f_Time))</f>
        <v/>
      </c>
      <c r="D547" s="14">
        <f>IF($W547="","",IFERROR(UPPER(LEFT(TRIM(INDEX(FormData,$W547,f_Name)),1)&amp;IFERROR(MID(TRIM(INDEX(FormData,$W547,f_Name)),FIND("^",SUBSTITUTE(TRIM(INDEX(FormData,$W547,f_Name))," ","^",LEN(TRIM(INDEX(FormData,$W547,f_Name)))-LEN(SUBSTITUTE(TRIM(INDEX(FormData,$W547,f_Name))," ",""))))+1,1),"")),""))</f>
        <v/>
      </c>
      <c r="E547" s="16">
        <f>IF($W547="","",IFERROR(IF(SUMPRODUCT(MAX((WhoKW&lt;&gt;"")*ISNUMBER(SEARCH(WhoKW,INDEX(FormData,$W547,f_Who)&amp;""))*(ROW(WhoKW)-MIN(ROW(WhoKW))+1)))=0,"",INDEX(WhoVal,SUMPRODUCT(MAX((WhoKW&lt;&gt;"")*ISNUMBER(SEARCH(WhoKW,INDEX(FormData,$W547,f_Who)&amp;""))*(ROW(WhoKW)-MIN(ROW(WhoKW))+1))))),""))</f>
        <v/>
      </c>
      <c r="F547" s="17">
        <f>IF($W547="","",TRIM(IFERROR(INDEX(FormData,$W547,f_Org1)&amp;"","")&amp;" "&amp;IFERROR(INDEX(FormData,$W547,f_Org2)&amp;"","")))</f>
        <v/>
      </c>
      <c r="G547" s="16">
        <f>IF($W547="","",IFERROR(INDEX(FormData,$W547,f_Region)&amp;"",""))</f>
        <v/>
      </c>
      <c r="H547" s="16">
        <f>IF($W547="","",IFERROR(IF(SUMPRODUCT(MAX((SitKW&lt;&gt;"")*ISNUMBER(SEARCH(SitKW,INDEX(FormData,$W547,f_Sit)&amp;""))*(ROW(SitKW)-MIN(ROW(SitKW))+1)))=0,"",INDEX(SitVal,SUMPRODUCT(MAX((SitKW&lt;&gt;"")*ISNUMBER(SEARCH(SitKW,INDEX(FormData,$W547,f_Sit)&amp;""))*(ROW(SitKW)-MIN(ROW(SitKW))+1))))),""))</f>
        <v/>
      </c>
      <c r="I547" s="14">
        <f>IF($W547="","",IFERROR(INDEX(FormData,$W547,f_Appr)&amp;"",""))</f>
        <v/>
      </c>
      <c r="J547" s="16">
        <f>IF($W547="","",IFERROR(INDEX(FormData,$W547,f_Trade)&amp;"",""))</f>
        <v/>
      </c>
      <c r="K547" s="16" t="n"/>
      <c r="L547" s="17" t="n"/>
      <c r="M547" s="16" t="n"/>
      <c r="N547" s="17" t="n"/>
      <c r="O547" s="14" t="n"/>
      <c r="P547" s="14" t="n"/>
      <c r="Q547" s="18" t="n"/>
      <c r="R547" s="18" t="n"/>
      <c r="S547" s="13">
        <f>IF($P547&lt;&gt;"✓","",IF($R547&lt;&gt;"","Done",IF($Q547="","Open — no date",IF($Q547&lt;TODAY(),"Overdue",IF($Q547-TODAY()&lt;=DueSoon,"Due soon","Scheduled")))))</f>
        <v/>
      </c>
      <c r="T547" s="14">
        <f>IF($W547="","",IFERROR(IF(INDEX(FormData,$W547,f_Consent)&amp;""="","",IF(ISNUMBER(SEARCH("yes",INDEX(FormData,$W547,f_Consent))),"Yes","No")),""))</f>
        <v/>
      </c>
      <c r="U547" s="14" t="n"/>
      <c r="V547" s="13">
        <f>IF($U547="","",IF($W547="","not found","✓"))</f>
        <v/>
      </c>
      <c r="W547">
        <f>IF($U547="","",IFERROR(MATCH($U547,INDEX(FormData,0,f_Id),0),IFERROR(MATCH(--$U547,INDEX(FormData,0,f_Id),0),IFERROR(MATCH($U547&amp;"",INDEX(FormData,0,f_Id),0),""))))</f>
        <v/>
      </c>
      <c r="X547">
        <f>IF(AND($B547&lt;&gt;"",$B547='Event Report'!$C$3),ROW(),"")</f>
        <v/>
      </c>
      <c r="Y547">
        <f>IF(AND($P547="✓",$R547=""),IF($Q547="",90000,$Q547)+ROW()/100000,"")</f>
        <v/>
      </c>
      <c r="Z547">
        <f>IF(OR($U547&lt;&gt;"",$D547&lt;&gt;"",$E547&lt;&gt;"",$N547&lt;&gt;""),1,"")</f>
        <v/>
      </c>
    </row>
    <row r="548">
      <c r="A548" s="13" t="inlineStr">
        <is>
          <t>P-0544</t>
        </is>
      </c>
      <c r="B548" s="14">
        <f>IF(AND($U548="",$C548=""),"",IFERROR(INDEX(EvID,MATCH(INDEX(FormData,$W548,f_Event),EvID,0)),IFERROR(INDEX(EvID,MATCH(INDEX(FormData,$W548,f_Event),EvName,0)),IFERROR(INDEX(EvID,MATCH(INT($C548),EvDate,0)),""))))</f>
        <v/>
      </c>
      <c r="C548" s="15">
        <f>IF($W548="","",INDEX(FormData,$W548,f_Time))</f>
        <v/>
      </c>
      <c r="D548" s="14">
        <f>IF($W548="","",IFERROR(UPPER(LEFT(TRIM(INDEX(FormData,$W548,f_Name)),1)&amp;IFERROR(MID(TRIM(INDEX(FormData,$W548,f_Name)),FIND("^",SUBSTITUTE(TRIM(INDEX(FormData,$W548,f_Name))," ","^",LEN(TRIM(INDEX(FormData,$W548,f_Name)))-LEN(SUBSTITUTE(TRIM(INDEX(FormData,$W548,f_Name))," ",""))))+1,1),"")),""))</f>
        <v/>
      </c>
      <c r="E548" s="16">
        <f>IF($W548="","",IFERROR(IF(SUMPRODUCT(MAX((WhoKW&lt;&gt;"")*ISNUMBER(SEARCH(WhoKW,INDEX(FormData,$W548,f_Who)&amp;""))*(ROW(WhoKW)-MIN(ROW(WhoKW))+1)))=0,"",INDEX(WhoVal,SUMPRODUCT(MAX((WhoKW&lt;&gt;"")*ISNUMBER(SEARCH(WhoKW,INDEX(FormData,$W548,f_Who)&amp;""))*(ROW(WhoKW)-MIN(ROW(WhoKW))+1))))),""))</f>
        <v/>
      </c>
      <c r="F548" s="17">
        <f>IF($W548="","",TRIM(IFERROR(INDEX(FormData,$W548,f_Org1)&amp;"","")&amp;" "&amp;IFERROR(INDEX(FormData,$W548,f_Org2)&amp;"","")))</f>
        <v/>
      </c>
      <c r="G548" s="16">
        <f>IF($W548="","",IFERROR(INDEX(FormData,$W548,f_Region)&amp;"",""))</f>
        <v/>
      </c>
      <c r="H548" s="16">
        <f>IF($W548="","",IFERROR(IF(SUMPRODUCT(MAX((SitKW&lt;&gt;"")*ISNUMBER(SEARCH(SitKW,INDEX(FormData,$W548,f_Sit)&amp;""))*(ROW(SitKW)-MIN(ROW(SitKW))+1)))=0,"",INDEX(SitVal,SUMPRODUCT(MAX((SitKW&lt;&gt;"")*ISNUMBER(SEARCH(SitKW,INDEX(FormData,$W548,f_Sit)&amp;""))*(ROW(SitKW)-MIN(ROW(SitKW))+1))))),""))</f>
        <v/>
      </c>
      <c r="I548" s="14">
        <f>IF($W548="","",IFERROR(INDEX(FormData,$W548,f_Appr)&amp;"",""))</f>
        <v/>
      </c>
      <c r="J548" s="16">
        <f>IF($W548="","",IFERROR(INDEX(FormData,$W548,f_Trade)&amp;"",""))</f>
        <v/>
      </c>
      <c r="K548" s="16" t="n"/>
      <c r="L548" s="17" t="n"/>
      <c r="M548" s="16" t="n"/>
      <c r="N548" s="17" t="n"/>
      <c r="O548" s="14" t="n"/>
      <c r="P548" s="14" t="n"/>
      <c r="Q548" s="18" t="n"/>
      <c r="R548" s="18" t="n"/>
      <c r="S548" s="13">
        <f>IF($P548&lt;&gt;"✓","",IF($R548&lt;&gt;"","Done",IF($Q548="","Open — no date",IF($Q548&lt;TODAY(),"Overdue",IF($Q548-TODAY()&lt;=DueSoon,"Due soon","Scheduled")))))</f>
        <v/>
      </c>
      <c r="T548" s="14">
        <f>IF($W548="","",IFERROR(IF(INDEX(FormData,$W548,f_Consent)&amp;""="","",IF(ISNUMBER(SEARCH("yes",INDEX(FormData,$W548,f_Consent))),"Yes","No")),""))</f>
        <v/>
      </c>
      <c r="U548" s="14" t="n"/>
      <c r="V548" s="13">
        <f>IF($U548="","",IF($W548="","not found","✓"))</f>
        <v/>
      </c>
      <c r="W548">
        <f>IF($U548="","",IFERROR(MATCH($U548,INDEX(FormData,0,f_Id),0),IFERROR(MATCH(--$U548,INDEX(FormData,0,f_Id),0),IFERROR(MATCH($U548&amp;"",INDEX(FormData,0,f_Id),0),""))))</f>
        <v/>
      </c>
      <c r="X548">
        <f>IF(AND($B548&lt;&gt;"",$B548='Event Report'!$C$3),ROW(),"")</f>
        <v/>
      </c>
      <c r="Y548">
        <f>IF(AND($P548="✓",$R548=""),IF($Q548="",90000,$Q548)+ROW()/100000,"")</f>
        <v/>
      </c>
      <c r="Z548">
        <f>IF(OR($U548&lt;&gt;"",$D548&lt;&gt;"",$E548&lt;&gt;"",$N548&lt;&gt;""),1,"")</f>
        <v/>
      </c>
    </row>
    <row r="549">
      <c r="A549" s="13" t="inlineStr">
        <is>
          <t>P-0545</t>
        </is>
      </c>
      <c r="B549" s="14">
        <f>IF(AND($U549="",$C549=""),"",IFERROR(INDEX(EvID,MATCH(INDEX(FormData,$W549,f_Event),EvID,0)),IFERROR(INDEX(EvID,MATCH(INDEX(FormData,$W549,f_Event),EvName,0)),IFERROR(INDEX(EvID,MATCH(INT($C549),EvDate,0)),""))))</f>
        <v/>
      </c>
      <c r="C549" s="15">
        <f>IF($W549="","",INDEX(FormData,$W549,f_Time))</f>
        <v/>
      </c>
      <c r="D549" s="14">
        <f>IF($W549="","",IFERROR(UPPER(LEFT(TRIM(INDEX(FormData,$W549,f_Name)),1)&amp;IFERROR(MID(TRIM(INDEX(FormData,$W549,f_Name)),FIND("^",SUBSTITUTE(TRIM(INDEX(FormData,$W549,f_Name))," ","^",LEN(TRIM(INDEX(FormData,$W549,f_Name)))-LEN(SUBSTITUTE(TRIM(INDEX(FormData,$W549,f_Name))," ",""))))+1,1),"")),""))</f>
        <v/>
      </c>
      <c r="E549" s="16">
        <f>IF($W549="","",IFERROR(IF(SUMPRODUCT(MAX((WhoKW&lt;&gt;"")*ISNUMBER(SEARCH(WhoKW,INDEX(FormData,$W549,f_Who)&amp;""))*(ROW(WhoKW)-MIN(ROW(WhoKW))+1)))=0,"",INDEX(WhoVal,SUMPRODUCT(MAX((WhoKW&lt;&gt;"")*ISNUMBER(SEARCH(WhoKW,INDEX(FormData,$W549,f_Who)&amp;""))*(ROW(WhoKW)-MIN(ROW(WhoKW))+1))))),""))</f>
        <v/>
      </c>
      <c r="F549" s="17">
        <f>IF($W549="","",TRIM(IFERROR(INDEX(FormData,$W549,f_Org1)&amp;"","")&amp;" "&amp;IFERROR(INDEX(FormData,$W549,f_Org2)&amp;"","")))</f>
        <v/>
      </c>
      <c r="G549" s="16">
        <f>IF($W549="","",IFERROR(INDEX(FormData,$W549,f_Region)&amp;"",""))</f>
        <v/>
      </c>
      <c r="H549" s="16">
        <f>IF($W549="","",IFERROR(IF(SUMPRODUCT(MAX((SitKW&lt;&gt;"")*ISNUMBER(SEARCH(SitKW,INDEX(FormData,$W549,f_Sit)&amp;""))*(ROW(SitKW)-MIN(ROW(SitKW))+1)))=0,"",INDEX(SitVal,SUMPRODUCT(MAX((SitKW&lt;&gt;"")*ISNUMBER(SEARCH(SitKW,INDEX(FormData,$W549,f_Sit)&amp;""))*(ROW(SitKW)-MIN(ROW(SitKW))+1))))),""))</f>
        <v/>
      </c>
      <c r="I549" s="14">
        <f>IF($W549="","",IFERROR(INDEX(FormData,$W549,f_Appr)&amp;"",""))</f>
        <v/>
      </c>
      <c r="J549" s="16">
        <f>IF($W549="","",IFERROR(INDEX(FormData,$W549,f_Trade)&amp;"",""))</f>
        <v/>
      </c>
      <c r="K549" s="16" t="n"/>
      <c r="L549" s="17" t="n"/>
      <c r="M549" s="16" t="n"/>
      <c r="N549" s="17" t="n"/>
      <c r="O549" s="14" t="n"/>
      <c r="P549" s="14" t="n"/>
      <c r="Q549" s="18" t="n"/>
      <c r="R549" s="18" t="n"/>
      <c r="S549" s="13">
        <f>IF($P549&lt;&gt;"✓","",IF($R549&lt;&gt;"","Done",IF($Q549="","Open — no date",IF($Q549&lt;TODAY(),"Overdue",IF($Q549-TODAY()&lt;=DueSoon,"Due soon","Scheduled")))))</f>
        <v/>
      </c>
      <c r="T549" s="14">
        <f>IF($W549="","",IFERROR(IF(INDEX(FormData,$W549,f_Consent)&amp;""="","",IF(ISNUMBER(SEARCH("yes",INDEX(FormData,$W549,f_Consent))),"Yes","No")),""))</f>
        <v/>
      </c>
      <c r="U549" s="14" t="n"/>
      <c r="V549" s="13">
        <f>IF($U549="","",IF($W549="","not found","✓"))</f>
        <v/>
      </c>
      <c r="W549">
        <f>IF($U549="","",IFERROR(MATCH($U549,INDEX(FormData,0,f_Id),0),IFERROR(MATCH(--$U549,INDEX(FormData,0,f_Id),0),IFERROR(MATCH($U549&amp;"",INDEX(FormData,0,f_Id),0),""))))</f>
        <v/>
      </c>
      <c r="X549">
        <f>IF(AND($B549&lt;&gt;"",$B549='Event Report'!$C$3),ROW(),"")</f>
        <v/>
      </c>
      <c r="Y549">
        <f>IF(AND($P549="✓",$R549=""),IF($Q549="",90000,$Q549)+ROW()/100000,"")</f>
        <v/>
      </c>
      <c r="Z549">
        <f>IF(OR($U549&lt;&gt;"",$D549&lt;&gt;"",$E549&lt;&gt;"",$N549&lt;&gt;""),1,"")</f>
        <v/>
      </c>
    </row>
    <row r="550">
      <c r="A550" s="13" t="inlineStr">
        <is>
          <t>P-0546</t>
        </is>
      </c>
      <c r="B550" s="14">
        <f>IF(AND($U550="",$C550=""),"",IFERROR(INDEX(EvID,MATCH(INDEX(FormData,$W550,f_Event),EvID,0)),IFERROR(INDEX(EvID,MATCH(INDEX(FormData,$W550,f_Event),EvName,0)),IFERROR(INDEX(EvID,MATCH(INT($C550),EvDate,0)),""))))</f>
        <v/>
      </c>
      <c r="C550" s="15">
        <f>IF($W550="","",INDEX(FormData,$W550,f_Time))</f>
        <v/>
      </c>
      <c r="D550" s="14">
        <f>IF($W550="","",IFERROR(UPPER(LEFT(TRIM(INDEX(FormData,$W550,f_Name)),1)&amp;IFERROR(MID(TRIM(INDEX(FormData,$W550,f_Name)),FIND("^",SUBSTITUTE(TRIM(INDEX(FormData,$W550,f_Name))," ","^",LEN(TRIM(INDEX(FormData,$W550,f_Name)))-LEN(SUBSTITUTE(TRIM(INDEX(FormData,$W550,f_Name))," ",""))))+1,1),"")),""))</f>
        <v/>
      </c>
      <c r="E550" s="16">
        <f>IF($W550="","",IFERROR(IF(SUMPRODUCT(MAX((WhoKW&lt;&gt;"")*ISNUMBER(SEARCH(WhoKW,INDEX(FormData,$W550,f_Who)&amp;""))*(ROW(WhoKW)-MIN(ROW(WhoKW))+1)))=0,"",INDEX(WhoVal,SUMPRODUCT(MAX((WhoKW&lt;&gt;"")*ISNUMBER(SEARCH(WhoKW,INDEX(FormData,$W550,f_Who)&amp;""))*(ROW(WhoKW)-MIN(ROW(WhoKW))+1))))),""))</f>
        <v/>
      </c>
      <c r="F550" s="17">
        <f>IF($W550="","",TRIM(IFERROR(INDEX(FormData,$W550,f_Org1)&amp;"","")&amp;" "&amp;IFERROR(INDEX(FormData,$W550,f_Org2)&amp;"","")))</f>
        <v/>
      </c>
      <c r="G550" s="16">
        <f>IF($W550="","",IFERROR(INDEX(FormData,$W550,f_Region)&amp;"",""))</f>
        <v/>
      </c>
      <c r="H550" s="16">
        <f>IF($W550="","",IFERROR(IF(SUMPRODUCT(MAX((SitKW&lt;&gt;"")*ISNUMBER(SEARCH(SitKW,INDEX(FormData,$W550,f_Sit)&amp;""))*(ROW(SitKW)-MIN(ROW(SitKW))+1)))=0,"",INDEX(SitVal,SUMPRODUCT(MAX((SitKW&lt;&gt;"")*ISNUMBER(SEARCH(SitKW,INDEX(FormData,$W550,f_Sit)&amp;""))*(ROW(SitKW)-MIN(ROW(SitKW))+1))))),""))</f>
        <v/>
      </c>
      <c r="I550" s="14">
        <f>IF($W550="","",IFERROR(INDEX(FormData,$W550,f_Appr)&amp;"",""))</f>
        <v/>
      </c>
      <c r="J550" s="16">
        <f>IF($W550="","",IFERROR(INDEX(FormData,$W550,f_Trade)&amp;"",""))</f>
        <v/>
      </c>
      <c r="K550" s="16" t="n"/>
      <c r="L550" s="17" t="n"/>
      <c r="M550" s="16" t="n"/>
      <c r="N550" s="17" t="n"/>
      <c r="O550" s="14" t="n"/>
      <c r="P550" s="14" t="n"/>
      <c r="Q550" s="18" t="n"/>
      <c r="R550" s="18" t="n"/>
      <c r="S550" s="13">
        <f>IF($P550&lt;&gt;"✓","",IF($R550&lt;&gt;"","Done",IF($Q550="","Open — no date",IF($Q550&lt;TODAY(),"Overdue",IF($Q550-TODAY()&lt;=DueSoon,"Due soon","Scheduled")))))</f>
        <v/>
      </c>
      <c r="T550" s="14">
        <f>IF($W550="","",IFERROR(IF(INDEX(FormData,$W550,f_Consent)&amp;""="","",IF(ISNUMBER(SEARCH("yes",INDEX(FormData,$W550,f_Consent))),"Yes","No")),""))</f>
        <v/>
      </c>
      <c r="U550" s="14" t="n"/>
      <c r="V550" s="13">
        <f>IF($U550="","",IF($W550="","not found","✓"))</f>
        <v/>
      </c>
      <c r="W550">
        <f>IF($U550="","",IFERROR(MATCH($U550,INDEX(FormData,0,f_Id),0),IFERROR(MATCH(--$U550,INDEX(FormData,0,f_Id),0),IFERROR(MATCH($U550&amp;"",INDEX(FormData,0,f_Id),0),""))))</f>
        <v/>
      </c>
      <c r="X550">
        <f>IF(AND($B550&lt;&gt;"",$B550='Event Report'!$C$3),ROW(),"")</f>
        <v/>
      </c>
      <c r="Y550">
        <f>IF(AND($P550="✓",$R550=""),IF($Q550="",90000,$Q550)+ROW()/100000,"")</f>
        <v/>
      </c>
      <c r="Z550">
        <f>IF(OR($U550&lt;&gt;"",$D550&lt;&gt;"",$E550&lt;&gt;"",$N550&lt;&gt;""),1,"")</f>
        <v/>
      </c>
    </row>
    <row r="551">
      <c r="A551" s="13" t="inlineStr">
        <is>
          <t>P-0547</t>
        </is>
      </c>
      <c r="B551" s="14">
        <f>IF(AND($U551="",$C551=""),"",IFERROR(INDEX(EvID,MATCH(INDEX(FormData,$W551,f_Event),EvID,0)),IFERROR(INDEX(EvID,MATCH(INDEX(FormData,$W551,f_Event),EvName,0)),IFERROR(INDEX(EvID,MATCH(INT($C551),EvDate,0)),""))))</f>
        <v/>
      </c>
      <c r="C551" s="15">
        <f>IF($W551="","",INDEX(FormData,$W551,f_Time))</f>
        <v/>
      </c>
      <c r="D551" s="14">
        <f>IF($W551="","",IFERROR(UPPER(LEFT(TRIM(INDEX(FormData,$W551,f_Name)),1)&amp;IFERROR(MID(TRIM(INDEX(FormData,$W551,f_Name)),FIND("^",SUBSTITUTE(TRIM(INDEX(FormData,$W551,f_Name))," ","^",LEN(TRIM(INDEX(FormData,$W551,f_Name)))-LEN(SUBSTITUTE(TRIM(INDEX(FormData,$W551,f_Name))," ",""))))+1,1),"")),""))</f>
        <v/>
      </c>
      <c r="E551" s="16">
        <f>IF($W551="","",IFERROR(IF(SUMPRODUCT(MAX((WhoKW&lt;&gt;"")*ISNUMBER(SEARCH(WhoKW,INDEX(FormData,$W551,f_Who)&amp;""))*(ROW(WhoKW)-MIN(ROW(WhoKW))+1)))=0,"",INDEX(WhoVal,SUMPRODUCT(MAX((WhoKW&lt;&gt;"")*ISNUMBER(SEARCH(WhoKW,INDEX(FormData,$W551,f_Who)&amp;""))*(ROW(WhoKW)-MIN(ROW(WhoKW))+1))))),""))</f>
        <v/>
      </c>
      <c r="F551" s="17">
        <f>IF($W551="","",TRIM(IFERROR(INDEX(FormData,$W551,f_Org1)&amp;"","")&amp;" "&amp;IFERROR(INDEX(FormData,$W551,f_Org2)&amp;"","")))</f>
        <v/>
      </c>
      <c r="G551" s="16">
        <f>IF($W551="","",IFERROR(INDEX(FormData,$W551,f_Region)&amp;"",""))</f>
        <v/>
      </c>
      <c r="H551" s="16">
        <f>IF($W551="","",IFERROR(IF(SUMPRODUCT(MAX((SitKW&lt;&gt;"")*ISNUMBER(SEARCH(SitKW,INDEX(FormData,$W551,f_Sit)&amp;""))*(ROW(SitKW)-MIN(ROW(SitKW))+1)))=0,"",INDEX(SitVal,SUMPRODUCT(MAX((SitKW&lt;&gt;"")*ISNUMBER(SEARCH(SitKW,INDEX(FormData,$W551,f_Sit)&amp;""))*(ROW(SitKW)-MIN(ROW(SitKW))+1))))),""))</f>
        <v/>
      </c>
      <c r="I551" s="14">
        <f>IF($W551="","",IFERROR(INDEX(FormData,$W551,f_Appr)&amp;"",""))</f>
        <v/>
      </c>
      <c r="J551" s="16">
        <f>IF($W551="","",IFERROR(INDEX(FormData,$W551,f_Trade)&amp;"",""))</f>
        <v/>
      </c>
      <c r="K551" s="16" t="n"/>
      <c r="L551" s="17" t="n"/>
      <c r="M551" s="16" t="n"/>
      <c r="N551" s="17" t="n"/>
      <c r="O551" s="14" t="n"/>
      <c r="P551" s="14" t="n"/>
      <c r="Q551" s="18" t="n"/>
      <c r="R551" s="18" t="n"/>
      <c r="S551" s="13">
        <f>IF($P551&lt;&gt;"✓","",IF($R551&lt;&gt;"","Done",IF($Q551="","Open — no date",IF($Q551&lt;TODAY(),"Overdue",IF($Q551-TODAY()&lt;=DueSoon,"Due soon","Scheduled")))))</f>
        <v/>
      </c>
      <c r="T551" s="14">
        <f>IF($W551="","",IFERROR(IF(INDEX(FormData,$W551,f_Consent)&amp;""="","",IF(ISNUMBER(SEARCH("yes",INDEX(FormData,$W551,f_Consent))),"Yes","No")),""))</f>
        <v/>
      </c>
      <c r="U551" s="14" t="n"/>
      <c r="V551" s="13">
        <f>IF($U551="","",IF($W551="","not found","✓"))</f>
        <v/>
      </c>
      <c r="W551">
        <f>IF($U551="","",IFERROR(MATCH($U551,INDEX(FormData,0,f_Id),0),IFERROR(MATCH(--$U551,INDEX(FormData,0,f_Id),0),IFERROR(MATCH($U551&amp;"",INDEX(FormData,0,f_Id),0),""))))</f>
        <v/>
      </c>
      <c r="X551">
        <f>IF(AND($B551&lt;&gt;"",$B551='Event Report'!$C$3),ROW(),"")</f>
        <v/>
      </c>
      <c r="Y551">
        <f>IF(AND($P551="✓",$R551=""),IF($Q551="",90000,$Q551)+ROW()/100000,"")</f>
        <v/>
      </c>
      <c r="Z551">
        <f>IF(OR($U551&lt;&gt;"",$D551&lt;&gt;"",$E551&lt;&gt;"",$N551&lt;&gt;""),1,"")</f>
        <v/>
      </c>
    </row>
    <row r="552">
      <c r="A552" s="13" t="inlineStr">
        <is>
          <t>P-0548</t>
        </is>
      </c>
      <c r="B552" s="14">
        <f>IF(AND($U552="",$C552=""),"",IFERROR(INDEX(EvID,MATCH(INDEX(FormData,$W552,f_Event),EvID,0)),IFERROR(INDEX(EvID,MATCH(INDEX(FormData,$W552,f_Event),EvName,0)),IFERROR(INDEX(EvID,MATCH(INT($C552),EvDate,0)),""))))</f>
        <v/>
      </c>
      <c r="C552" s="15">
        <f>IF($W552="","",INDEX(FormData,$W552,f_Time))</f>
        <v/>
      </c>
      <c r="D552" s="14">
        <f>IF($W552="","",IFERROR(UPPER(LEFT(TRIM(INDEX(FormData,$W552,f_Name)),1)&amp;IFERROR(MID(TRIM(INDEX(FormData,$W552,f_Name)),FIND("^",SUBSTITUTE(TRIM(INDEX(FormData,$W552,f_Name))," ","^",LEN(TRIM(INDEX(FormData,$W552,f_Name)))-LEN(SUBSTITUTE(TRIM(INDEX(FormData,$W552,f_Name))," ",""))))+1,1),"")),""))</f>
        <v/>
      </c>
      <c r="E552" s="16">
        <f>IF($W552="","",IFERROR(IF(SUMPRODUCT(MAX((WhoKW&lt;&gt;"")*ISNUMBER(SEARCH(WhoKW,INDEX(FormData,$W552,f_Who)&amp;""))*(ROW(WhoKW)-MIN(ROW(WhoKW))+1)))=0,"",INDEX(WhoVal,SUMPRODUCT(MAX((WhoKW&lt;&gt;"")*ISNUMBER(SEARCH(WhoKW,INDEX(FormData,$W552,f_Who)&amp;""))*(ROW(WhoKW)-MIN(ROW(WhoKW))+1))))),""))</f>
        <v/>
      </c>
      <c r="F552" s="17">
        <f>IF($W552="","",TRIM(IFERROR(INDEX(FormData,$W552,f_Org1)&amp;"","")&amp;" "&amp;IFERROR(INDEX(FormData,$W552,f_Org2)&amp;"","")))</f>
        <v/>
      </c>
      <c r="G552" s="16">
        <f>IF($W552="","",IFERROR(INDEX(FormData,$W552,f_Region)&amp;"",""))</f>
        <v/>
      </c>
      <c r="H552" s="16">
        <f>IF($W552="","",IFERROR(IF(SUMPRODUCT(MAX((SitKW&lt;&gt;"")*ISNUMBER(SEARCH(SitKW,INDEX(FormData,$W552,f_Sit)&amp;""))*(ROW(SitKW)-MIN(ROW(SitKW))+1)))=0,"",INDEX(SitVal,SUMPRODUCT(MAX((SitKW&lt;&gt;"")*ISNUMBER(SEARCH(SitKW,INDEX(FormData,$W552,f_Sit)&amp;""))*(ROW(SitKW)-MIN(ROW(SitKW))+1))))),""))</f>
        <v/>
      </c>
      <c r="I552" s="14">
        <f>IF($W552="","",IFERROR(INDEX(FormData,$W552,f_Appr)&amp;"",""))</f>
        <v/>
      </c>
      <c r="J552" s="16">
        <f>IF($W552="","",IFERROR(INDEX(FormData,$W552,f_Trade)&amp;"",""))</f>
        <v/>
      </c>
      <c r="K552" s="16" t="n"/>
      <c r="L552" s="17" t="n"/>
      <c r="M552" s="16" t="n"/>
      <c r="N552" s="17" t="n"/>
      <c r="O552" s="14" t="n"/>
      <c r="P552" s="14" t="n"/>
      <c r="Q552" s="18" t="n"/>
      <c r="R552" s="18" t="n"/>
      <c r="S552" s="13">
        <f>IF($P552&lt;&gt;"✓","",IF($R552&lt;&gt;"","Done",IF($Q552="","Open — no date",IF($Q552&lt;TODAY(),"Overdue",IF($Q552-TODAY()&lt;=DueSoon,"Due soon","Scheduled")))))</f>
        <v/>
      </c>
      <c r="T552" s="14">
        <f>IF($W552="","",IFERROR(IF(INDEX(FormData,$W552,f_Consent)&amp;""="","",IF(ISNUMBER(SEARCH("yes",INDEX(FormData,$W552,f_Consent))),"Yes","No")),""))</f>
        <v/>
      </c>
      <c r="U552" s="14" t="n"/>
      <c r="V552" s="13">
        <f>IF($U552="","",IF($W552="","not found","✓"))</f>
        <v/>
      </c>
      <c r="W552">
        <f>IF($U552="","",IFERROR(MATCH($U552,INDEX(FormData,0,f_Id),0),IFERROR(MATCH(--$U552,INDEX(FormData,0,f_Id),0),IFERROR(MATCH($U552&amp;"",INDEX(FormData,0,f_Id),0),""))))</f>
        <v/>
      </c>
      <c r="X552">
        <f>IF(AND($B552&lt;&gt;"",$B552='Event Report'!$C$3),ROW(),"")</f>
        <v/>
      </c>
      <c r="Y552">
        <f>IF(AND($P552="✓",$R552=""),IF($Q552="",90000,$Q552)+ROW()/100000,"")</f>
        <v/>
      </c>
      <c r="Z552">
        <f>IF(OR($U552&lt;&gt;"",$D552&lt;&gt;"",$E552&lt;&gt;"",$N552&lt;&gt;""),1,"")</f>
        <v/>
      </c>
    </row>
    <row r="553">
      <c r="A553" s="13" t="inlineStr">
        <is>
          <t>P-0549</t>
        </is>
      </c>
      <c r="B553" s="14">
        <f>IF(AND($U553="",$C553=""),"",IFERROR(INDEX(EvID,MATCH(INDEX(FormData,$W553,f_Event),EvID,0)),IFERROR(INDEX(EvID,MATCH(INDEX(FormData,$W553,f_Event),EvName,0)),IFERROR(INDEX(EvID,MATCH(INT($C553),EvDate,0)),""))))</f>
        <v/>
      </c>
      <c r="C553" s="15">
        <f>IF($W553="","",INDEX(FormData,$W553,f_Time))</f>
        <v/>
      </c>
      <c r="D553" s="14">
        <f>IF($W553="","",IFERROR(UPPER(LEFT(TRIM(INDEX(FormData,$W553,f_Name)),1)&amp;IFERROR(MID(TRIM(INDEX(FormData,$W553,f_Name)),FIND("^",SUBSTITUTE(TRIM(INDEX(FormData,$W553,f_Name))," ","^",LEN(TRIM(INDEX(FormData,$W553,f_Name)))-LEN(SUBSTITUTE(TRIM(INDEX(FormData,$W553,f_Name))," ",""))))+1,1),"")),""))</f>
        <v/>
      </c>
      <c r="E553" s="16">
        <f>IF($W553="","",IFERROR(IF(SUMPRODUCT(MAX((WhoKW&lt;&gt;"")*ISNUMBER(SEARCH(WhoKW,INDEX(FormData,$W553,f_Who)&amp;""))*(ROW(WhoKW)-MIN(ROW(WhoKW))+1)))=0,"",INDEX(WhoVal,SUMPRODUCT(MAX((WhoKW&lt;&gt;"")*ISNUMBER(SEARCH(WhoKW,INDEX(FormData,$W553,f_Who)&amp;""))*(ROW(WhoKW)-MIN(ROW(WhoKW))+1))))),""))</f>
        <v/>
      </c>
      <c r="F553" s="17">
        <f>IF($W553="","",TRIM(IFERROR(INDEX(FormData,$W553,f_Org1)&amp;"","")&amp;" "&amp;IFERROR(INDEX(FormData,$W553,f_Org2)&amp;"","")))</f>
        <v/>
      </c>
      <c r="G553" s="16">
        <f>IF($W553="","",IFERROR(INDEX(FormData,$W553,f_Region)&amp;"",""))</f>
        <v/>
      </c>
      <c r="H553" s="16">
        <f>IF($W553="","",IFERROR(IF(SUMPRODUCT(MAX((SitKW&lt;&gt;"")*ISNUMBER(SEARCH(SitKW,INDEX(FormData,$W553,f_Sit)&amp;""))*(ROW(SitKW)-MIN(ROW(SitKW))+1)))=0,"",INDEX(SitVal,SUMPRODUCT(MAX((SitKW&lt;&gt;"")*ISNUMBER(SEARCH(SitKW,INDEX(FormData,$W553,f_Sit)&amp;""))*(ROW(SitKW)-MIN(ROW(SitKW))+1))))),""))</f>
        <v/>
      </c>
      <c r="I553" s="14">
        <f>IF($W553="","",IFERROR(INDEX(FormData,$W553,f_Appr)&amp;"",""))</f>
        <v/>
      </c>
      <c r="J553" s="16">
        <f>IF($W553="","",IFERROR(INDEX(FormData,$W553,f_Trade)&amp;"",""))</f>
        <v/>
      </c>
      <c r="K553" s="16" t="n"/>
      <c r="L553" s="17" t="n"/>
      <c r="M553" s="16" t="n"/>
      <c r="N553" s="17" t="n"/>
      <c r="O553" s="14" t="n"/>
      <c r="P553" s="14" t="n"/>
      <c r="Q553" s="18" t="n"/>
      <c r="R553" s="18" t="n"/>
      <c r="S553" s="13">
        <f>IF($P553&lt;&gt;"✓","",IF($R553&lt;&gt;"","Done",IF($Q553="","Open — no date",IF($Q553&lt;TODAY(),"Overdue",IF($Q553-TODAY()&lt;=DueSoon,"Due soon","Scheduled")))))</f>
        <v/>
      </c>
      <c r="T553" s="14">
        <f>IF($W553="","",IFERROR(IF(INDEX(FormData,$W553,f_Consent)&amp;""="","",IF(ISNUMBER(SEARCH("yes",INDEX(FormData,$W553,f_Consent))),"Yes","No")),""))</f>
        <v/>
      </c>
      <c r="U553" s="14" t="n"/>
      <c r="V553" s="13">
        <f>IF($U553="","",IF($W553="","not found","✓"))</f>
        <v/>
      </c>
      <c r="W553">
        <f>IF($U553="","",IFERROR(MATCH($U553,INDEX(FormData,0,f_Id),0),IFERROR(MATCH(--$U553,INDEX(FormData,0,f_Id),0),IFERROR(MATCH($U553&amp;"",INDEX(FormData,0,f_Id),0),""))))</f>
        <v/>
      </c>
      <c r="X553">
        <f>IF(AND($B553&lt;&gt;"",$B553='Event Report'!$C$3),ROW(),"")</f>
        <v/>
      </c>
      <c r="Y553">
        <f>IF(AND($P553="✓",$R553=""),IF($Q553="",90000,$Q553)+ROW()/100000,"")</f>
        <v/>
      </c>
      <c r="Z553">
        <f>IF(OR($U553&lt;&gt;"",$D553&lt;&gt;"",$E553&lt;&gt;"",$N553&lt;&gt;""),1,"")</f>
        <v/>
      </c>
    </row>
    <row r="554">
      <c r="A554" s="13" t="inlineStr">
        <is>
          <t>P-0550</t>
        </is>
      </c>
      <c r="B554" s="14">
        <f>IF(AND($U554="",$C554=""),"",IFERROR(INDEX(EvID,MATCH(INDEX(FormData,$W554,f_Event),EvID,0)),IFERROR(INDEX(EvID,MATCH(INDEX(FormData,$W554,f_Event),EvName,0)),IFERROR(INDEX(EvID,MATCH(INT($C554),EvDate,0)),""))))</f>
        <v/>
      </c>
      <c r="C554" s="15">
        <f>IF($W554="","",INDEX(FormData,$W554,f_Time))</f>
        <v/>
      </c>
      <c r="D554" s="14">
        <f>IF($W554="","",IFERROR(UPPER(LEFT(TRIM(INDEX(FormData,$W554,f_Name)),1)&amp;IFERROR(MID(TRIM(INDEX(FormData,$W554,f_Name)),FIND("^",SUBSTITUTE(TRIM(INDEX(FormData,$W554,f_Name))," ","^",LEN(TRIM(INDEX(FormData,$W554,f_Name)))-LEN(SUBSTITUTE(TRIM(INDEX(FormData,$W554,f_Name))," ",""))))+1,1),"")),""))</f>
        <v/>
      </c>
      <c r="E554" s="16">
        <f>IF($W554="","",IFERROR(IF(SUMPRODUCT(MAX((WhoKW&lt;&gt;"")*ISNUMBER(SEARCH(WhoKW,INDEX(FormData,$W554,f_Who)&amp;""))*(ROW(WhoKW)-MIN(ROW(WhoKW))+1)))=0,"",INDEX(WhoVal,SUMPRODUCT(MAX((WhoKW&lt;&gt;"")*ISNUMBER(SEARCH(WhoKW,INDEX(FormData,$W554,f_Who)&amp;""))*(ROW(WhoKW)-MIN(ROW(WhoKW))+1))))),""))</f>
        <v/>
      </c>
      <c r="F554" s="17">
        <f>IF($W554="","",TRIM(IFERROR(INDEX(FormData,$W554,f_Org1)&amp;"","")&amp;" "&amp;IFERROR(INDEX(FormData,$W554,f_Org2)&amp;"","")))</f>
        <v/>
      </c>
      <c r="G554" s="16">
        <f>IF($W554="","",IFERROR(INDEX(FormData,$W554,f_Region)&amp;"",""))</f>
        <v/>
      </c>
      <c r="H554" s="16">
        <f>IF($W554="","",IFERROR(IF(SUMPRODUCT(MAX((SitKW&lt;&gt;"")*ISNUMBER(SEARCH(SitKW,INDEX(FormData,$W554,f_Sit)&amp;""))*(ROW(SitKW)-MIN(ROW(SitKW))+1)))=0,"",INDEX(SitVal,SUMPRODUCT(MAX((SitKW&lt;&gt;"")*ISNUMBER(SEARCH(SitKW,INDEX(FormData,$W554,f_Sit)&amp;""))*(ROW(SitKW)-MIN(ROW(SitKW))+1))))),""))</f>
        <v/>
      </c>
      <c r="I554" s="14">
        <f>IF($W554="","",IFERROR(INDEX(FormData,$W554,f_Appr)&amp;"",""))</f>
        <v/>
      </c>
      <c r="J554" s="16">
        <f>IF($W554="","",IFERROR(INDEX(FormData,$W554,f_Trade)&amp;"",""))</f>
        <v/>
      </c>
      <c r="K554" s="16" t="n"/>
      <c r="L554" s="17" t="n"/>
      <c r="M554" s="16" t="n"/>
      <c r="N554" s="17" t="n"/>
      <c r="O554" s="14" t="n"/>
      <c r="P554" s="14" t="n"/>
      <c r="Q554" s="18" t="n"/>
      <c r="R554" s="18" t="n"/>
      <c r="S554" s="13">
        <f>IF($P554&lt;&gt;"✓","",IF($R554&lt;&gt;"","Done",IF($Q554="","Open — no date",IF($Q554&lt;TODAY(),"Overdue",IF($Q554-TODAY()&lt;=DueSoon,"Due soon","Scheduled")))))</f>
        <v/>
      </c>
      <c r="T554" s="14">
        <f>IF($W554="","",IFERROR(IF(INDEX(FormData,$W554,f_Consent)&amp;""="","",IF(ISNUMBER(SEARCH("yes",INDEX(FormData,$W554,f_Consent))),"Yes","No")),""))</f>
        <v/>
      </c>
      <c r="U554" s="14" t="n"/>
      <c r="V554" s="13">
        <f>IF($U554="","",IF($W554="","not found","✓"))</f>
        <v/>
      </c>
      <c r="W554">
        <f>IF($U554="","",IFERROR(MATCH($U554,INDEX(FormData,0,f_Id),0),IFERROR(MATCH(--$U554,INDEX(FormData,0,f_Id),0),IFERROR(MATCH($U554&amp;"",INDEX(FormData,0,f_Id),0),""))))</f>
        <v/>
      </c>
      <c r="X554">
        <f>IF(AND($B554&lt;&gt;"",$B554='Event Report'!$C$3),ROW(),"")</f>
        <v/>
      </c>
      <c r="Y554">
        <f>IF(AND($P554="✓",$R554=""),IF($Q554="",90000,$Q554)+ROW()/100000,"")</f>
        <v/>
      </c>
      <c r="Z554">
        <f>IF(OR($U554&lt;&gt;"",$D554&lt;&gt;"",$E554&lt;&gt;"",$N554&lt;&gt;""),1,"")</f>
        <v/>
      </c>
    </row>
    <row r="555">
      <c r="A555" s="13" t="inlineStr">
        <is>
          <t>P-0551</t>
        </is>
      </c>
      <c r="B555" s="14">
        <f>IF(AND($U555="",$C555=""),"",IFERROR(INDEX(EvID,MATCH(INDEX(FormData,$W555,f_Event),EvID,0)),IFERROR(INDEX(EvID,MATCH(INDEX(FormData,$W555,f_Event),EvName,0)),IFERROR(INDEX(EvID,MATCH(INT($C555),EvDate,0)),""))))</f>
        <v/>
      </c>
      <c r="C555" s="15">
        <f>IF($W555="","",INDEX(FormData,$W555,f_Time))</f>
        <v/>
      </c>
      <c r="D555" s="14">
        <f>IF($W555="","",IFERROR(UPPER(LEFT(TRIM(INDEX(FormData,$W555,f_Name)),1)&amp;IFERROR(MID(TRIM(INDEX(FormData,$W555,f_Name)),FIND("^",SUBSTITUTE(TRIM(INDEX(FormData,$W555,f_Name))," ","^",LEN(TRIM(INDEX(FormData,$W555,f_Name)))-LEN(SUBSTITUTE(TRIM(INDEX(FormData,$W555,f_Name))," ",""))))+1,1),"")),""))</f>
        <v/>
      </c>
      <c r="E555" s="16">
        <f>IF($W555="","",IFERROR(IF(SUMPRODUCT(MAX((WhoKW&lt;&gt;"")*ISNUMBER(SEARCH(WhoKW,INDEX(FormData,$W555,f_Who)&amp;""))*(ROW(WhoKW)-MIN(ROW(WhoKW))+1)))=0,"",INDEX(WhoVal,SUMPRODUCT(MAX((WhoKW&lt;&gt;"")*ISNUMBER(SEARCH(WhoKW,INDEX(FormData,$W555,f_Who)&amp;""))*(ROW(WhoKW)-MIN(ROW(WhoKW))+1))))),""))</f>
        <v/>
      </c>
      <c r="F555" s="17">
        <f>IF($W555="","",TRIM(IFERROR(INDEX(FormData,$W555,f_Org1)&amp;"","")&amp;" "&amp;IFERROR(INDEX(FormData,$W555,f_Org2)&amp;"","")))</f>
        <v/>
      </c>
      <c r="G555" s="16">
        <f>IF($W555="","",IFERROR(INDEX(FormData,$W555,f_Region)&amp;"",""))</f>
        <v/>
      </c>
      <c r="H555" s="16">
        <f>IF($W555="","",IFERROR(IF(SUMPRODUCT(MAX((SitKW&lt;&gt;"")*ISNUMBER(SEARCH(SitKW,INDEX(FormData,$W555,f_Sit)&amp;""))*(ROW(SitKW)-MIN(ROW(SitKW))+1)))=0,"",INDEX(SitVal,SUMPRODUCT(MAX((SitKW&lt;&gt;"")*ISNUMBER(SEARCH(SitKW,INDEX(FormData,$W555,f_Sit)&amp;""))*(ROW(SitKW)-MIN(ROW(SitKW))+1))))),""))</f>
        <v/>
      </c>
      <c r="I555" s="14">
        <f>IF($W555="","",IFERROR(INDEX(FormData,$W555,f_Appr)&amp;"",""))</f>
        <v/>
      </c>
      <c r="J555" s="16">
        <f>IF($W555="","",IFERROR(INDEX(FormData,$W555,f_Trade)&amp;"",""))</f>
        <v/>
      </c>
      <c r="K555" s="16" t="n"/>
      <c r="L555" s="17" t="n"/>
      <c r="M555" s="16" t="n"/>
      <c r="N555" s="17" t="n"/>
      <c r="O555" s="14" t="n"/>
      <c r="P555" s="14" t="n"/>
      <c r="Q555" s="18" t="n"/>
      <c r="R555" s="18" t="n"/>
      <c r="S555" s="13">
        <f>IF($P555&lt;&gt;"✓","",IF($R555&lt;&gt;"","Done",IF($Q555="","Open — no date",IF($Q555&lt;TODAY(),"Overdue",IF($Q555-TODAY()&lt;=DueSoon,"Due soon","Scheduled")))))</f>
        <v/>
      </c>
      <c r="T555" s="14">
        <f>IF($W555="","",IFERROR(IF(INDEX(FormData,$W555,f_Consent)&amp;""="","",IF(ISNUMBER(SEARCH("yes",INDEX(FormData,$W555,f_Consent))),"Yes","No")),""))</f>
        <v/>
      </c>
      <c r="U555" s="14" t="n"/>
      <c r="V555" s="13">
        <f>IF($U555="","",IF($W555="","not found","✓"))</f>
        <v/>
      </c>
      <c r="W555">
        <f>IF($U555="","",IFERROR(MATCH($U555,INDEX(FormData,0,f_Id),0),IFERROR(MATCH(--$U555,INDEX(FormData,0,f_Id),0),IFERROR(MATCH($U555&amp;"",INDEX(FormData,0,f_Id),0),""))))</f>
        <v/>
      </c>
      <c r="X555">
        <f>IF(AND($B555&lt;&gt;"",$B555='Event Report'!$C$3),ROW(),"")</f>
        <v/>
      </c>
      <c r="Y555">
        <f>IF(AND($P555="✓",$R555=""),IF($Q555="",90000,$Q555)+ROW()/100000,"")</f>
        <v/>
      </c>
      <c r="Z555">
        <f>IF(OR($U555&lt;&gt;"",$D555&lt;&gt;"",$E555&lt;&gt;"",$N555&lt;&gt;""),1,"")</f>
        <v/>
      </c>
    </row>
    <row r="556">
      <c r="A556" s="13" t="inlineStr">
        <is>
          <t>P-0552</t>
        </is>
      </c>
      <c r="B556" s="14">
        <f>IF(AND($U556="",$C556=""),"",IFERROR(INDEX(EvID,MATCH(INDEX(FormData,$W556,f_Event),EvID,0)),IFERROR(INDEX(EvID,MATCH(INDEX(FormData,$W556,f_Event),EvName,0)),IFERROR(INDEX(EvID,MATCH(INT($C556),EvDate,0)),""))))</f>
        <v/>
      </c>
      <c r="C556" s="15">
        <f>IF($W556="","",INDEX(FormData,$W556,f_Time))</f>
        <v/>
      </c>
      <c r="D556" s="14">
        <f>IF($W556="","",IFERROR(UPPER(LEFT(TRIM(INDEX(FormData,$W556,f_Name)),1)&amp;IFERROR(MID(TRIM(INDEX(FormData,$W556,f_Name)),FIND("^",SUBSTITUTE(TRIM(INDEX(FormData,$W556,f_Name))," ","^",LEN(TRIM(INDEX(FormData,$W556,f_Name)))-LEN(SUBSTITUTE(TRIM(INDEX(FormData,$W556,f_Name))," ",""))))+1,1),"")),""))</f>
        <v/>
      </c>
      <c r="E556" s="16">
        <f>IF($W556="","",IFERROR(IF(SUMPRODUCT(MAX((WhoKW&lt;&gt;"")*ISNUMBER(SEARCH(WhoKW,INDEX(FormData,$W556,f_Who)&amp;""))*(ROW(WhoKW)-MIN(ROW(WhoKW))+1)))=0,"",INDEX(WhoVal,SUMPRODUCT(MAX((WhoKW&lt;&gt;"")*ISNUMBER(SEARCH(WhoKW,INDEX(FormData,$W556,f_Who)&amp;""))*(ROW(WhoKW)-MIN(ROW(WhoKW))+1))))),""))</f>
        <v/>
      </c>
      <c r="F556" s="17">
        <f>IF($W556="","",TRIM(IFERROR(INDEX(FormData,$W556,f_Org1)&amp;"","")&amp;" "&amp;IFERROR(INDEX(FormData,$W556,f_Org2)&amp;"","")))</f>
        <v/>
      </c>
      <c r="G556" s="16">
        <f>IF($W556="","",IFERROR(INDEX(FormData,$W556,f_Region)&amp;"",""))</f>
        <v/>
      </c>
      <c r="H556" s="16">
        <f>IF($W556="","",IFERROR(IF(SUMPRODUCT(MAX((SitKW&lt;&gt;"")*ISNUMBER(SEARCH(SitKW,INDEX(FormData,$W556,f_Sit)&amp;""))*(ROW(SitKW)-MIN(ROW(SitKW))+1)))=0,"",INDEX(SitVal,SUMPRODUCT(MAX((SitKW&lt;&gt;"")*ISNUMBER(SEARCH(SitKW,INDEX(FormData,$W556,f_Sit)&amp;""))*(ROW(SitKW)-MIN(ROW(SitKW))+1))))),""))</f>
        <v/>
      </c>
      <c r="I556" s="14">
        <f>IF($W556="","",IFERROR(INDEX(FormData,$W556,f_Appr)&amp;"",""))</f>
        <v/>
      </c>
      <c r="J556" s="16">
        <f>IF($W556="","",IFERROR(INDEX(FormData,$W556,f_Trade)&amp;"",""))</f>
        <v/>
      </c>
      <c r="K556" s="16" t="n"/>
      <c r="L556" s="17" t="n"/>
      <c r="M556" s="16" t="n"/>
      <c r="N556" s="17" t="n"/>
      <c r="O556" s="14" t="n"/>
      <c r="P556" s="14" t="n"/>
      <c r="Q556" s="18" t="n"/>
      <c r="R556" s="18" t="n"/>
      <c r="S556" s="13">
        <f>IF($P556&lt;&gt;"✓","",IF($R556&lt;&gt;"","Done",IF($Q556="","Open — no date",IF($Q556&lt;TODAY(),"Overdue",IF($Q556-TODAY()&lt;=DueSoon,"Due soon","Scheduled")))))</f>
        <v/>
      </c>
      <c r="T556" s="14">
        <f>IF($W556="","",IFERROR(IF(INDEX(FormData,$W556,f_Consent)&amp;""="","",IF(ISNUMBER(SEARCH("yes",INDEX(FormData,$W556,f_Consent))),"Yes","No")),""))</f>
        <v/>
      </c>
      <c r="U556" s="14" t="n"/>
      <c r="V556" s="13">
        <f>IF($U556="","",IF($W556="","not found","✓"))</f>
        <v/>
      </c>
      <c r="W556">
        <f>IF($U556="","",IFERROR(MATCH($U556,INDEX(FormData,0,f_Id),0),IFERROR(MATCH(--$U556,INDEX(FormData,0,f_Id),0),IFERROR(MATCH($U556&amp;"",INDEX(FormData,0,f_Id),0),""))))</f>
        <v/>
      </c>
      <c r="X556">
        <f>IF(AND($B556&lt;&gt;"",$B556='Event Report'!$C$3),ROW(),"")</f>
        <v/>
      </c>
      <c r="Y556">
        <f>IF(AND($P556="✓",$R556=""),IF($Q556="",90000,$Q556)+ROW()/100000,"")</f>
        <v/>
      </c>
      <c r="Z556">
        <f>IF(OR($U556&lt;&gt;"",$D556&lt;&gt;"",$E556&lt;&gt;"",$N556&lt;&gt;""),1,"")</f>
        <v/>
      </c>
    </row>
    <row r="557">
      <c r="A557" s="13" t="inlineStr">
        <is>
          <t>P-0553</t>
        </is>
      </c>
      <c r="B557" s="14">
        <f>IF(AND($U557="",$C557=""),"",IFERROR(INDEX(EvID,MATCH(INDEX(FormData,$W557,f_Event),EvID,0)),IFERROR(INDEX(EvID,MATCH(INDEX(FormData,$W557,f_Event),EvName,0)),IFERROR(INDEX(EvID,MATCH(INT($C557),EvDate,0)),""))))</f>
        <v/>
      </c>
      <c r="C557" s="15">
        <f>IF($W557="","",INDEX(FormData,$W557,f_Time))</f>
        <v/>
      </c>
      <c r="D557" s="14">
        <f>IF($W557="","",IFERROR(UPPER(LEFT(TRIM(INDEX(FormData,$W557,f_Name)),1)&amp;IFERROR(MID(TRIM(INDEX(FormData,$W557,f_Name)),FIND("^",SUBSTITUTE(TRIM(INDEX(FormData,$W557,f_Name))," ","^",LEN(TRIM(INDEX(FormData,$W557,f_Name)))-LEN(SUBSTITUTE(TRIM(INDEX(FormData,$W557,f_Name))," ",""))))+1,1),"")),""))</f>
        <v/>
      </c>
      <c r="E557" s="16">
        <f>IF($W557="","",IFERROR(IF(SUMPRODUCT(MAX((WhoKW&lt;&gt;"")*ISNUMBER(SEARCH(WhoKW,INDEX(FormData,$W557,f_Who)&amp;""))*(ROW(WhoKW)-MIN(ROW(WhoKW))+1)))=0,"",INDEX(WhoVal,SUMPRODUCT(MAX((WhoKW&lt;&gt;"")*ISNUMBER(SEARCH(WhoKW,INDEX(FormData,$W557,f_Who)&amp;""))*(ROW(WhoKW)-MIN(ROW(WhoKW))+1))))),""))</f>
        <v/>
      </c>
      <c r="F557" s="17">
        <f>IF($W557="","",TRIM(IFERROR(INDEX(FormData,$W557,f_Org1)&amp;"","")&amp;" "&amp;IFERROR(INDEX(FormData,$W557,f_Org2)&amp;"","")))</f>
        <v/>
      </c>
      <c r="G557" s="16">
        <f>IF($W557="","",IFERROR(INDEX(FormData,$W557,f_Region)&amp;"",""))</f>
        <v/>
      </c>
      <c r="H557" s="16">
        <f>IF($W557="","",IFERROR(IF(SUMPRODUCT(MAX((SitKW&lt;&gt;"")*ISNUMBER(SEARCH(SitKW,INDEX(FormData,$W557,f_Sit)&amp;""))*(ROW(SitKW)-MIN(ROW(SitKW))+1)))=0,"",INDEX(SitVal,SUMPRODUCT(MAX((SitKW&lt;&gt;"")*ISNUMBER(SEARCH(SitKW,INDEX(FormData,$W557,f_Sit)&amp;""))*(ROW(SitKW)-MIN(ROW(SitKW))+1))))),""))</f>
        <v/>
      </c>
      <c r="I557" s="14">
        <f>IF($W557="","",IFERROR(INDEX(FormData,$W557,f_Appr)&amp;"",""))</f>
        <v/>
      </c>
      <c r="J557" s="16">
        <f>IF($W557="","",IFERROR(INDEX(FormData,$W557,f_Trade)&amp;"",""))</f>
        <v/>
      </c>
      <c r="K557" s="16" t="n"/>
      <c r="L557" s="17" t="n"/>
      <c r="M557" s="16" t="n"/>
      <c r="N557" s="17" t="n"/>
      <c r="O557" s="14" t="n"/>
      <c r="P557" s="14" t="n"/>
      <c r="Q557" s="18" t="n"/>
      <c r="R557" s="18" t="n"/>
      <c r="S557" s="13">
        <f>IF($P557&lt;&gt;"✓","",IF($R557&lt;&gt;"","Done",IF($Q557="","Open — no date",IF($Q557&lt;TODAY(),"Overdue",IF($Q557-TODAY()&lt;=DueSoon,"Due soon","Scheduled")))))</f>
        <v/>
      </c>
      <c r="T557" s="14">
        <f>IF($W557="","",IFERROR(IF(INDEX(FormData,$W557,f_Consent)&amp;""="","",IF(ISNUMBER(SEARCH("yes",INDEX(FormData,$W557,f_Consent))),"Yes","No")),""))</f>
        <v/>
      </c>
      <c r="U557" s="14" t="n"/>
      <c r="V557" s="13">
        <f>IF($U557="","",IF($W557="","not found","✓"))</f>
        <v/>
      </c>
      <c r="W557">
        <f>IF($U557="","",IFERROR(MATCH($U557,INDEX(FormData,0,f_Id),0),IFERROR(MATCH(--$U557,INDEX(FormData,0,f_Id),0),IFERROR(MATCH($U557&amp;"",INDEX(FormData,0,f_Id),0),""))))</f>
        <v/>
      </c>
      <c r="X557">
        <f>IF(AND($B557&lt;&gt;"",$B557='Event Report'!$C$3),ROW(),"")</f>
        <v/>
      </c>
      <c r="Y557">
        <f>IF(AND($P557="✓",$R557=""),IF($Q557="",90000,$Q557)+ROW()/100000,"")</f>
        <v/>
      </c>
      <c r="Z557">
        <f>IF(OR($U557&lt;&gt;"",$D557&lt;&gt;"",$E557&lt;&gt;"",$N557&lt;&gt;""),1,"")</f>
        <v/>
      </c>
    </row>
    <row r="558">
      <c r="A558" s="13" t="inlineStr">
        <is>
          <t>P-0554</t>
        </is>
      </c>
      <c r="B558" s="14">
        <f>IF(AND($U558="",$C558=""),"",IFERROR(INDEX(EvID,MATCH(INDEX(FormData,$W558,f_Event),EvID,0)),IFERROR(INDEX(EvID,MATCH(INDEX(FormData,$W558,f_Event),EvName,0)),IFERROR(INDEX(EvID,MATCH(INT($C558),EvDate,0)),""))))</f>
        <v/>
      </c>
      <c r="C558" s="15">
        <f>IF($W558="","",INDEX(FormData,$W558,f_Time))</f>
        <v/>
      </c>
      <c r="D558" s="14">
        <f>IF($W558="","",IFERROR(UPPER(LEFT(TRIM(INDEX(FormData,$W558,f_Name)),1)&amp;IFERROR(MID(TRIM(INDEX(FormData,$W558,f_Name)),FIND("^",SUBSTITUTE(TRIM(INDEX(FormData,$W558,f_Name))," ","^",LEN(TRIM(INDEX(FormData,$W558,f_Name)))-LEN(SUBSTITUTE(TRIM(INDEX(FormData,$W558,f_Name))," ",""))))+1,1),"")),""))</f>
        <v/>
      </c>
      <c r="E558" s="16">
        <f>IF($W558="","",IFERROR(IF(SUMPRODUCT(MAX((WhoKW&lt;&gt;"")*ISNUMBER(SEARCH(WhoKW,INDEX(FormData,$W558,f_Who)&amp;""))*(ROW(WhoKW)-MIN(ROW(WhoKW))+1)))=0,"",INDEX(WhoVal,SUMPRODUCT(MAX((WhoKW&lt;&gt;"")*ISNUMBER(SEARCH(WhoKW,INDEX(FormData,$W558,f_Who)&amp;""))*(ROW(WhoKW)-MIN(ROW(WhoKW))+1))))),""))</f>
        <v/>
      </c>
      <c r="F558" s="17">
        <f>IF($W558="","",TRIM(IFERROR(INDEX(FormData,$W558,f_Org1)&amp;"","")&amp;" "&amp;IFERROR(INDEX(FormData,$W558,f_Org2)&amp;"","")))</f>
        <v/>
      </c>
      <c r="G558" s="16">
        <f>IF($W558="","",IFERROR(INDEX(FormData,$W558,f_Region)&amp;"",""))</f>
        <v/>
      </c>
      <c r="H558" s="16">
        <f>IF($W558="","",IFERROR(IF(SUMPRODUCT(MAX((SitKW&lt;&gt;"")*ISNUMBER(SEARCH(SitKW,INDEX(FormData,$W558,f_Sit)&amp;""))*(ROW(SitKW)-MIN(ROW(SitKW))+1)))=0,"",INDEX(SitVal,SUMPRODUCT(MAX((SitKW&lt;&gt;"")*ISNUMBER(SEARCH(SitKW,INDEX(FormData,$W558,f_Sit)&amp;""))*(ROW(SitKW)-MIN(ROW(SitKW))+1))))),""))</f>
        <v/>
      </c>
      <c r="I558" s="14">
        <f>IF($W558="","",IFERROR(INDEX(FormData,$W558,f_Appr)&amp;"",""))</f>
        <v/>
      </c>
      <c r="J558" s="16">
        <f>IF($W558="","",IFERROR(INDEX(FormData,$W558,f_Trade)&amp;"",""))</f>
        <v/>
      </c>
      <c r="K558" s="16" t="n"/>
      <c r="L558" s="17" t="n"/>
      <c r="M558" s="16" t="n"/>
      <c r="N558" s="17" t="n"/>
      <c r="O558" s="14" t="n"/>
      <c r="P558" s="14" t="n"/>
      <c r="Q558" s="18" t="n"/>
      <c r="R558" s="18" t="n"/>
      <c r="S558" s="13">
        <f>IF($P558&lt;&gt;"✓","",IF($R558&lt;&gt;"","Done",IF($Q558="","Open — no date",IF($Q558&lt;TODAY(),"Overdue",IF($Q558-TODAY()&lt;=DueSoon,"Due soon","Scheduled")))))</f>
        <v/>
      </c>
      <c r="T558" s="14">
        <f>IF($W558="","",IFERROR(IF(INDEX(FormData,$W558,f_Consent)&amp;""="","",IF(ISNUMBER(SEARCH("yes",INDEX(FormData,$W558,f_Consent))),"Yes","No")),""))</f>
        <v/>
      </c>
      <c r="U558" s="14" t="n"/>
      <c r="V558" s="13">
        <f>IF($U558="","",IF($W558="","not found","✓"))</f>
        <v/>
      </c>
      <c r="W558">
        <f>IF($U558="","",IFERROR(MATCH($U558,INDEX(FormData,0,f_Id),0),IFERROR(MATCH(--$U558,INDEX(FormData,0,f_Id),0),IFERROR(MATCH($U558&amp;"",INDEX(FormData,0,f_Id),0),""))))</f>
        <v/>
      </c>
      <c r="X558">
        <f>IF(AND($B558&lt;&gt;"",$B558='Event Report'!$C$3),ROW(),"")</f>
        <v/>
      </c>
      <c r="Y558">
        <f>IF(AND($P558="✓",$R558=""),IF($Q558="",90000,$Q558)+ROW()/100000,"")</f>
        <v/>
      </c>
      <c r="Z558">
        <f>IF(OR($U558&lt;&gt;"",$D558&lt;&gt;"",$E558&lt;&gt;"",$N558&lt;&gt;""),1,"")</f>
        <v/>
      </c>
    </row>
    <row r="559">
      <c r="A559" s="13" t="inlineStr">
        <is>
          <t>P-0555</t>
        </is>
      </c>
      <c r="B559" s="14">
        <f>IF(AND($U559="",$C559=""),"",IFERROR(INDEX(EvID,MATCH(INDEX(FormData,$W559,f_Event),EvID,0)),IFERROR(INDEX(EvID,MATCH(INDEX(FormData,$W559,f_Event),EvName,0)),IFERROR(INDEX(EvID,MATCH(INT($C559),EvDate,0)),""))))</f>
        <v/>
      </c>
      <c r="C559" s="15">
        <f>IF($W559="","",INDEX(FormData,$W559,f_Time))</f>
        <v/>
      </c>
      <c r="D559" s="14">
        <f>IF($W559="","",IFERROR(UPPER(LEFT(TRIM(INDEX(FormData,$W559,f_Name)),1)&amp;IFERROR(MID(TRIM(INDEX(FormData,$W559,f_Name)),FIND("^",SUBSTITUTE(TRIM(INDEX(FormData,$W559,f_Name))," ","^",LEN(TRIM(INDEX(FormData,$W559,f_Name)))-LEN(SUBSTITUTE(TRIM(INDEX(FormData,$W559,f_Name))," ",""))))+1,1),"")),""))</f>
        <v/>
      </c>
      <c r="E559" s="16">
        <f>IF($W559="","",IFERROR(IF(SUMPRODUCT(MAX((WhoKW&lt;&gt;"")*ISNUMBER(SEARCH(WhoKW,INDEX(FormData,$W559,f_Who)&amp;""))*(ROW(WhoKW)-MIN(ROW(WhoKW))+1)))=0,"",INDEX(WhoVal,SUMPRODUCT(MAX((WhoKW&lt;&gt;"")*ISNUMBER(SEARCH(WhoKW,INDEX(FormData,$W559,f_Who)&amp;""))*(ROW(WhoKW)-MIN(ROW(WhoKW))+1))))),""))</f>
        <v/>
      </c>
      <c r="F559" s="17">
        <f>IF($W559="","",TRIM(IFERROR(INDEX(FormData,$W559,f_Org1)&amp;"","")&amp;" "&amp;IFERROR(INDEX(FormData,$W559,f_Org2)&amp;"","")))</f>
        <v/>
      </c>
      <c r="G559" s="16">
        <f>IF($W559="","",IFERROR(INDEX(FormData,$W559,f_Region)&amp;"",""))</f>
        <v/>
      </c>
      <c r="H559" s="16">
        <f>IF($W559="","",IFERROR(IF(SUMPRODUCT(MAX((SitKW&lt;&gt;"")*ISNUMBER(SEARCH(SitKW,INDEX(FormData,$W559,f_Sit)&amp;""))*(ROW(SitKW)-MIN(ROW(SitKW))+1)))=0,"",INDEX(SitVal,SUMPRODUCT(MAX((SitKW&lt;&gt;"")*ISNUMBER(SEARCH(SitKW,INDEX(FormData,$W559,f_Sit)&amp;""))*(ROW(SitKW)-MIN(ROW(SitKW))+1))))),""))</f>
        <v/>
      </c>
      <c r="I559" s="14">
        <f>IF($W559="","",IFERROR(INDEX(FormData,$W559,f_Appr)&amp;"",""))</f>
        <v/>
      </c>
      <c r="J559" s="16">
        <f>IF($W559="","",IFERROR(INDEX(FormData,$W559,f_Trade)&amp;"",""))</f>
        <v/>
      </c>
      <c r="K559" s="16" t="n"/>
      <c r="L559" s="17" t="n"/>
      <c r="M559" s="16" t="n"/>
      <c r="N559" s="17" t="n"/>
      <c r="O559" s="14" t="n"/>
      <c r="P559" s="14" t="n"/>
      <c r="Q559" s="18" t="n"/>
      <c r="R559" s="18" t="n"/>
      <c r="S559" s="13">
        <f>IF($P559&lt;&gt;"✓","",IF($R559&lt;&gt;"","Done",IF($Q559="","Open — no date",IF($Q559&lt;TODAY(),"Overdue",IF($Q559-TODAY()&lt;=DueSoon,"Due soon","Scheduled")))))</f>
        <v/>
      </c>
      <c r="T559" s="14">
        <f>IF($W559="","",IFERROR(IF(INDEX(FormData,$W559,f_Consent)&amp;""="","",IF(ISNUMBER(SEARCH("yes",INDEX(FormData,$W559,f_Consent))),"Yes","No")),""))</f>
        <v/>
      </c>
      <c r="U559" s="14" t="n"/>
      <c r="V559" s="13">
        <f>IF($U559="","",IF($W559="","not found","✓"))</f>
        <v/>
      </c>
      <c r="W559">
        <f>IF($U559="","",IFERROR(MATCH($U559,INDEX(FormData,0,f_Id),0),IFERROR(MATCH(--$U559,INDEX(FormData,0,f_Id),0),IFERROR(MATCH($U559&amp;"",INDEX(FormData,0,f_Id),0),""))))</f>
        <v/>
      </c>
      <c r="X559">
        <f>IF(AND($B559&lt;&gt;"",$B559='Event Report'!$C$3),ROW(),"")</f>
        <v/>
      </c>
      <c r="Y559">
        <f>IF(AND($P559="✓",$R559=""),IF($Q559="",90000,$Q559)+ROW()/100000,"")</f>
        <v/>
      </c>
      <c r="Z559">
        <f>IF(OR($U559&lt;&gt;"",$D559&lt;&gt;"",$E559&lt;&gt;"",$N559&lt;&gt;""),1,"")</f>
        <v/>
      </c>
    </row>
    <row r="560">
      <c r="A560" s="13" t="inlineStr">
        <is>
          <t>P-0556</t>
        </is>
      </c>
      <c r="B560" s="14">
        <f>IF(AND($U560="",$C560=""),"",IFERROR(INDEX(EvID,MATCH(INDEX(FormData,$W560,f_Event),EvID,0)),IFERROR(INDEX(EvID,MATCH(INDEX(FormData,$W560,f_Event),EvName,0)),IFERROR(INDEX(EvID,MATCH(INT($C560),EvDate,0)),""))))</f>
        <v/>
      </c>
      <c r="C560" s="15">
        <f>IF($W560="","",INDEX(FormData,$W560,f_Time))</f>
        <v/>
      </c>
      <c r="D560" s="14">
        <f>IF($W560="","",IFERROR(UPPER(LEFT(TRIM(INDEX(FormData,$W560,f_Name)),1)&amp;IFERROR(MID(TRIM(INDEX(FormData,$W560,f_Name)),FIND("^",SUBSTITUTE(TRIM(INDEX(FormData,$W560,f_Name))," ","^",LEN(TRIM(INDEX(FormData,$W560,f_Name)))-LEN(SUBSTITUTE(TRIM(INDEX(FormData,$W560,f_Name))," ",""))))+1,1),"")),""))</f>
        <v/>
      </c>
      <c r="E560" s="16">
        <f>IF($W560="","",IFERROR(IF(SUMPRODUCT(MAX((WhoKW&lt;&gt;"")*ISNUMBER(SEARCH(WhoKW,INDEX(FormData,$W560,f_Who)&amp;""))*(ROW(WhoKW)-MIN(ROW(WhoKW))+1)))=0,"",INDEX(WhoVal,SUMPRODUCT(MAX((WhoKW&lt;&gt;"")*ISNUMBER(SEARCH(WhoKW,INDEX(FormData,$W560,f_Who)&amp;""))*(ROW(WhoKW)-MIN(ROW(WhoKW))+1))))),""))</f>
        <v/>
      </c>
      <c r="F560" s="17">
        <f>IF($W560="","",TRIM(IFERROR(INDEX(FormData,$W560,f_Org1)&amp;"","")&amp;" "&amp;IFERROR(INDEX(FormData,$W560,f_Org2)&amp;"","")))</f>
        <v/>
      </c>
      <c r="G560" s="16">
        <f>IF($W560="","",IFERROR(INDEX(FormData,$W560,f_Region)&amp;"",""))</f>
        <v/>
      </c>
      <c r="H560" s="16">
        <f>IF($W560="","",IFERROR(IF(SUMPRODUCT(MAX((SitKW&lt;&gt;"")*ISNUMBER(SEARCH(SitKW,INDEX(FormData,$W560,f_Sit)&amp;""))*(ROW(SitKW)-MIN(ROW(SitKW))+1)))=0,"",INDEX(SitVal,SUMPRODUCT(MAX((SitKW&lt;&gt;"")*ISNUMBER(SEARCH(SitKW,INDEX(FormData,$W560,f_Sit)&amp;""))*(ROW(SitKW)-MIN(ROW(SitKW))+1))))),""))</f>
        <v/>
      </c>
      <c r="I560" s="14">
        <f>IF($W560="","",IFERROR(INDEX(FormData,$W560,f_Appr)&amp;"",""))</f>
        <v/>
      </c>
      <c r="J560" s="16">
        <f>IF($W560="","",IFERROR(INDEX(FormData,$W560,f_Trade)&amp;"",""))</f>
        <v/>
      </c>
      <c r="K560" s="16" t="n"/>
      <c r="L560" s="17" t="n"/>
      <c r="M560" s="16" t="n"/>
      <c r="N560" s="17" t="n"/>
      <c r="O560" s="14" t="n"/>
      <c r="P560" s="14" t="n"/>
      <c r="Q560" s="18" t="n"/>
      <c r="R560" s="18" t="n"/>
      <c r="S560" s="13">
        <f>IF($P560&lt;&gt;"✓","",IF($R560&lt;&gt;"","Done",IF($Q560="","Open — no date",IF($Q560&lt;TODAY(),"Overdue",IF($Q560-TODAY()&lt;=DueSoon,"Due soon","Scheduled")))))</f>
        <v/>
      </c>
      <c r="T560" s="14">
        <f>IF($W560="","",IFERROR(IF(INDEX(FormData,$W560,f_Consent)&amp;""="","",IF(ISNUMBER(SEARCH("yes",INDEX(FormData,$W560,f_Consent))),"Yes","No")),""))</f>
        <v/>
      </c>
      <c r="U560" s="14" t="n"/>
      <c r="V560" s="13">
        <f>IF($U560="","",IF($W560="","not found","✓"))</f>
        <v/>
      </c>
      <c r="W560">
        <f>IF($U560="","",IFERROR(MATCH($U560,INDEX(FormData,0,f_Id),0),IFERROR(MATCH(--$U560,INDEX(FormData,0,f_Id),0),IFERROR(MATCH($U560&amp;"",INDEX(FormData,0,f_Id),0),""))))</f>
        <v/>
      </c>
      <c r="X560">
        <f>IF(AND($B560&lt;&gt;"",$B560='Event Report'!$C$3),ROW(),"")</f>
        <v/>
      </c>
      <c r="Y560">
        <f>IF(AND($P560="✓",$R560=""),IF($Q560="",90000,$Q560)+ROW()/100000,"")</f>
        <v/>
      </c>
      <c r="Z560">
        <f>IF(OR($U560&lt;&gt;"",$D560&lt;&gt;"",$E560&lt;&gt;"",$N560&lt;&gt;""),1,"")</f>
        <v/>
      </c>
    </row>
    <row r="561">
      <c r="A561" s="13" t="inlineStr">
        <is>
          <t>P-0557</t>
        </is>
      </c>
      <c r="B561" s="14">
        <f>IF(AND($U561="",$C561=""),"",IFERROR(INDEX(EvID,MATCH(INDEX(FormData,$W561,f_Event),EvID,0)),IFERROR(INDEX(EvID,MATCH(INDEX(FormData,$W561,f_Event),EvName,0)),IFERROR(INDEX(EvID,MATCH(INT($C561),EvDate,0)),""))))</f>
        <v/>
      </c>
      <c r="C561" s="15">
        <f>IF($W561="","",INDEX(FormData,$W561,f_Time))</f>
        <v/>
      </c>
      <c r="D561" s="14">
        <f>IF($W561="","",IFERROR(UPPER(LEFT(TRIM(INDEX(FormData,$W561,f_Name)),1)&amp;IFERROR(MID(TRIM(INDEX(FormData,$W561,f_Name)),FIND("^",SUBSTITUTE(TRIM(INDEX(FormData,$W561,f_Name))," ","^",LEN(TRIM(INDEX(FormData,$W561,f_Name)))-LEN(SUBSTITUTE(TRIM(INDEX(FormData,$W561,f_Name))," ",""))))+1,1),"")),""))</f>
        <v/>
      </c>
      <c r="E561" s="16">
        <f>IF($W561="","",IFERROR(IF(SUMPRODUCT(MAX((WhoKW&lt;&gt;"")*ISNUMBER(SEARCH(WhoKW,INDEX(FormData,$W561,f_Who)&amp;""))*(ROW(WhoKW)-MIN(ROW(WhoKW))+1)))=0,"",INDEX(WhoVal,SUMPRODUCT(MAX((WhoKW&lt;&gt;"")*ISNUMBER(SEARCH(WhoKW,INDEX(FormData,$W561,f_Who)&amp;""))*(ROW(WhoKW)-MIN(ROW(WhoKW))+1))))),""))</f>
        <v/>
      </c>
      <c r="F561" s="17">
        <f>IF($W561="","",TRIM(IFERROR(INDEX(FormData,$W561,f_Org1)&amp;"","")&amp;" "&amp;IFERROR(INDEX(FormData,$W561,f_Org2)&amp;"","")))</f>
        <v/>
      </c>
      <c r="G561" s="16">
        <f>IF($W561="","",IFERROR(INDEX(FormData,$W561,f_Region)&amp;"",""))</f>
        <v/>
      </c>
      <c r="H561" s="16">
        <f>IF($W561="","",IFERROR(IF(SUMPRODUCT(MAX((SitKW&lt;&gt;"")*ISNUMBER(SEARCH(SitKW,INDEX(FormData,$W561,f_Sit)&amp;""))*(ROW(SitKW)-MIN(ROW(SitKW))+1)))=0,"",INDEX(SitVal,SUMPRODUCT(MAX((SitKW&lt;&gt;"")*ISNUMBER(SEARCH(SitKW,INDEX(FormData,$W561,f_Sit)&amp;""))*(ROW(SitKW)-MIN(ROW(SitKW))+1))))),""))</f>
        <v/>
      </c>
      <c r="I561" s="14">
        <f>IF($W561="","",IFERROR(INDEX(FormData,$W561,f_Appr)&amp;"",""))</f>
        <v/>
      </c>
      <c r="J561" s="16">
        <f>IF($W561="","",IFERROR(INDEX(FormData,$W561,f_Trade)&amp;"",""))</f>
        <v/>
      </c>
      <c r="K561" s="16" t="n"/>
      <c r="L561" s="17" t="n"/>
      <c r="M561" s="16" t="n"/>
      <c r="N561" s="17" t="n"/>
      <c r="O561" s="14" t="n"/>
      <c r="P561" s="14" t="n"/>
      <c r="Q561" s="18" t="n"/>
      <c r="R561" s="18" t="n"/>
      <c r="S561" s="13">
        <f>IF($P561&lt;&gt;"✓","",IF($R561&lt;&gt;"","Done",IF($Q561="","Open — no date",IF($Q561&lt;TODAY(),"Overdue",IF($Q561-TODAY()&lt;=DueSoon,"Due soon","Scheduled")))))</f>
        <v/>
      </c>
      <c r="T561" s="14">
        <f>IF($W561="","",IFERROR(IF(INDEX(FormData,$W561,f_Consent)&amp;""="","",IF(ISNUMBER(SEARCH("yes",INDEX(FormData,$W561,f_Consent))),"Yes","No")),""))</f>
        <v/>
      </c>
      <c r="U561" s="14" t="n"/>
      <c r="V561" s="13">
        <f>IF($U561="","",IF($W561="","not found","✓"))</f>
        <v/>
      </c>
      <c r="W561">
        <f>IF($U561="","",IFERROR(MATCH($U561,INDEX(FormData,0,f_Id),0),IFERROR(MATCH(--$U561,INDEX(FormData,0,f_Id),0),IFERROR(MATCH($U561&amp;"",INDEX(FormData,0,f_Id),0),""))))</f>
        <v/>
      </c>
      <c r="X561">
        <f>IF(AND($B561&lt;&gt;"",$B561='Event Report'!$C$3),ROW(),"")</f>
        <v/>
      </c>
      <c r="Y561">
        <f>IF(AND($P561="✓",$R561=""),IF($Q561="",90000,$Q561)+ROW()/100000,"")</f>
        <v/>
      </c>
      <c r="Z561">
        <f>IF(OR($U561&lt;&gt;"",$D561&lt;&gt;"",$E561&lt;&gt;"",$N561&lt;&gt;""),1,"")</f>
        <v/>
      </c>
    </row>
    <row r="562">
      <c r="A562" s="13" t="inlineStr">
        <is>
          <t>P-0558</t>
        </is>
      </c>
      <c r="B562" s="14">
        <f>IF(AND($U562="",$C562=""),"",IFERROR(INDEX(EvID,MATCH(INDEX(FormData,$W562,f_Event),EvID,0)),IFERROR(INDEX(EvID,MATCH(INDEX(FormData,$W562,f_Event),EvName,0)),IFERROR(INDEX(EvID,MATCH(INT($C562),EvDate,0)),""))))</f>
        <v/>
      </c>
      <c r="C562" s="15">
        <f>IF($W562="","",INDEX(FormData,$W562,f_Time))</f>
        <v/>
      </c>
      <c r="D562" s="14">
        <f>IF($W562="","",IFERROR(UPPER(LEFT(TRIM(INDEX(FormData,$W562,f_Name)),1)&amp;IFERROR(MID(TRIM(INDEX(FormData,$W562,f_Name)),FIND("^",SUBSTITUTE(TRIM(INDEX(FormData,$W562,f_Name))," ","^",LEN(TRIM(INDEX(FormData,$W562,f_Name)))-LEN(SUBSTITUTE(TRIM(INDEX(FormData,$W562,f_Name))," ",""))))+1,1),"")),""))</f>
        <v/>
      </c>
      <c r="E562" s="16">
        <f>IF($W562="","",IFERROR(IF(SUMPRODUCT(MAX((WhoKW&lt;&gt;"")*ISNUMBER(SEARCH(WhoKW,INDEX(FormData,$W562,f_Who)&amp;""))*(ROW(WhoKW)-MIN(ROW(WhoKW))+1)))=0,"",INDEX(WhoVal,SUMPRODUCT(MAX((WhoKW&lt;&gt;"")*ISNUMBER(SEARCH(WhoKW,INDEX(FormData,$W562,f_Who)&amp;""))*(ROW(WhoKW)-MIN(ROW(WhoKW))+1))))),""))</f>
        <v/>
      </c>
      <c r="F562" s="17">
        <f>IF($W562="","",TRIM(IFERROR(INDEX(FormData,$W562,f_Org1)&amp;"","")&amp;" "&amp;IFERROR(INDEX(FormData,$W562,f_Org2)&amp;"","")))</f>
        <v/>
      </c>
      <c r="G562" s="16">
        <f>IF($W562="","",IFERROR(INDEX(FormData,$W562,f_Region)&amp;"",""))</f>
        <v/>
      </c>
      <c r="H562" s="16">
        <f>IF($W562="","",IFERROR(IF(SUMPRODUCT(MAX((SitKW&lt;&gt;"")*ISNUMBER(SEARCH(SitKW,INDEX(FormData,$W562,f_Sit)&amp;""))*(ROW(SitKW)-MIN(ROW(SitKW))+1)))=0,"",INDEX(SitVal,SUMPRODUCT(MAX((SitKW&lt;&gt;"")*ISNUMBER(SEARCH(SitKW,INDEX(FormData,$W562,f_Sit)&amp;""))*(ROW(SitKW)-MIN(ROW(SitKW))+1))))),""))</f>
        <v/>
      </c>
      <c r="I562" s="14">
        <f>IF($W562="","",IFERROR(INDEX(FormData,$W562,f_Appr)&amp;"",""))</f>
        <v/>
      </c>
      <c r="J562" s="16">
        <f>IF($W562="","",IFERROR(INDEX(FormData,$W562,f_Trade)&amp;"",""))</f>
        <v/>
      </c>
      <c r="K562" s="16" t="n"/>
      <c r="L562" s="17" t="n"/>
      <c r="M562" s="16" t="n"/>
      <c r="N562" s="17" t="n"/>
      <c r="O562" s="14" t="n"/>
      <c r="P562" s="14" t="n"/>
      <c r="Q562" s="18" t="n"/>
      <c r="R562" s="18" t="n"/>
      <c r="S562" s="13">
        <f>IF($P562&lt;&gt;"✓","",IF($R562&lt;&gt;"","Done",IF($Q562="","Open — no date",IF($Q562&lt;TODAY(),"Overdue",IF($Q562-TODAY()&lt;=DueSoon,"Due soon","Scheduled")))))</f>
        <v/>
      </c>
      <c r="T562" s="14">
        <f>IF($W562="","",IFERROR(IF(INDEX(FormData,$W562,f_Consent)&amp;""="","",IF(ISNUMBER(SEARCH("yes",INDEX(FormData,$W562,f_Consent))),"Yes","No")),""))</f>
        <v/>
      </c>
      <c r="U562" s="14" t="n"/>
      <c r="V562" s="13">
        <f>IF($U562="","",IF($W562="","not found","✓"))</f>
        <v/>
      </c>
      <c r="W562">
        <f>IF($U562="","",IFERROR(MATCH($U562,INDEX(FormData,0,f_Id),0),IFERROR(MATCH(--$U562,INDEX(FormData,0,f_Id),0),IFERROR(MATCH($U562&amp;"",INDEX(FormData,0,f_Id),0),""))))</f>
        <v/>
      </c>
      <c r="X562">
        <f>IF(AND($B562&lt;&gt;"",$B562='Event Report'!$C$3),ROW(),"")</f>
        <v/>
      </c>
      <c r="Y562">
        <f>IF(AND($P562="✓",$R562=""),IF($Q562="",90000,$Q562)+ROW()/100000,"")</f>
        <v/>
      </c>
      <c r="Z562">
        <f>IF(OR($U562&lt;&gt;"",$D562&lt;&gt;"",$E562&lt;&gt;"",$N562&lt;&gt;""),1,"")</f>
        <v/>
      </c>
    </row>
    <row r="563">
      <c r="A563" s="13" t="inlineStr">
        <is>
          <t>P-0559</t>
        </is>
      </c>
      <c r="B563" s="14">
        <f>IF(AND($U563="",$C563=""),"",IFERROR(INDEX(EvID,MATCH(INDEX(FormData,$W563,f_Event),EvID,0)),IFERROR(INDEX(EvID,MATCH(INDEX(FormData,$W563,f_Event),EvName,0)),IFERROR(INDEX(EvID,MATCH(INT($C563),EvDate,0)),""))))</f>
        <v/>
      </c>
      <c r="C563" s="15">
        <f>IF($W563="","",INDEX(FormData,$W563,f_Time))</f>
        <v/>
      </c>
      <c r="D563" s="14">
        <f>IF($W563="","",IFERROR(UPPER(LEFT(TRIM(INDEX(FormData,$W563,f_Name)),1)&amp;IFERROR(MID(TRIM(INDEX(FormData,$W563,f_Name)),FIND("^",SUBSTITUTE(TRIM(INDEX(FormData,$W563,f_Name))," ","^",LEN(TRIM(INDEX(FormData,$W563,f_Name)))-LEN(SUBSTITUTE(TRIM(INDEX(FormData,$W563,f_Name))," ",""))))+1,1),"")),""))</f>
        <v/>
      </c>
      <c r="E563" s="16">
        <f>IF($W563="","",IFERROR(IF(SUMPRODUCT(MAX((WhoKW&lt;&gt;"")*ISNUMBER(SEARCH(WhoKW,INDEX(FormData,$W563,f_Who)&amp;""))*(ROW(WhoKW)-MIN(ROW(WhoKW))+1)))=0,"",INDEX(WhoVal,SUMPRODUCT(MAX((WhoKW&lt;&gt;"")*ISNUMBER(SEARCH(WhoKW,INDEX(FormData,$W563,f_Who)&amp;""))*(ROW(WhoKW)-MIN(ROW(WhoKW))+1))))),""))</f>
        <v/>
      </c>
      <c r="F563" s="17">
        <f>IF($W563="","",TRIM(IFERROR(INDEX(FormData,$W563,f_Org1)&amp;"","")&amp;" "&amp;IFERROR(INDEX(FormData,$W563,f_Org2)&amp;"","")))</f>
        <v/>
      </c>
      <c r="G563" s="16">
        <f>IF($W563="","",IFERROR(INDEX(FormData,$W563,f_Region)&amp;"",""))</f>
        <v/>
      </c>
      <c r="H563" s="16">
        <f>IF($W563="","",IFERROR(IF(SUMPRODUCT(MAX((SitKW&lt;&gt;"")*ISNUMBER(SEARCH(SitKW,INDEX(FormData,$W563,f_Sit)&amp;""))*(ROW(SitKW)-MIN(ROW(SitKW))+1)))=0,"",INDEX(SitVal,SUMPRODUCT(MAX((SitKW&lt;&gt;"")*ISNUMBER(SEARCH(SitKW,INDEX(FormData,$W563,f_Sit)&amp;""))*(ROW(SitKW)-MIN(ROW(SitKW))+1))))),""))</f>
        <v/>
      </c>
      <c r="I563" s="14">
        <f>IF($W563="","",IFERROR(INDEX(FormData,$W563,f_Appr)&amp;"",""))</f>
        <v/>
      </c>
      <c r="J563" s="16">
        <f>IF($W563="","",IFERROR(INDEX(FormData,$W563,f_Trade)&amp;"",""))</f>
        <v/>
      </c>
      <c r="K563" s="16" t="n"/>
      <c r="L563" s="17" t="n"/>
      <c r="M563" s="16" t="n"/>
      <c r="N563" s="17" t="n"/>
      <c r="O563" s="14" t="n"/>
      <c r="P563" s="14" t="n"/>
      <c r="Q563" s="18" t="n"/>
      <c r="R563" s="18" t="n"/>
      <c r="S563" s="13">
        <f>IF($P563&lt;&gt;"✓","",IF($R563&lt;&gt;"","Done",IF($Q563="","Open — no date",IF($Q563&lt;TODAY(),"Overdue",IF($Q563-TODAY()&lt;=DueSoon,"Due soon","Scheduled")))))</f>
        <v/>
      </c>
      <c r="T563" s="14">
        <f>IF($W563="","",IFERROR(IF(INDEX(FormData,$W563,f_Consent)&amp;""="","",IF(ISNUMBER(SEARCH("yes",INDEX(FormData,$W563,f_Consent))),"Yes","No")),""))</f>
        <v/>
      </c>
      <c r="U563" s="14" t="n"/>
      <c r="V563" s="13">
        <f>IF($U563="","",IF($W563="","not found","✓"))</f>
        <v/>
      </c>
      <c r="W563">
        <f>IF($U563="","",IFERROR(MATCH($U563,INDEX(FormData,0,f_Id),0),IFERROR(MATCH(--$U563,INDEX(FormData,0,f_Id),0),IFERROR(MATCH($U563&amp;"",INDEX(FormData,0,f_Id),0),""))))</f>
        <v/>
      </c>
      <c r="X563">
        <f>IF(AND($B563&lt;&gt;"",$B563='Event Report'!$C$3),ROW(),"")</f>
        <v/>
      </c>
      <c r="Y563">
        <f>IF(AND($P563="✓",$R563=""),IF($Q563="",90000,$Q563)+ROW()/100000,"")</f>
        <v/>
      </c>
      <c r="Z563">
        <f>IF(OR($U563&lt;&gt;"",$D563&lt;&gt;"",$E563&lt;&gt;"",$N563&lt;&gt;""),1,"")</f>
        <v/>
      </c>
    </row>
    <row r="564">
      <c r="A564" s="13" t="inlineStr">
        <is>
          <t>P-0560</t>
        </is>
      </c>
      <c r="B564" s="14">
        <f>IF(AND($U564="",$C564=""),"",IFERROR(INDEX(EvID,MATCH(INDEX(FormData,$W564,f_Event),EvID,0)),IFERROR(INDEX(EvID,MATCH(INDEX(FormData,$W564,f_Event),EvName,0)),IFERROR(INDEX(EvID,MATCH(INT($C564),EvDate,0)),""))))</f>
        <v/>
      </c>
      <c r="C564" s="15">
        <f>IF($W564="","",INDEX(FormData,$W564,f_Time))</f>
        <v/>
      </c>
      <c r="D564" s="14">
        <f>IF($W564="","",IFERROR(UPPER(LEFT(TRIM(INDEX(FormData,$W564,f_Name)),1)&amp;IFERROR(MID(TRIM(INDEX(FormData,$W564,f_Name)),FIND("^",SUBSTITUTE(TRIM(INDEX(FormData,$W564,f_Name))," ","^",LEN(TRIM(INDEX(FormData,$W564,f_Name)))-LEN(SUBSTITUTE(TRIM(INDEX(FormData,$W564,f_Name))," ",""))))+1,1),"")),""))</f>
        <v/>
      </c>
      <c r="E564" s="16">
        <f>IF($W564="","",IFERROR(IF(SUMPRODUCT(MAX((WhoKW&lt;&gt;"")*ISNUMBER(SEARCH(WhoKW,INDEX(FormData,$W564,f_Who)&amp;""))*(ROW(WhoKW)-MIN(ROW(WhoKW))+1)))=0,"",INDEX(WhoVal,SUMPRODUCT(MAX((WhoKW&lt;&gt;"")*ISNUMBER(SEARCH(WhoKW,INDEX(FormData,$W564,f_Who)&amp;""))*(ROW(WhoKW)-MIN(ROW(WhoKW))+1))))),""))</f>
        <v/>
      </c>
      <c r="F564" s="17">
        <f>IF($W564="","",TRIM(IFERROR(INDEX(FormData,$W564,f_Org1)&amp;"","")&amp;" "&amp;IFERROR(INDEX(FormData,$W564,f_Org2)&amp;"","")))</f>
        <v/>
      </c>
      <c r="G564" s="16">
        <f>IF($W564="","",IFERROR(INDEX(FormData,$W564,f_Region)&amp;"",""))</f>
        <v/>
      </c>
      <c r="H564" s="16">
        <f>IF($W564="","",IFERROR(IF(SUMPRODUCT(MAX((SitKW&lt;&gt;"")*ISNUMBER(SEARCH(SitKW,INDEX(FormData,$W564,f_Sit)&amp;""))*(ROW(SitKW)-MIN(ROW(SitKW))+1)))=0,"",INDEX(SitVal,SUMPRODUCT(MAX((SitKW&lt;&gt;"")*ISNUMBER(SEARCH(SitKW,INDEX(FormData,$W564,f_Sit)&amp;""))*(ROW(SitKW)-MIN(ROW(SitKW))+1))))),""))</f>
        <v/>
      </c>
      <c r="I564" s="14">
        <f>IF($W564="","",IFERROR(INDEX(FormData,$W564,f_Appr)&amp;"",""))</f>
        <v/>
      </c>
      <c r="J564" s="16">
        <f>IF($W564="","",IFERROR(INDEX(FormData,$W564,f_Trade)&amp;"",""))</f>
        <v/>
      </c>
      <c r="K564" s="16" t="n"/>
      <c r="L564" s="17" t="n"/>
      <c r="M564" s="16" t="n"/>
      <c r="N564" s="17" t="n"/>
      <c r="O564" s="14" t="n"/>
      <c r="P564" s="14" t="n"/>
      <c r="Q564" s="18" t="n"/>
      <c r="R564" s="18" t="n"/>
      <c r="S564" s="13">
        <f>IF($P564&lt;&gt;"✓","",IF($R564&lt;&gt;"","Done",IF($Q564="","Open — no date",IF($Q564&lt;TODAY(),"Overdue",IF($Q564-TODAY()&lt;=DueSoon,"Due soon","Scheduled")))))</f>
        <v/>
      </c>
      <c r="T564" s="14">
        <f>IF($W564="","",IFERROR(IF(INDEX(FormData,$W564,f_Consent)&amp;""="","",IF(ISNUMBER(SEARCH("yes",INDEX(FormData,$W564,f_Consent))),"Yes","No")),""))</f>
        <v/>
      </c>
      <c r="U564" s="14" t="n"/>
      <c r="V564" s="13">
        <f>IF($U564="","",IF($W564="","not found","✓"))</f>
        <v/>
      </c>
      <c r="W564">
        <f>IF($U564="","",IFERROR(MATCH($U564,INDEX(FormData,0,f_Id),0),IFERROR(MATCH(--$U564,INDEX(FormData,0,f_Id),0),IFERROR(MATCH($U564&amp;"",INDEX(FormData,0,f_Id),0),""))))</f>
        <v/>
      </c>
      <c r="X564">
        <f>IF(AND($B564&lt;&gt;"",$B564='Event Report'!$C$3),ROW(),"")</f>
        <v/>
      </c>
      <c r="Y564">
        <f>IF(AND($P564="✓",$R564=""),IF($Q564="",90000,$Q564)+ROW()/100000,"")</f>
        <v/>
      </c>
      <c r="Z564">
        <f>IF(OR($U564&lt;&gt;"",$D564&lt;&gt;"",$E564&lt;&gt;"",$N564&lt;&gt;""),1,"")</f>
        <v/>
      </c>
    </row>
    <row r="565">
      <c r="A565" s="13" t="inlineStr">
        <is>
          <t>P-0561</t>
        </is>
      </c>
      <c r="B565" s="14">
        <f>IF(AND($U565="",$C565=""),"",IFERROR(INDEX(EvID,MATCH(INDEX(FormData,$W565,f_Event),EvID,0)),IFERROR(INDEX(EvID,MATCH(INDEX(FormData,$W565,f_Event),EvName,0)),IFERROR(INDEX(EvID,MATCH(INT($C565),EvDate,0)),""))))</f>
        <v/>
      </c>
      <c r="C565" s="15">
        <f>IF($W565="","",INDEX(FormData,$W565,f_Time))</f>
        <v/>
      </c>
      <c r="D565" s="14">
        <f>IF($W565="","",IFERROR(UPPER(LEFT(TRIM(INDEX(FormData,$W565,f_Name)),1)&amp;IFERROR(MID(TRIM(INDEX(FormData,$W565,f_Name)),FIND("^",SUBSTITUTE(TRIM(INDEX(FormData,$W565,f_Name))," ","^",LEN(TRIM(INDEX(FormData,$W565,f_Name)))-LEN(SUBSTITUTE(TRIM(INDEX(FormData,$W565,f_Name))," ",""))))+1,1),"")),""))</f>
        <v/>
      </c>
      <c r="E565" s="16">
        <f>IF($W565="","",IFERROR(IF(SUMPRODUCT(MAX((WhoKW&lt;&gt;"")*ISNUMBER(SEARCH(WhoKW,INDEX(FormData,$W565,f_Who)&amp;""))*(ROW(WhoKW)-MIN(ROW(WhoKW))+1)))=0,"",INDEX(WhoVal,SUMPRODUCT(MAX((WhoKW&lt;&gt;"")*ISNUMBER(SEARCH(WhoKW,INDEX(FormData,$W565,f_Who)&amp;""))*(ROW(WhoKW)-MIN(ROW(WhoKW))+1))))),""))</f>
        <v/>
      </c>
      <c r="F565" s="17">
        <f>IF($W565="","",TRIM(IFERROR(INDEX(FormData,$W565,f_Org1)&amp;"","")&amp;" "&amp;IFERROR(INDEX(FormData,$W565,f_Org2)&amp;"","")))</f>
        <v/>
      </c>
      <c r="G565" s="16">
        <f>IF($W565="","",IFERROR(INDEX(FormData,$W565,f_Region)&amp;"",""))</f>
        <v/>
      </c>
      <c r="H565" s="16">
        <f>IF($W565="","",IFERROR(IF(SUMPRODUCT(MAX((SitKW&lt;&gt;"")*ISNUMBER(SEARCH(SitKW,INDEX(FormData,$W565,f_Sit)&amp;""))*(ROW(SitKW)-MIN(ROW(SitKW))+1)))=0,"",INDEX(SitVal,SUMPRODUCT(MAX((SitKW&lt;&gt;"")*ISNUMBER(SEARCH(SitKW,INDEX(FormData,$W565,f_Sit)&amp;""))*(ROW(SitKW)-MIN(ROW(SitKW))+1))))),""))</f>
        <v/>
      </c>
      <c r="I565" s="14">
        <f>IF($W565="","",IFERROR(INDEX(FormData,$W565,f_Appr)&amp;"",""))</f>
        <v/>
      </c>
      <c r="J565" s="16">
        <f>IF($W565="","",IFERROR(INDEX(FormData,$W565,f_Trade)&amp;"",""))</f>
        <v/>
      </c>
      <c r="K565" s="16" t="n"/>
      <c r="L565" s="17" t="n"/>
      <c r="M565" s="16" t="n"/>
      <c r="N565" s="17" t="n"/>
      <c r="O565" s="14" t="n"/>
      <c r="P565" s="14" t="n"/>
      <c r="Q565" s="18" t="n"/>
      <c r="R565" s="18" t="n"/>
      <c r="S565" s="13">
        <f>IF($P565&lt;&gt;"✓","",IF($R565&lt;&gt;"","Done",IF($Q565="","Open — no date",IF($Q565&lt;TODAY(),"Overdue",IF($Q565-TODAY()&lt;=DueSoon,"Due soon","Scheduled")))))</f>
        <v/>
      </c>
      <c r="T565" s="14">
        <f>IF($W565="","",IFERROR(IF(INDEX(FormData,$W565,f_Consent)&amp;""="","",IF(ISNUMBER(SEARCH("yes",INDEX(FormData,$W565,f_Consent))),"Yes","No")),""))</f>
        <v/>
      </c>
      <c r="U565" s="14" t="n"/>
      <c r="V565" s="13">
        <f>IF($U565="","",IF($W565="","not found","✓"))</f>
        <v/>
      </c>
      <c r="W565">
        <f>IF($U565="","",IFERROR(MATCH($U565,INDEX(FormData,0,f_Id),0),IFERROR(MATCH(--$U565,INDEX(FormData,0,f_Id),0),IFERROR(MATCH($U565&amp;"",INDEX(FormData,0,f_Id),0),""))))</f>
        <v/>
      </c>
      <c r="X565">
        <f>IF(AND($B565&lt;&gt;"",$B565='Event Report'!$C$3),ROW(),"")</f>
        <v/>
      </c>
      <c r="Y565">
        <f>IF(AND($P565="✓",$R565=""),IF($Q565="",90000,$Q565)+ROW()/100000,"")</f>
        <v/>
      </c>
      <c r="Z565">
        <f>IF(OR($U565&lt;&gt;"",$D565&lt;&gt;"",$E565&lt;&gt;"",$N565&lt;&gt;""),1,"")</f>
        <v/>
      </c>
    </row>
    <row r="566">
      <c r="A566" s="13" t="inlineStr">
        <is>
          <t>P-0562</t>
        </is>
      </c>
      <c r="B566" s="14">
        <f>IF(AND($U566="",$C566=""),"",IFERROR(INDEX(EvID,MATCH(INDEX(FormData,$W566,f_Event),EvID,0)),IFERROR(INDEX(EvID,MATCH(INDEX(FormData,$W566,f_Event),EvName,0)),IFERROR(INDEX(EvID,MATCH(INT($C566),EvDate,0)),""))))</f>
        <v/>
      </c>
      <c r="C566" s="15">
        <f>IF($W566="","",INDEX(FormData,$W566,f_Time))</f>
        <v/>
      </c>
      <c r="D566" s="14">
        <f>IF($W566="","",IFERROR(UPPER(LEFT(TRIM(INDEX(FormData,$W566,f_Name)),1)&amp;IFERROR(MID(TRIM(INDEX(FormData,$W566,f_Name)),FIND("^",SUBSTITUTE(TRIM(INDEX(FormData,$W566,f_Name))," ","^",LEN(TRIM(INDEX(FormData,$W566,f_Name)))-LEN(SUBSTITUTE(TRIM(INDEX(FormData,$W566,f_Name))," ",""))))+1,1),"")),""))</f>
        <v/>
      </c>
      <c r="E566" s="16">
        <f>IF($W566="","",IFERROR(IF(SUMPRODUCT(MAX((WhoKW&lt;&gt;"")*ISNUMBER(SEARCH(WhoKW,INDEX(FormData,$W566,f_Who)&amp;""))*(ROW(WhoKW)-MIN(ROW(WhoKW))+1)))=0,"",INDEX(WhoVal,SUMPRODUCT(MAX((WhoKW&lt;&gt;"")*ISNUMBER(SEARCH(WhoKW,INDEX(FormData,$W566,f_Who)&amp;""))*(ROW(WhoKW)-MIN(ROW(WhoKW))+1))))),""))</f>
        <v/>
      </c>
      <c r="F566" s="17">
        <f>IF($W566="","",TRIM(IFERROR(INDEX(FormData,$W566,f_Org1)&amp;"","")&amp;" "&amp;IFERROR(INDEX(FormData,$W566,f_Org2)&amp;"","")))</f>
        <v/>
      </c>
      <c r="G566" s="16">
        <f>IF($W566="","",IFERROR(INDEX(FormData,$W566,f_Region)&amp;"",""))</f>
        <v/>
      </c>
      <c r="H566" s="16">
        <f>IF($W566="","",IFERROR(IF(SUMPRODUCT(MAX((SitKW&lt;&gt;"")*ISNUMBER(SEARCH(SitKW,INDEX(FormData,$W566,f_Sit)&amp;""))*(ROW(SitKW)-MIN(ROW(SitKW))+1)))=0,"",INDEX(SitVal,SUMPRODUCT(MAX((SitKW&lt;&gt;"")*ISNUMBER(SEARCH(SitKW,INDEX(FormData,$W566,f_Sit)&amp;""))*(ROW(SitKW)-MIN(ROW(SitKW))+1))))),""))</f>
        <v/>
      </c>
      <c r="I566" s="14">
        <f>IF($W566="","",IFERROR(INDEX(FormData,$W566,f_Appr)&amp;"",""))</f>
        <v/>
      </c>
      <c r="J566" s="16">
        <f>IF($W566="","",IFERROR(INDEX(FormData,$W566,f_Trade)&amp;"",""))</f>
        <v/>
      </c>
      <c r="K566" s="16" t="n"/>
      <c r="L566" s="17" t="n"/>
      <c r="M566" s="16" t="n"/>
      <c r="N566" s="17" t="n"/>
      <c r="O566" s="14" t="n"/>
      <c r="P566" s="14" t="n"/>
      <c r="Q566" s="18" t="n"/>
      <c r="R566" s="18" t="n"/>
      <c r="S566" s="13">
        <f>IF($P566&lt;&gt;"✓","",IF($R566&lt;&gt;"","Done",IF($Q566="","Open — no date",IF($Q566&lt;TODAY(),"Overdue",IF($Q566-TODAY()&lt;=DueSoon,"Due soon","Scheduled")))))</f>
        <v/>
      </c>
      <c r="T566" s="14">
        <f>IF($W566="","",IFERROR(IF(INDEX(FormData,$W566,f_Consent)&amp;""="","",IF(ISNUMBER(SEARCH("yes",INDEX(FormData,$W566,f_Consent))),"Yes","No")),""))</f>
        <v/>
      </c>
      <c r="U566" s="14" t="n"/>
      <c r="V566" s="13">
        <f>IF($U566="","",IF($W566="","not found","✓"))</f>
        <v/>
      </c>
      <c r="W566">
        <f>IF($U566="","",IFERROR(MATCH($U566,INDEX(FormData,0,f_Id),0),IFERROR(MATCH(--$U566,INDEX(FormData,0,f_Id),0),IFERROR(MATCH($U566&amp;"",INDEX(FormData,0,f_Id),0),""))))</f>
        <v/>
      </c>
      <c r="X566">
        <f>IF(AND($B566&lt;&gt;"",$B566='Event Report'!$C$3),ROW(),"")</f>
        <v/>
      </c>
      <c r="Y566">
        <f>IF(AND($P566="✓",$R566=""),IF($Q566="",90000,$Q566)+ROW()/100000,"")</f>
        <v/>
      </c>
      <c r="Z566">
        <f>IF(OR($U566&lt;&gt;"",$D566&lt;&gt;"",$E566&lt;&gt;"",$N566&lt;&gt;""),1,"")</f>
        <v/>
      </c>
    </row>
    <row r="567">
      <c r="A567" s="13" t="inlineStr">
        <is>
          <t>P-0563</t>
        </is>
      </c>
      <c r="B567" s="14">
        <f>IF(AND($U567="",$C567=""),"",IFERROR(INDEX(EvID,MATCH(INDEX(FormData,$W567,f_Event),EvID,0)),IFERROR(INDEX(EvID,MATCH(INDEX(FormData,$W567,f_Event),EvName,0)),IFERROR(INDEX(EvID,MATCH(INT($C567),EvDate,0)),""))))</f>
        <v/>
      </c>
      <c r="C567" s="15">
        <f>IF($W567="","",INDEX(FormData,$W567,f_Time))</f>
        <v/>
      </c>
      <c r="D567" s="14">
        <f>IF($W567="","",IFERROR(UPPER(LEFT(TRIM(INDEX(FormData,$W567,f_Name)),1)&amp;IFERROR(MID(TRIM(INDEX(FormData,$W567,f_Name)),FIND("^",SUBSTITUTE(TRIM(INDEX(FormData,$W567,f_Name))," ","^",LEN(TRIM(INDEX(FormData,$W567,f_Name)))-LEN(SUBSTITUTE(TRIM(INDEX(FormData,$W567,f_Name))," ",""))))+1,1),"")),""))</f>
        <v/>
      </c>
      <c r="E567" s="16">
        <f>IF($W567="","",IFERROR(IF(SUMPRODUCT(MAX((WhoKW&lt;&gt;"")*ISNUMBER(SEARCH(WhoKW,INDEX(FormData,$W567,f_Who)&amp;""))*(ROW(WhoKW)-MIN(ROW(WhoKW))+1)))=0,"",INDEX(WhoVal,SUMPRODUCT(MAX((WhoKW&lt;&gt;"")*ISNUMBER(SEARCH(WhoKW,INDEX(FormData,$W567,f_Who)&amp;""))*(ROW(WhoKW)-MIN(ROW(WhoKW))+1))))),""))</f>
        <v/>
      </c>
      <c r="F567" s="17">
        <f>IF($W567="","",TRIM(IFERROR(INDEX(FormData,$W567,f_Org1)&amp;"","")&amp;" "&amp;IFERROR(INDEX(FormData,$W567,f_Org2)&amp;"","")))</f>
        <v/>
      </c>
      <c r="G567" s="16">
        <f>IF($W567="","",IFERROR(INDEX(FormData,$W567,f_Region)&amp;"",""))</f>
        <v/>
      </c>
      <c r="H567" s="16">
        <f>IF($W567="","",IFERROR(IF(SUMPRODUCT(MAX((SitKW&lt;&gt;"")*ISNUMBER(SEARCH(SitKW,INDEX(FormData,$W567,f_Sit)&amp;""))*(ROW(SitKW)-MIN(ROW(SitKW))+1)))=0,"",INDEX(SitVal,SUMPRODUCT(MAX((SitKW&lt;&gt;"")*ISNUMBER(SEARCH(SitKW,INDEX(FormData,$W567,f_Sit)&amp;""))*(ROW(SitKW)-MIN(ROW(SitKW))+1))))),""))</f>
        <v/>
      </c>
      <c r="I567" s="14">
        <f>IF($W567="","",IFERROR(INDEX(FormData,$W567,f_Appr)&amp;"",""))</f>
        <v/>
      </c>
      <c r="J567" s="16">
        <f>IF($W567="","",IFERROR(INDEX(FormData,$W567,f_Trade)&amp;"",""))</f>
        <v/>
      </c>
      <c r="K567" s="16" t="n"/>
      <c r="L567" s="17" t="n"/>
      <c r="M567" s="16" t="n"/>
      <c r="N567" s="17" t="n"/>
      <c r="O567" s="14" t="n"/>
      <c r="P567" s="14" t="n"/>
      <c r="Q567" s="18" t="n"/>
      <c r="R567" s="18" t="n"/>
      <c r="S567" s="13">
        <f>IF($P567&lt;&gt;"✓","",IF($R567&lt;&gt;"","Done",IF($Q567="","Open — no date",IF($Q567&lt;TODAY(),"Overdue",IF($Q567-TODAY()&lt;=DueSoon,"Due soon","Scheduled")))))</f>
        <v/>
      </c>
      <c r="T567" s="14">
        <f>IF($W567="","",IFERROR(IF(INDEX(FormData,$W567,f_Consent)&amp;""="","",IF(ISNUMBER(SEARCH("yes",INDEX(FormData,$W567,f_Consent))),"Yes","No")),""))</f>
        <v/>
      </c>
      <c r="U567" s="14" t="n"/>
      <c r="V567" s="13">
        <f>IF($U567="","",IF($W567="","not found","✓"))</f>
        <v/>
      </c>
      <c r="W567">
        <f>IF($U567="","",IFERROR(MATCH($U567,INDEX(FormData,0,f_Id),0),IFERROR(MATCH(--$U567,INDEX(FormData,0,f_Id),0),IFERROR(MATCH($U567&amp;"",INDEX(FormData,0,f_Id),0),""))))</f>
        <v/>
      </c>
      <c r="X567">
        <f>IF(AND($B567&lt;&gt;"",$B567='Event Report'!$C$3),ROW(),"")</f>
        <v/>
      </c>
      <c r="Y567">
        <f>IF(AND($P567="✓",$R567=""),IF($Q567="",90000,$Q567)+ROW()/100000,"")</f>
        <v/>
      </c>
      <c r="Z567">
        <f>IF(OR($U567&lt;&gt;"",$D567&lt;&gt;"",$E567&lt;&gt;"",$N567&lt;&gt;""),1,"")</f>
        <v/>
      </c>
    </row>
    <row r="568">
      <c r="A568" s="13" t="inlineStr">
        <is>
          <t>P-0564</t>
        </is>
      </c>
      <c r="B568" s="14">
        <f>IF(AND($U568="",$C568=""),"",IFERROR(INDEX(EvID,MATCH(INDEX(FormData,$W568,f_Event),EvID,0)),IFERROR(INDEX(EvID,MATCH(INDEX(FormData,$W568,f_Event),EvName,0)),IFERROR(INDEX(EvID,MATCH(INT($C568),EvDate,0)),""))))</f>
        <v/>
      </c>
      <c r="C568" s="15">
        <f>IF($W568="","",INDEX(FormData,$W568,f_Time))</f>
        <v/>
      </c>
      <c r="D568" s="14">
        <f>IF($W568="","",IFERROR(UPPER(LEFT(TRIM(INDEX(FormData,$W568,f_Name)),1)&amp;IFERROR(MID(TRIM(INDEX(FormData,$W568,f_Name)),FIND("^",SUBSTITUTE(TRIM(INDEX(FormData,$W568,f_Name))," ","^",LEN(TRIM(INDEX(FormData,$W568,f_Name)))-LEN(SUBSTITUTE(TRIM(INDEX(FormData,$W568,f_Name))," ",""))))+1,1),"")),""))</f>
        <v/>
      </c>
      <c r="E568" s="16">
        <f>IF($W568="","",IFERROR(IF(SUMPRODUCT(MAX((WhoKW&lt;&gt;"")*ISNUMBER(SEARCH(WhoKW,INDEX(FormData,$W568,f_Who)&amp;""))*(ROW(WhoKW)-MIN(ROW(WhoKW))+1)))=0,"",INDEX(WhoVal,SUMPRODUCT(MAX((WhoKW&lt;&gt;"")*ISNUMBER(SEARCH(WhoKW,INDEX(FormData,$W568,f_Who)&amp;""))*(ROW(WhoKW)-MIN(ROW(WhoKW))+1))))),""))</f>
        <v/>
      </c>
      <c r="F568" s="17">
        <f>IF($W568="","",TRIM(IFERROR(INDEX(FormData,$W568,f_Org1)&amp;"","")&amp;" "&amp;IFERROR(INDEX(FormData,$W568,f_Org2)&amp;"","")))</f>
        <v/>
      </c>
      <c r="G568" s="16">
        <f>IF($W568="","",IFERROR(INDEX(FormData,$W568,f_Region)&amp;"",""))</f>
        <v/>
      </c>
      <c r="H568" s="16">
        <f>IF($W568="","",IFERROR(IF(SUMPRODUCT(MAX((SitKW&lt;&gt;"")*ISNUMBER(SEARCH(SitKW,INDEX(FormData,$W568,f_Sit)&amp;""))*(ROW(SitKW)-MIN(ROW(SitKW))+1)))=0,"",INDEX(SitVal,SUMPRODUCT(MAX((SitKW&lt;&gt;"")*ISNUMBER(SEARCH(SitKW,INDEX(FormData,$W568,f_Sit)&amp;""))*(ROW(SitKW)-MIN(ROW(SitKW))+1))))),""))</f>
        <v/>
      </c>
      <c r="I568" s="14">
        <f>IF($W568="","",IFERROR(INDEX(FormData,$W568,f_Appr)&amp;"",""))</f>
        <v/>
      </c>
      <c r="J568" s="16">
        <f>IF($W568="","",IFERROR(INDEX(FormData,$W568,f_Trade)&amp;"",""))</f>
        <v/>
      </c>
      <c r="K568" s="16" t="n"/>
      <c r="L568" s="17" t="n"/>
      <c r="M568" s="16" t="n"/>
      <c r="N568" s="17" t="n"/>
      <c r="O568" s="14" t="n"/>
      <c r="P568" s="14" t="n"/>
      <c r="Q568" s="18" t="n"/>
      <c r="R568" s="18" t="n"/>
      <c r="S568" s="13">
        <f>IF($P568&lt;&gt;"✓","",IF($R568&lt;&gt;"","Done",IF($Q568="","Open — no date",IF($Q568&lt;TODAY(),"Overdue",IF($Q568-TODAY()&lt;=DueSoon,"Due soon","Scheduled")))))</f>
        <v/>
      </c>
      <c r="T568" s="14">
        <f>IF($W568="","",IFERROR(IF(INDEX(FormData,$W568,f_Consent)&amp;""="","",IF(ISNUMBER(SEARCH("yes",INDEX(FormData,$W568,f_Consent))),"Yes","No")),""))</f>
        <v/>
      </c>
      <c r="U568" s="14" t="n"/>
      <c r="V568" s="13">
        <f>IF($U568="","",IF($W568="","not found","✓"))</f>
        <v/>
      </c>
      <c r="W568">
        <f>IF($U568="","",IFERROR(MATCH($U568,INDEX(FormData,0,f_Id),0),IFERROR(MATCH(--$U568,INDEX(FormData,0,f_Id),0),IFERROR(MATCH($U568&amp;"",INDEX(FormData,0,f_Id),0),""))))</f>
        <v/>
      </c>
      <c r="X568">
        <f>IF(AND($B568&lt;&gt;"",$B568='Event Report'!$C$3),ROW(),"")</f>
        <v/>
      </c>
      <c r="Y568">
        <f>IF(AND($P568="✓",$R568=""),IF($Q568="",90000,$Q568)+ROW()/100000,"")</f>
        <v/>
      </c>
      <c r="Z568">
        <f>IF(OR($U568&lt;&gt;"",$D568&lt;&gt;"",$E568&lt;&gt;"",$N568&lt;&gt;""),1,"")</f>
        <v/>
      </c>
    </row>
    <row r="569">
      <c r="A569" s="13" t="inlineStr">
        <is>
          <t>P-0565</t>
        </is>
      </c>
      <c r="B569" s="14">
        <f>IF(AND($U569="",$C569=""),"",IFERROR(INDEX(EvID,MATCH(INDEX(FormData,$W569,f_Event),EvID,0)),IFERROR(INDEX(EvID,MATCH(INDEX(FormData,$W569,f_Event),EvName,0)),IFERROR(INDEX(EvID,MATCH(INT($C569),EvDate,0)),""))))</f>
        <v/>
      </c>
      <c r="C569" s="15">
        <f>IF($W569="","",INDEX(FormData,$W569,f_Time))</f>
        <v/>
      </c>
      <c r="D569" s="14">
        <f>IF($W569="","",IFERROR(UPPER(LEFT(TRIM(INDEX(FormData,$W569,f_Name)),1)&amp;IFERROR(MID(TRIM(INDEX(FormData,$W569,f_Name)),FIND("^",SUBSTITUTE(TRIM(INDEX(FormData,$W569,f_Name))," ","^",LEN(TRIM(INDEX(FormData,$W569,f_Name)))-LEN(SUBSTITUTE(TRIM(INDEX(FormData,$W569,f_Name))," ",""))))+1,1),"")),""))</f>
        <v/>
      </c>
      <c r="E569" s="16">
        <f>IF($W569="","",IFERROR(IF(SUMPRODUCT(MAX((WhoKW&lt;&gt;"")*ISNUMBER(SEARCH(WhoKW,INDEX(FormData,$W569,f_Who)&amp;""))*(ROW(WhoKW)-MIN(ROW(WhoKW))+1)))=0,"",INDEX(WhoVal,SUMPRODUCT(MAX((WhoKW&lt;&gt;"")*ISNUMBER(SEARCH(WhoKW,INDEX(FormData,$W569,f_Who)&amp;""))*(ROW(WhoKW)-MIN(ROW(WhoKW))+1))))),""))</f>
        <v/>
      </c>
      <c r="F569" s="17">
        <f>IF($W569="","",TRIM(IFERROR(INDEX(FormData,$W569,f_Org1)&amp;"","")&amp;" "&amp;IFERROR(INDEX(FormData,$W569,f_Org2)&amp;"","")))</f>
        <v/>
      </c>
      <c r="G569" s="16">
        <f>IF($W569="","",IFERROR(INDEX(FormData,$W569,f_Region)&amp;"",""))</f>
        <v/>
      </c>
      <c r="H569" s="16">
        <f>IF($W569="","",IFERROR(IF(SUMPRODUCT(MAX((SitKW&lt;&gt;"")*ISNUMBER(SEARCH(SitKW,INDEX(FormData,$W569,f_Sit)&amp;""))*(ROW(SitKW)-MIN(ROW(SitKW))+1)))=0,"",INDEX(SitVal,SUMPRODUCT(MAX((SitKW&lt;&gt;"")*ISNUMBER(SEARCH(SitKW,INDEX(FormData,$W569,f_Sit)&amp;""))*(ROW(SitKW)-MIN(ROW(SitKW))+1))))),""))</f>
        <v/>
      </c>
      <c r="I569" s="14">
        <f>IF($W569="","",IFERROR(INDEX(FormData,$W569,f_Appr)&amp;"",""))</f>
        <v/>
      </c>
      <c r="J569" s="16">
        <f>IF($W569="","",IFERROR(INDEX(FormData,$W569,f_Trade)&amp;"",""))</f>
        <v/>
      </c>
      <c r="K569" s="16" t="n"/>
      <c r="L569" s="17" t="n"/>
      <c r="M569" s="16" t="n"/>
      <c r="N569" s="17" t="n"/>
      <c r="O569" s="14" t="n"/>
      <c r="P569" s="14" t="n"/>
      <c r="Q569" s="18" t="n"/>
      <c r="R569" s="18" t="n"/>
      <c r="S569" s="13">
        <f>IF($P569&lt;&gt;"✓","",IF($R569&lt;&gt;"","Done",IF($Q569="","Open — no date",IF($Q569&lt;TODAY(),"Overdue",IF($Q569-TODAY()&lt;=DueSoon,"Due soon","Scheduled")))))</f>
        <v/>
      </c>
      <c r="T569" s="14">
        <f>IF($W569="","",IFERROR(IF(INDEX(FormData,$W569,f_Consent)&amp;""="","",IF(ISNUMBER(SEARCH("yes",INDEX(FormData,$W569,f_Consent))),"Yes","No")),""))</f>
        <v/>
      </c>
      <c r="U569" s="14" t="n"/>
      <c r="V569" s="13">
        <f>IF($U569="","",IF($W569="","not found","✓"))</f>
        <v/>
      </c>
      <c r="W569">
        <f>IF($U569="","",IFERROR(MATCH($U569,INDEX(FormData,0,f_Id),0),IFERROR(MATCH(--$U569,INDEX(FormData,0,f_Id),0),IFERROR(MATCH($U569&amp;"",INDEX(FormData,0,f_Id),0),""))))</f>
        <v/>
      </c>
      <c r="X569">
        <f>IF(AND($B569&lt;&gt;"",$B569='Event Report'!$C$3),ROW(),"")</f>
        <v/>
      </c>
      <c r="Y569">
        <f>IF(AND($P569="✓",$R569=""),IF($Q569="",90000,$Q569)+ROW()/100000,"")</f>
        <v/>
      </c>
      <c r="Z569">
        <f>IF(OR($U569&lt;&gt;"",$D569&lt;&gt;"",$E569&lt;&gt;"",$N569&lt;&gt;""),1,"")</f>
        <v/>
      </c>
    </row>
    <row r="570">
      <c r="A570" s="13" t="inlineStr">
        <is>
          <t>P-0566</t>
        </is>
      </c>
      <c r="B570" s="14">
        <f>IF(AND($U570="",$C570=""),"",IFERROR(INDEX(EvID,MATCH(INDEX(FormData,$W570,f_Event),EvID,0)),IFERROR(INDEX(EvID,MATCH(INDEX(FormData,$W570,f_Event),EvName,0)),IFERROR(INDEX(EvID,MATCH(INT($C570),EvDate,0)),""))))</f>
        <v/>
      </c>
      <c r="C570" s="15">
        <f>IF($W570="","",INDEX(FormData,$W570,f_Time))</f>
        <v/>
      </c>
      <c r="D570" s="14">
        <f>IF($W570="","",IFERROR(UPPER(LEFT(TRIM(INDEX(FormData,$W570,f_Name)),1)&amp;IFERROR(MID(TRIM(INDEX(FormData,$W570,f_Name)),FIND("^",SUBSTITUTE(TRIM(INDEX(FormData,$W570,f_Name))," ","^",LEN(TRIM(INDEX(FormData,$W570,f_Name)))-LEN(SUBSTITUTE(TRIM(INDEX(FormData,$W570,f_Name))," ",""))))+1,1),"")),""))</f>
        <v/>
      </c>
      <c r="E570" s="16">
        <f>IF($W570="","",IFERROR(IF(SUMPRODUCT(MAX((WhoKW&lt;&gt;"")*ISNUMBER(SEARCH(WhoKW,INDEX(FormData,$W570,f_Who)&amp;""))*(ROW(WhoKW)-MIN(ROW(WhoKW))+1)))=0,"",INDEX(WhoVal,SUMPRODUCT(MAX((WhoKW&lt;&gt;"")*ISNUMBER(SEARCH(WhoKW,INDEX(FormData,$W570,f_Who)&amp;""))*(ROW(WhoKW)-MIN(ROW(WhoKW))+1))))),""))</f>
        <v/>
      </c>
      <c r="F570" s="17">
        <f>IF($W570="","",TRIM(IFERROR(INDEX(FormData,$W570,f_Org1)&amp;"","")&amp;" "&amp;IFERROR(INDEX(FormData,$W570,f_Org2)&amp;"","")))</f>
        <v/>
      </c>
      <c r="G570" s="16">
        <f>IF($W570="","",IFERROR(INDEX(FormData,$W570,f_Region)&amp;"",""))</f>
        <v/>
      </c>
      <c r="H570" s="16">
        <f>IF($W570="","",IFERROR(IF(SUMPRODUCT(MAX((SitKW&lt;&gt;"")*ISNUMBER(SEARCH(SitKW,INDEX(FormData,$W570,f_Sit)&amp;""))*(ROW(SitKW)-MIN(ROW(SitKW))+1)))=0,"",INDEX(SitVal,SUMPRODUCT(MAX((SitKW&lt;&gt;"")*ISNUMBER(SEARCH(SitKW,INDEX(FormData,$W570,f_Sit)&amp;""))*(ROW(SitKW)-MIN(ROW(SitKW))+1))))),""))</f>
        <v/>
      </c>
      <c r="I570" s="14">
        <f>IF($W570="","",IFERROR(INDEX(FormData,$W570,f_Appr)&amp;"",""))</f>
        <v/>
      </c>
      <c r="J570" s="16">
        <f>IF($W570="","",IFERROR(INDEX(FormData,$W570,f_Trade)&amp;"",""))</f>
        <v/>
      </c>
      <c r="K570" s="16" t="n"/>
      <c r="L570" s="17" t="n"/>
      <c r="M570" s="16" t="n"/>
      <c r="N570" s="17" t="n"/>
      <c r="O570" s="14" t="n"/>
      <c r="P570" s="14" t="n"/>
      <c r="Q570" s="18" t="n"/>
      <c r="R570" s="18" t="n"/>
      <c r="S570" s="13">
        <f>IF($P570&lt;&gt;"✓","",IF($R570&lt;&gt;"","Done",IF($Q570="","Open — no date",IF($Q570&lt;TODAY(),"Overdue",IF($Q570-TODAY()&lt;=DueSoon,"Due soon","Scheduled")))))</f>
        <v/>
      </c>
      <c r="T570" s="14">
        <f>IF($W570="","",IFERROR(IF(INDEX(FormData,$W570,f_Consent)&amp;""="","",IF(ISNUMBER(SEARCH("yes",INDEX(FormData,$W570,f_Consent))),"Yes","No")),""))</f>
        <v/>
      </c>
      <c r="U570" s="14" t="n"/>
      <c r="V570" s="13">
        <f>IF($U570="","",IF($W570="","not found","✓"))</f>
        <v/>
      </c>
      <c r="W570">
        <f>IF($U570="","",IFERROR(MATCH($U570,INDEX(FormData,0,f_Id),0),IFERROR(MATCH(--$U570,INDEX(FormData,0,f_Id),0),IFERROR(MATCH($U570&amp;"",INDEX(FormData,0,f_Id),0),""))))</f>
        <v/>
      </c>
      <c r="X570">
        <f>IF(AND($B570&lt;&gt;"",$B570='Event Report'!$C$3),ROW(),"")</f>
        <v/>
      </c>
      <c r="Y570">
        <f>IF(AND($P570="✓",$R570=""),IF($Q570="",90000,$Q570)+ROW()/100000,"")</f>
        <v/>
      </c>
      <c r="Z570">
        <f>IF(OR($U570&lt;&gt;"",$D570&lt;&gt;"",$E570&lt;&gt;"",$N570&lt;&gt;""),1,"")</f>
        <v/>
      </c>
    </row>
    <row r="571">
      <c r="A571" s="13" t="inlineStr">
        <is>
          <t>P-0567</t>
        </is>
      </c>
      <c r="B571" s="14">
        <f>IF(AND($U571="",$C571=""),"",IFERROR(INDEX(EvID,MATCH(INDEX(FormData,$W571,f_Event),EvID,0)),IFERROR(INDEX(EvID,MATCH(INDEX(FormData,$W571,f_Event),EvName,0)),IFERROR(INDEX(EvID,MATCH(INT($C571),EvDate,0)),""))))</f>
        <v/>
      </c>
      <c r="C571" s="15">
        <f>IF($W571="","",INDEX(FormData,$W571,f_Time))</f>
        <v/>
      </c>
      <c r="D571" s="14">
        <f>IF($W571="","",IFERROR(UPPER(LEFT(TRIM(INDEX(FormData,$W571,f_Name)),1)&amp;IFERROR(MID(TRIM(INDEX(FormData,$W571,f_Name)),FIND("^",SUBSTITUTE(TRIM(INDEX(FormData,$W571,f_Name))," ","^",LEN(TRIM(INDEX(FormData,$W571,f_Name)))-LEN(SUBSTITUTE(TRIM(INDEX(FormData,$W571,f_Name))," ",""))))+1,1),"")),""))</f>
        <v/>
      </c>
      <c r="E571" s="16">
        <f>IF($W571="","",IFERROR(IF(SUMPRODUCT(MAX((WhoKW&lt;&gt;"")*ISNUMBER(SEARCH(WhoKW,INDEX(FormData,$W571,f_Who)&amp;""))*(ROW(WhoKW)-MIN(ROW(WhoKW))+1)))=0,"",INDEX(WhoVal,SUMPRODUCT(MAX((WhoKW&lt;&gt;"")*ISNUMBER(SEARCH(WhoKW,INDEX(FormData,$W571,f_Who)&amp;""))*(ROW(WhoKW)-MIN(ROW(WhoKW))+1))))),""))</f>
        <v/>
      </c>
      <c r="F571" s="17">
        <f>IF($W571="","",TRIM(IFERROR(INDEX(FormData,$W571,f_Org1)&amp;"","")&amp;" "&amp;IFERROR(INDEX(FormData,$W571,f_Org2)&amp;"","")))</f>
        <v/>
      </c>
      <c r="G571" s="16">
        <f>IF($W571="","",IFERROR(INDEX(FormData,$W571,f_Region)&amp;"",""))</f>
        <v/>
      </c>
      <c r="H571" s="16">
        <f>IF($W571="","",IFERROR(IF(SUMPRODUCT(MAX((SitKW&lt;&gt;"")*ISNUMBER(SEARCH(SitKW,INDEX(FormData,$W571,f_Sit)&amp;""))*(ROW(SitKW)-MIN(ROW(SitKW))+1)))=0,"",INDEX(SitVal,SUMPRODUCT(MAX((SitKW&lt;&gt;"")*ISNUMBER(SEARCH(SitKW,INDEX(FormData,$W571,f_Sit)&amp;""))*(ROW(SitKW)-MIN(ROW(SitKW))+1))))),""))</f>
        <v/>
      </c>
      <c r="I571" s="14">
        <f>IF($W571="","",IFERROR(INDEX(FormData,$W571,f_Appr)&amp;"",""))</f>
        <v/>
      </c>
      <c r="J571" s="16">
        <f>IF($W571="","",IFERROR(INDEX(FormData,$W571,f_Trade)&amp;"",""))</f>
        <v/>
      </c>
      <c r="K571" s="16" t="n"/>
      <c r="L571" s="17" t="n"/>
      <c r="M571" s="16" t="n"/>
      <c r="N571" s="17" t="n"/>
      <c r="O571" s="14" t="n"/>
      <c r="P571" s="14" t="n"/>
      <c r="Q571" s="18" t="n"/>
      <c r="R571" s="18" t="n"/>
      <c r="S571" s="13">
        <f>IF($P571&lt;&gt;"✓","",IF($R571&lt;&gt;"","Done",IF($Q571="","Open — no date",IF($Q571&lt;TODAY(),"Overdue",IF($Q571-TODAY()&lt;=DueSoon,"Due soon","Scheduled")))))</f>
        <v/>
      </c>
      <c r="T571" s="14">
        <f>IF($W571="","",IFERROR(IF(INDEX(FormData,$W571,f_Consent)&amp;""="","",IF(ISNUMBER(SEARCH("yes",INDEX(FormData,$W571,f_Consent))),"Yes","No")),""))</f>
        <v/>
      </c>
      <c r="U571" s="14" t="n"/>
      <c r="V571" s="13">
        <f>IF($U571="","",IF($W571="","not found","✓"))</f>
        <v/>
      </c>
      <c r="W571">
        <f>IF($U571="","",IFERROR(MATCH($U571,INDEX(FormData,0,f_Id),0),IFERROR(MATCH(--$U571,INDEX(FormData,0,f_Id),0),IFERROR(MATCH($U571&amp;"",INDEX(FormData,0,f_Id),0),""))))</f>
        <v/>
      </c>
      <c r="X571">
        <f>IF(AND($B571&lt;&gt;"",$B571='Event Report'!$C$3),ROW(),"")</f>
        <v/>
      </c>
      <c r="Y571">
        <f>IF(AND($P571="✓",$R571=""),IF($Q571="",90000,$Q571)+ROW()/100000,"")</f>
        <v/>
      </c>
      <c r="Z571">
        <f>IF(OR($U571&lt;&gt;"",$D571&lt;&gt;"",$E571&lt;&gt;"",$N571&lt;&gt;""),1,"")</f>
        <v/>
      </c>
    </row>
    <row r="572">
      <c r="A572" s="13" t="inlineStr">
        <is>
          <t>P-0568</t>
        </is>
      </c>
      <c r="B572" s="14">
        <f>IF(AND($U572="",$C572=""),"",IFERROR(INDEX(EvID,MATCH(INDEX(FormData,$W572,f_Event),EvID,0)),IFERROR(INDEX(EvID,MATCH(INDEX(FormData,$W572,f_Event),EvName,0)),IFERROR(INDEX(EvID,MATCH(INT($C572),EvDate,0)),""))))</f>
        <v/>
      </c>
      <c r="C572" s="15">
        <f>IF($W572="","",INDEX(FormData,$W572,f_Time))</f>
        <v/>
      </c>
      <c r="D572" s="14">
        <f>IF($W572="","",IFERROR(UPPER(LEFT(TRIM(INDEX(FormData,$W572,f_Name)),1)&amp;IFERROR(MID(TRIM(INDEX(FormData,$W572,f_Name)),FIND("^",SUBSTITUTE(TRIM(INDEX(FormData,$W572,f_Name))," ","^",LEN(TRIM(INDEX(FormData,$W572,f_Name)))-LEN(SUBSTITUTE(TRIM(INDEX(FormData,$W572,f_Name))," ",""))))+1,1),"")),""))</f>
        <v/>
      </c>
      <c r="E572" s="16">
        <f>IF($W572="","",IFERROR(IF(SUMPRODUCT(MAX((WhoKW&lt;&gt;"")*ISNUMBER(SEARCH(WhoKW,INDEX(FormData,$W572,f_Who)&amp;""))*(ROW(WhoKW)-MIN(ROW(WhoKW))+1)))=0,"",INDEX(WhoVal,SUMPRODUCT(MAX((WhoKW&lt;&gt;"")*ISNUMBER(SEARCH(WhoKW,INDEX(FormData,$W572,f_Who)&amp;""))*(ROW(WhoKW)-MIN(ROW(WhoKW))+1))))),""))</f>
        <v/>
      </c>
      <c r="F572" s="17">
        <f>IF($W572="","",TRIM(IFERROR(INDEX(FormData,$W572,f_Org1)&amp;"","")&amp;" "&amp;IFERROR(INDEX(FormData,$W572,f_Org2)&amp;"","")))</f>
        <v/>
      </c>
      <c r="G572" s="16">
        <f>IF($W572="","",IFERROR(INDEX(FormData,$W572,f_Region)&amp;"",""))</f>
        <v/>
      </c>
      <c r="H572" s="16">
        <f>IF($W572="","",IFERROR(IF(SUMPRODUCT(MAX((SitKW&lt;&gt;"")*ISNUMBER(SEARCH(SitKW,INDEX(FormData,$W572,f_Sit)&amp;""))*(ROW(SitKW)-MIN(ROW(SitKW))+1)))=0,"",INDEX(SitVal,SUMPRODUCT(MAX((SitKW&lt;&gt;"")*ISNUMBER(SEARCH(SitKW,INDEX(FormData,$W572,f_Sit)&amp;""))*(ROW(SitKW)-MIN(ROW(SitKW))+1))))),""))</f>
        <v/>
      </c>
      <c r="I572" s="14">
        <f>IF($W572="","",IFERROR(INDEX(FormData,$W572,f_Appr)&amp;"",""))</f>
        <v/>
      </c>
      <c r="J572" s="16">
        <f>IF($W572="","",IFERROR(INDEX(FormData,$W572,f_Trade)&amp;"",""))</f>
        <v/>
      </c>
      <c r="K572" s="16" t="n"/>
      <c r="L572" s="17" t="n"/>
      <c r="M572" s="16" t="n"/>
      <c r="N572" s="17" t="n"/>
      <c r="O572" s="14" t="n"/>
      <c r="P572" s="14" t="n"/>
      <c r="Q572" s="18" t="n"/>
      <c r="R572" s="18" t="n"/>
      <c r="S572" s="13">
        <f>IF($P572&lt;&gt;"✓","",IF($R572&lt;&gt;"","Done",IF($Q572="","Open — no date",IF($Q572&lt;TODAY(),"Overdue",IF($Q572-TODAY()&lt;=DueSoon,"Due soon","Scheduled")))))</f>
        <v/>
      </c>
      <c r="T572" s="14">
        <f>IF($W572="","",IFERROR(IF(INDEX(FormData,$W572,f_Consent)&amp;""="","",IF(ISNUMBER(SEARCH("yes",INDEX(FormData,$W572,f_Consent))),"Yes","No")),""))</f>
        <v/>
      </c>
      <c r="U572" s="14" t="n"/>
      <c r="V572" s="13">
        <f>IF($U572="","",IF($W572="","not found","✓"))</f>
        <v/>
      </c>
      <c r="W572">
        <f>IF($U572="","",IFERROR(MATCH($U572,INDEX(FormData,0,f_Id),0),IFERROR(MATCH(--$U572,INDEX(FormData,0,f_Id),0),IFERROR(MATCH($U572&amp;"",INDEX(FormData,0,f_Id),0),""))))</f>
        <v/>
      </c>
      <c r="X572">
        <f>IF(AND($B572&lt;&gt;"",$B572='Event Report'!$C$3),ROW(),"")</f>
        <v/>
      </c>
      <c r="Y572">
        <f>IF(AND($P572="✓",$R572=""),IF($Q572="",90000,$Q572)+ROW()/100000,"")</f>
        <v/>
      </c>
      <c r="Z572">
        <f>IF(OR($U572&lt;&gt;"",$D572&lt;&gt;"",$E572&lt;&gt;"",$N572&lt;&gt;""),1,"")</f>
        <v/>
      </c>
    </row>
    <row r="573">
      <c r="A573" s="13" t="inlineStr">
        <is>
          <t>P-0569</t>
        </is>
      </c>
      <c r="B573" s="14">
        <f>IF(AND($U573="",$C573=""),"",IFERROR(INDEX(EvID,MATCH(INDEX(FormData,$W573,f_Event),EvID,0)),IFERROR(INDEX(EvID,MATCH(INDEX(FormData,$W573,f_Event),EvName,0)),IFERROR(INDEX(EvID,MATCH(INT($C573),EvDate,0)),""))))</f>
        <v/>
      </c>
      <c r="C573" s="15">
        <f>IF($W573="","",INDEX(FormData,$W573,f_Time))</f>
        <v/>
      </c>
      <c r="D573" s="14">
        <f>IF($W573="","",IFERROR(UPPER(LEFT(TRIM(INDEX(FormData,$W573,f_Name)),1)&amp;IFERROR(MID(TRIM(INDEX(FormData,$W573,f_Name)),FIND("^",SUBSTITUTE(TRIM(INDEX(FormData,$W573,f_Name))," ","^",LEN(TRIM(INDEX(FormData,$W573,f_Name)))-LEN(SUBSTITUTE(TRIM(INDEX(FormData,$W573,f_Name))," ",""))))+1,1),"")),""))</f>
        <v/>
      </c>
      <c r="E573" s="16">
        <f>IF($W573="","",IFERROR(IF(SUMPRODUCT(MAX((WhoKW&lt;&gt;"")*ISNUMBER(SEARCH(WhoKW,INDEX(FormData,$W573,f_Who)&amp;""))*(ROW(WhoKW)-MIN(ROW(WhoKW))+1)))=0,"",INDEX(WhoVal,SUMPRODUCT(MAX((WhoKW&lt;&gt;"")*ISNUMBER(SEARCH(WhoKW,INDEX(FormData,$W573,f_Who)&amp;""))*(ROW(WhoKW)-MIN(ROW(WhoKW))+1))))),""))</f>
        <v/>
      </c>
      <c r="F573" s="17">
        <f>IF($W573="","",TRIM(IFERROR(INDEX(FormData,$W573,f_Org1)&amp;"","")&amp;" "&amp;IFERROR(INDEX(FormData,$W573,f_Org2)&amp;"","")))</f>
        <v/>
      </c>
      <c r="G573" s="16">
        <f>IF($W573="","",IFERROR(INDEX(FormData,$W573,f_Region)&amp;"",""))</f>
        <v/>
      </c>
      <c r="H573" s="16">
        <f>IF($W573="","",IFERROR(IF(SUMPRODUCT(MAX((SitKW&lt;&gt;"")*ISNUMBER(SEARCH(SitKW,INDEX(FormData,$W573,f_Sit)&amp;""))*(ROW(SitKW)-MIN(ROW(SitKW))+1)))=0,"",INDEX(SitVal,SUMPRODUCT(MAX((SitKW&lt;&gt;"")*ISNUMBER(SEARCH(SitKW,INDEX(FormData,$W573,f_Sit)&amp;""))*(ROW(SitKW)-MIN(ROW(SitKW))+1))))),""))</f>
        <v/>
      </c>
      <c r="I573" s="14">
        <f>IF($W573="","",IFERROR(INDEX(FormData,$W573,f_Appr)&amp;"",""))</f>
        <v/>
      </c>
      <c r="J573" s="16">
        <f>IF($W573="","",IFERROR(INDEX(FormData,$W573,f_Trade)&amp;"",""))</f>
        <v/>
      </c>
      <c r="K573" s="16" t="n"/>
      <c r="L573" s="17" t="n"/>
      <c r="M573" s="16" t="n"/>
      <c r="N573" s="17" t="n"/>
      <c r="O573" s="14" t="n"/>
      <c r="P573" s="14" t="n"/>
      <c r="Q573" s="18" t="n"/>
      <c r="R573" s="18" t="n"/>
      <c r="S573" s="13">
        <f>IF($P573&lt;&gt;"✓","",IF($R573&lt;&gt;"","Done",IF($Q573="","Open — no date",IF($Q573&lt;TODAY(),"Overdue",IF($Q573-TODAY()&lt;=DueSoon,"Due soon","Scheduled")))))</f>
        <v/>
      </c>
      <c r="T573" s="14">
        <f>IF($W573="","",IFERROR(IF(INDEX(FormData,$W573,f_Consent)&amp;""="","",IF(ISNUMBER(SEARCH("yes",INDEX(FormData,$W573,f_Consent))),"Yes","No")),""))</f>
        <v/>
      </c>
      <c r="U573" s="14" t="n"/>
      <c r="V573" s="13">
        <f>IF($U573="","",IF($W573="","not found","✓"))</f>
        <v/>
      </c>
      <c r="W573">
        <f>IF($U573="","",IFERROR(MATCH($U573,INDEX(FormData,0,f_Id),0),IFERROR(MATCH(--$U573,INDEX(FormData,0,f_Id),0),IFERROR(MATCH($U573&amp;"",INDEX(FormData,0,f_Id),0),""))))</f>
        <v/>
      </c>
      <c r="X573">
        <f>IF(AND($B573&lt;&gt;"",$B573='Event Report'!$C$3),ROW(),"")</f>
        <v/>
      </c>
      <c r="Y573">
        <f>IF(AND($P573="✓",$R573=""),IF($Q573="",90000,$Q573)+ROW()/100000,"")</f>
        <v/>
      </c>
      <c r="Z573">
        <f>IF(OR($U573&lt;&gt;"",$D573&lt;&gt;"",$E573&lt;&gt;"",$N573&lt;&gt;""),1,"")</f>
        <v/>
      </c>
    </row>
    <row r="574">
      <c r="A574" s="13" t="inlineStr">
        <is>
          <t>P-0570</t>
        </is>
      </c>
      <c r="B574" s="14">
        <f>IF(AND($U574="",$C574=""),"",IFERROR(INDEX(EvID,MATCH(INDEX(FormData,$W574,f_Event),EvID,0)),IFERROR(INDEX(EvID,MATCH(INDEX(FormData,$W574,f_Event),EvName,0)),IFERROR(INDEX(EvID,MATCH(INT($C574),EvDate,0)),""))))</f>
        <v/>
      </c>
      <c r="C574" s="15">
        <f>IF($W574="","",INDEX(FormData,$W574,f_Time))</f>
        <v/>
      </c>
      <c r="D574" s="14">
        <f>IF($W574="","",IFERROR(UPPER(LEFT(TRIM(INDEX(FormData,$W574,f_Name)),1)&amp;IFERROR(MID(TRIM(INDEX(FormData,$W574,f_Name)),FIND("^",SUBSTITUTE(TRIM(INDEX(FormData,$W574,f_Name))," ","^",LEN(TRIM(INDEX(FormData,$W574,f_Name)))-LEN(SUBSTITUTE(TRIM(INDEX(FormData,$W574,f_Name))," ",""))))+1,1),"")),""))</f>
        <v/>
      </c>
      <c r="E574" s="16">
        <f>IF($W574="","",IFERROR(IF(SUMPRODUCT(MAX((WhoKW&lt;&gt;"")*ISNUMBER(SEARCH(WhoKW,INDEX(FormData,$W574,f_Who)&amp;""))*(ROW(WhoKW)-MIN(ROW(WhoKW))+1)))=0,"",INDEX(WhoVal,SUMPRODUCT(MAX((WhoKW&lt;&gt;"")*ISNUMBER(SEARCH(WhoKW,INDEX(FormData,$W574,f_Who)&amp;""))*(ROW(WhoKW)-MIN(ROW(WhoKW))+1))))),""))</f>
        <v/>
      </c>
      <c r="F574" s="17">
        <f>IF($W574="","",TRIM(IFERROR(INDEX(FormData,$W574,f_Org1)&amp;"","")&amp;" "&amp;IFERROR(INDEX(FormData,$W574,f_Org2)&amp;"","")))</f>
        <v/>
      </c>
      <c r="G574" s="16">
        <f>IF($W574="","",IFERROR(INDEX(FormData,$W574,f_Region)&amp;"",""))</f>
        <v/>
      </c>
      <c r="H574" s="16">
        <f>IF($W574="","",IFERROR(IF(SUMPRODUCT(MAX((SitKW&lt;&gt;"")*ISNUMBER(SEARCH(SitKW,INDEX(FormData,$W574,f_Sit)&amp;""))*(ROW(SitKW)-MIN(ROW(SitKW))+1)))=0,"",INDEX(SitVal,SUMPRODUCT(MAX((SitKW&lt;&gt;"")*ISNUMBER(SEARCH(SitKW,INDEX(FormData,$W574,f_Sit)&amp;""))*(ROW(SitKW)-MIN(ROW(SitKW))+1))))),""))</f>
        <v/>
      </c>
      <c r="I574" s="14">
        <f>IF($W574="","",IFERROR(INDEX(FormData,$W574,f_Appr)&amp;"",""))</f>
        <v/>
      </c>
      <c r="J574" s="16">
        <f>IF($W574="","",IFERROR(INDEX(FormData,$W574,f_Trade)&amp;"",""))</f>
        <v/>
      </c>
      <c r="K574" s="16" t="n"/>
      <c r="L574" s="17" t="n"/>
      <c r="M574" s="16" t="n"/>
      <c r="N574" s="17" t="n"/>
      <c r="O574" s="14" t="n"/>
      <c r="P574" s="14" t="n"/>
      <c r="Q574" s="18" t="n"/>
      <c r="R574" s="18" t="n"/>
      <c r="S574" s="13">
        <f>IF($P574&lt;&gt;"✓","",IF($R574&lt;&gt;"","Done",IF($Q574="","Open — no date",IF($Q574&lt;TODAY(),"Overdue",IF($Q574-TODAY()&lt;=DueSoon,"Due soon","Scheduled")))))</f>
        <v/>
      </c>
      <c r="T574" s="14">
        <f>IF($W574="","",IFERROR(IF(INDEX(FormData,$W574,f_Consent)&amp;""="","",IF(ISNUMBER(SEARCH("yes",INDEX(FormData,$W574,f_Consent))),"Yes","No")),""))</f>
        <v/>
      </c>
      <c r="U574" s="14" t="n"/>
      <c r="V574" s="13">
        <f>IF($U574="","",IF($W574="","not found","✓"))</f>
        <v/>
      </c>
      <c r="W574">
        <f>IF($U574="","",IFERROR(MATCH($U574,INDEX(FormData,0,f_Id),0),IFERROR(MATCH(--$U574,INDEX(FormData,0,f_Id),0),IFERROR(MATCH($U574&amp;"",INDEX(FormData,0,f_Id),0),""))))</f>
        <v/>
      </c>
      <c r="X574">
        <f>IF(AND($B574&lt;&gt;"",$B574='Event Report'!$C$3),ROW(),"")</f>
        <v/>
      </c>
      <c r="Y574">
        <f>IF(AND($P574="✓",$R574=""),IF($Q574="",90000,$Q574)+ROW()/100000,"")</f>
        <v/>
      </c>
      <c r="Z574">
        <f>IF(OR($U574&lt;&gt;"",$D574&lt;&gt;"",$E574&lt;&gt;"",$N574&lt;&gt;""),1,"")</f>
        <v/>
      </c>
    </row>
    <row r="575">
      <c r="A575" s="13" t="inlineStr">
        <is>
          <t>P-0571</t>
        </is>
      </c>
      <c r="B575" s="14">
        <f>IF(AND($U575="",$C575=""),"",IFERROR(INDEX(EvID,MATCH(INDEX(FormData,$W575,f_Event),EvID,0)),IFERROR(INDEX(EvID,MATCH(INDEX(FormData,$W575,f_Event),EvName,0)),IFERROR(INDEX(EvID,MATCH(INT($C575),EvDate,0)),""))))</f>
        <v/>
      </c>
      <c r="C575" s="15">
        <f>IF($W575="","",INDEX(FormData,$W575,f_Time))</f>
        <v/>
      </c>
      <c r="D575" s="14">
        <f>IF($W575="","",IFERROR(UPPER(LEFT(TRIM(INDEX(FormData,$W575,f_Name)),1)&amp;IFERROR(MID(TRIM(INDEX(FormData,$W575,f_Name)),FIND("^",SUBSTITUTE(TRIM(INDEX(FormData,$W575,f_Name))," ","^",LEN(TRIM(INDEX(FormData,$W575,f_Name)))-LEN(SUBSTITUTE(TRIM(INDEX(FormData,$W575,f_Name))," ",""))))+1,1),"")),""))</f>
        <v/>
      </c>
      <c r="E575" s="16">
        <f>IF($W575="","",IFERROR(IF(SUMPRODUCT(MAX((WhoKW&lt;&gt;"")*ISNUMBER(SEARCH(WhoKW,INDEX(FormData,$W575,f_Who)&amp;""))*(ROW(WhoKW)-MIN(ROW(WhoKW))+1)))=0,"",INDEX(WhoVal,SUMPRODUCT(MAX((WhoKW&lt;&gt;"")*ISNUMBER(SEARCH(WhoKW,INDEX(FormData,$W575,f_Who)&amp;""))*(ROW(WhoKW)-MIN(ROW(WhoKW))+1))))),""))</f>
        <v/>
      </c>
      <c r="F575" s="17">
        <f>IF($W575="","",TRIM(IFERROR(INDEX(FormData,$W575,f_Org1)&amp;"","")&amp;" "&amp;IFERROR(INDEX(FormData,$W575,f_Org2)&amp;"","")))</f>
        <v/>
      </c>
      <c r="G575" s="16">
        <f>IF($W575="","",IFERROR(INDEX(FormData,$W575,f_Region)&amp;"",""))</f>
        <v/>
      </c>
      <c r="H575" s="16">
        <f>IF($W575="","",IFERROR(IF(SUMPRODUCT(MAX((SitKW&lt;&gt;"")*ISNUMBER(SEARCH(SitKW,INDEX(FormData,$W575,f_Sit)&amp;""))*(ROW(SitKW)-MIN(ROW(SitKW))+1)))=0,"",INDEX(SitVal,SUMPRODUCT(MAX((SitKW&lt;&gt;"")*ISNUMBER(SEARCH(SitKW,INDEX(FormData,$W575,f_Sit)&amp;""))*(ROW(SitKW)-MIN(ROW(SitKW))+1))))),""))</f>
        <v/>
      </c>
      <c r="I575" s="14">
        <f>IF($W575="","",IFERROR(INDEX(FormData,$W575,f_Appr)&amp;"",""))</f>
        <v/>
      </c>
      <c r="J575" s="16">
        <f>IF($W575="","",IFERROR(INDEX(FormData,$W575,f_Trade)&amp;"",""))</f>
        <v/>
      </c>
      <c r="K575" s="16" t="n"/>
      <c r="L575" s="17" t="n"/>
      <c r="M575" s="16" t="n"/>
      <c r="N575" s="17" t="n"/>
      <c r="O575" s="14" t="n"/>
      <c r="P575" s="14" t="n"/>
      <c r="Q575" s="18" t="n"/>
      <c r="R575" s="18" t="n"/>
      <c r="S575" s="13">
        <f>IF($P575&lt;&gt;"✓","",IF($R575&lt;&gt;"","Done",IF($Q575="","Open — no date",IF($Q575&lt;TODAY(),"Overdue",IF($Q575-TODAY()&lt;=DueSoon,"Due soon","Scheduled")))))</f>
        <v/>
      </c>
      <c r="T575" s="14">
        <f>IF($W575="","",IFERROR(IF(INDEX(FormData,$W575,f_Consent)&amp;""="","",IF(ISNUMBER(SEARCH("yes",INDEX(FormData,$W575,f_Consent))),"Yes","No")),""))</f>
        <v/>
      </c>
      <c r="U575" s="14" t="n"/>
      <c r="V575" s="13">
        <f>IF($U575="","",IF($W575="","not found","✓"))</f>
        <v/>
      </c>
      <c r="W575">
        <f>IF($U575="","",IFERROR(MATCH($U575,INDEX(FormData,0,f_Id),0),IFERROR(MATCH(--$U575,INDEX(FormData,0,f_Id),0),IFERROR(MATCH($U575&amp;"",INDEX(FormData,0,f_Id),0),""))))</f>
        <v/>
      </c>
      <c r="X575">
        <f>IF(AND($B575&lt;&gt;"",$B575='Event Report'!$C$3),ROW(),"")</f>
        <v/>
      </c>
      <c r="Y575">
        <f>IF(AND($P575="✓",$R575=""),IF($Q575="",90000,$Q575)+ROW()/100000,"")</f>
        <v/>
      </c>
      <c r="Z575">
        <f>IF(OR($U575&lt;&gt;"",$D575&lt;&gt;"",$E575&lt;&gt;"",$N575&lt;&gt;""),1,"")</f>
        <v/>
      </c>
    </row>
    <row r="576">
      <c r="A576" s="13" t="inlineStr">
        <is>
          <t>P-0572</t>
        </is>
      </c>
      <c r="B576" s="14">
        <f>IF(AND($U576="",$C576=""),"",IFERROR(INDEX(EvID,MATCH(INDEX(FormData,$W576,f_Event),EvID,0)),IFERROR(INDEX(EvID,MATCH(INDEX(FormData,$W576,f_Event),EvName,0)),IFERROR(INDEX(EvID,MATCH(INT($C576),EvDate,0)),""))))</f>
        <v/>
      </c>
      <c r="C576" s="15">
        <f>IF($W576="","",INDEX(FormData,$W576,f_Time))</f>
        <v/>
      </c>
      <c r="D576" s="14">
        <f>IF($W576="","",IFERROR(UPPER(LEFT(TRIM(INDEX(FormData,$W576,f_Name)),1)&amp;IFERROR(MID(TRIM(INDEX(FormData,$W576,f_Name)),FIND("^",SUBSTITUTE(TRIM(INDEX(FormData,$W576,f_Name))," ","^",LEN(TRIM(INDEX(FormData,$W576,f_Name)))-LEN(SUBSTITUTE(TRIM(INDEX(FormData,$W576,f_Name))," ",""))))+1,1),"")),""))</f>
        <v/>
      </c>
      <c r="E576" s="16">
        <f>IF($W576="","",IFERROR(IF(SUMPRODUCT(MAX((WhoKW&lt;&gt;"")*ISNUMBER(SEARCH(WhoKW,INDEX(FormData,$W576,f_Who)&amp;""))*(ROW(WhoKW)-MIN(ROW(WhoKW))+1)))=0,"",INDEX(WhoVal,SUMPRODUCT(MAX((WhoKW&lt;&gt;"")*ISNUMBER(SEARCH(WhoKW,INDEX(FormData,$W576,f_Who)&amp;""))*(ROW(WhoKW)-MIN(ROW(WhoKW))+1))))),""))</f>
        <v/>
      </c>
      <c r="F576" s="17">
        <f>IF($W576="","",TRIM(IFERROR(INDEX(FormData,$W576,f_Org1)&amp;"","")&amp;" "&amp;IFERROR(INDEX(FormData,$W576,f_Org2)&amp;"","")))</f>
        <v/>
      </c>
      <c r="G576" s="16">
        <f>IF($W576="","",IFERROR(INDEX(FormData,$W576,f_Region)&amp;"",""))</f>
        <v/>
      </c>
      <c r="H576" s="16">
        <f>IF($W576="","",IFERROR(IF(SUMPRODUCT(MAX((SitKW&lt;&gt;"")*ISNUMBER(SEARCH(SitKW,INDEX(FormData,$W576,f_Sit)&amp;""))*(ROW(SitKW)-MIN(ROW(SitKW))+1)))=0,"",INDEX(SitVal,SUMPRODUCT(MAX((SitKW&lt;&gt;"")*ISNUMBER(SEARCH(SitKW,INDEX(FormData,$W576,f_Sit)&amp;""))*(ROW(SitKW)-MIN(ROW(SitKW))+1))))),""))</f>
        <v/>
      </c>
      <c r="I576" s="14">
        <f>IF($W576="","",IFERROR(INDEX(FormData,$W576,f_Appr)&amp;"",""))</f>
        <v/>
      </c>
      <c r="J576" s="16">
        <f>IF($W576="","",IFERROR(INDEX(FormData,$W576,f_Trade)&amp;"",""))</f>
        <v/>
      </c>
      <c r="K576" s="16" t="n"/>
      <c r="L576" s="17" t="n"/>
      <c r="M576" s="16" t="n"/>
      <c r="N576" s="17" t="n"/>
      <c r="O576" s="14" t="n"/>
      <c r="P576" s="14" t="n"/>
      <c r="Q576" s="18" t="n"/>
      <c r="R576" s="18" t="n"/>
      <c r="S576" s="13">
        <f>IF($P576&lt;&gt;"✓","",IF($R576&lt;&gt;"","Done",IF($Q576="","Open — no date",IF($Q576&lt;TODAY(),"Overdue",IF($Q576-TODAY()&lt;=DueSoon,"Due soon","Scheduled")))))</f>
        <v/>
      </c>
      <c r="T576" s="14">
        <f>IF($W576="","",IFERROR(IF(INDEX(FormData,$W576,f_Consent)&amp;""="","",IF(ISNUMBER(SEARCH("yes",INDEX(FormData,$W576,f_Consent))),"Yes","No")),""))</f>
        <v/>
      </c>
      <c r="U576" s="14" t="n"/>
      <c r="V576" s="13">
        <f>IF($U576="","",IF($W576="","not found","✓"))</f>
        <v/>
      </c>
      <c r="W576">
        <f>IF($U576="","",IFERROR(MATCH($U576,INDEX(FormData,0,f_Id),0),IFERROR(MATCH(--$U576,INDEX(FormData,0,f_Id),0),IFERROR(MATCH($U576&amp;"",INDEX(FormData,0,f_Id),0),""))))</f>
        <v/>
      </c>
      <c r="X576">
        <f>IF(AND($B576&lt;&gt;"",$B576='Event Report'!$C$3),ROW(),"")</f>
        <v/>
      </c>
      <c r="Y576">
        <f>IF(AND($P576="✓",$R576=""),IF($Q576="",90000,$Q576)+ROW()/100000,"")</f>
        <v/>
      </c>
      <c r="Z576">
        <f>IF(OR($U576&lt;&gt;"",$D576&lt;&gt;"",$E576&lt;&gt;"",$N576&lt;&gt;""),1,"")</f>
        <v/>
      </c>
    </row>
    <row r="577">
      <c r="A577" s="13" t="inlineStr">
        <is>
          <t>P-0573</t>
        </is>
      </c>
      <c r="B577" s="14">
        <f>IF(AND($U577="",$C577=""),"",IFERROR(INDEX(EvID,MATCH(INDEX(FormData,$W577,f_Event),EvID,0)),IFERROR(INDEX(EvID,MATCH(INDEX(FormData,$W577,f_Event),EvName,0)),IFERROR(INDEX(EvID,MATCH(INT($C577),EvDate,0)),""))))</f>
        <v/>
      </c>
      <c r="C577" s="15">
        <f>IF($W577="","",INDEX(FormData,$W577,f_Time))</f>
        <v/>
      </c>
      <c r="D577" s="14">
        <f>IF($W577="","",IFERROR(UPPER(LEFT(TRIM(INDEX(FormData,$W577,f_Name)),1)&amp;IFERROR(MID(TRIM(INDEX(FormData,$W577,f_Name)),FIND("^",SUBSTITUTE(TRIM(INDEX(FormData,$W577,f_Name))," ","^",LEN(TRIM(INDEX(FormData,$W577,f_Name)))-LEN(SUBSTITUTE(TRIM(INDEX(FormData,$W577,f_Name))," ",""))))+1,1),"")),""))</f>
        <v/>
      </c>
      <c r="E577" s="16">
        <f>IF($W577="","",IFERROR(IF(SUMPRODUCT(MAX((WhoKW&lt;&gt;"")*ISNUMBER(SEARCH(WhoKW,INDEX(FormData,$W577,f_Who)&amp;""))*(ROW(WhoKW)-MIN(ROW(WhoKW))+1)))=0,"",INDEX(WhoVal,SUMPRODUCT(MAX((WhoKW&lt;&gt;"")*ISNUMBER(SEARCH(WhoKW,INDEX(FormData,$W577,f_Who)&amp;""))*(ROW(WhoKW)-MIN(ROW(WhoKW))+1))))),""))</f>
        <v/>
      </c>
      <c r="F577" s="17">
        <f>IF($W577="","",TRIM(IFERROR(INDEX(FormData,$W577,f_Org1)&amp;"","")&amp;" "&amp;IFERROR(INDEX(FormData,$W577,f_Org2)&amp;"","")))</f>
        <v/>
      </c>
      <c r="G577" s="16">
        <f>IF($W577="","",IFERROR(INDEX(FormData,$W577,f_Region)&amp;"",""))</f>
        <v/>
      </c>
      <c r="H577" s="16">
        <f>IF($W577="","",IFERROR(IF(SUMPRODUCT(MAX((SitKW&lt;&gt;"")*ISNUMBER(SEARCH(SitKW,INDEX(FormData,$W577,f_Sit)&amp;""))*(ROW(SitKW)-MIN(ROW(SitKW))+1)))=0,"",INDEX(SitVal,SUMPRODUCT(MAX((SitKW&lt;&gt;"")*ISNUMBER(SEARCH(SitKW,INDEX(FormData,$W577,f_Sit)&amp;""))*(ROW(SitKW)-MIN(ROW(SitKW))+1))))),""))</f>
        <v/>
      </c>
      <c r="I577" s="14">
        <f>IF($W577="","",IFERROR(INDEX(FormData,$W577,f_Appr)&amp;"",""))</f>
        <v/>
      </c>
      <c r="J577" s="16">
        <f>IF($W577="","",IFERROR(INDEX(FormData,$W577,f_Trade)&amp;"",""))</f>
        <v/>
      </c>
      <c r="K577" s="16" t="n"/>
      <c r="L577" s="17" t="n"/>
      <c r="M577" s="16" t="n"/>
      <c r="N577" s="17" t="n"/>
      <c r="O577" s="14" t="n"/>
      <c r="P577" s="14" t="n"/>
      <c r="Q577" s="18" t="n"/>
      <c r="R577" s="18" t="n"/>
      <c r="S577" s="13">
        <f>IF($P577&lt;&gt;"✓","",IF($R577&lt;&gt;"","Done",IF($Q577="","Open — no date",IF($Q577&lt;TODAY(),"Overdue",IF($Q577-TODAY()&lt;=DueSoon,"Due soon","Scheduled")))))</f>
        <v/>
      </c>
      <c r="T577" s="14">
        <f>IF($W577="","",IFERROR(IF(INDEX(FormData,$W577,f_Consent)&amp;""="","",IF(ISNUMBER(SEARCH("yes",INDEX(FormData,$W577,f_Consent))),"Yes","No")),""))</f>
        <v/>
      </c>
      <c r="U577" s="14" t="n"/>
      <c r="V577" s="13">
        <f>IF($U577="","",IF($W577="","not found","✓"))</f>
        <v/>
      </c>
      <c r="W577">
        <f>IF($U577="","",IFERROR(MATCH($U577,INDEX(FormData,0,f_Id),0),IFERROR(MATCH(--$U577,INDEX(FormData,0,f_Id),0),IFERROR(MATCH($U577&amp;"",INDEX(FormData,0,f_Id),0),""))))</f>
        <v/>
      </c>
      <c r="X577">
        <f>IF(AND($B577&lt;&gt;"",$B577='Event Report'!$C$3),ROW(),"")</f>
        <v/>
      </c>
      <c r="Y577">
        <f>IF(AND($P577="✓",$R577=""),IF($Q577="",90000,$Q577)+ROW()/100000,"")</f>
        <v/>
      </c>
      <c r="Z577">
        <f>IF(OR($U577&lt;&gt;"",$D577&lt;&gt;"",$E577&lt;&gt;"",$N577&lt;&gt;""),1,"")</f>
        <v/>
      </c>
    </row>
    <row r="578">
      <c r="A578" s="13" t="inlineStr">
        <is>
          <t>P-0574</t>
        </is>
      </c>
      <c r="B578" s="14">
        <f>IF(AND($U578="",$C578=""),"",IFERROR(INDEX(EvID,MATCH(INDEX(FormData,$W578,f_Event),EvID,0)),IFERROR(INDEX(EvID,MATCH(INDEX(FormData,$W578,f_Event),EvName,0)),IFERROR(INDEX(EvID,MATCH(INT($C578),EvDate,0)),""))))</f>
        <v/>
      </c>
      <c r="C578" s="15">
        <f>IF($W578="","",INDEX(FormData,$W578,f_Time))</f>
        <v/>
      </c>
      <c r="D578" s="14">
        <f>IF($W578="","",IFERROR(UPPER(LEFT(TRIM(INDEX(FormData,$W578,f_Name)),1)&amp;IFERROR(MID(TRIM(INDEX(FormData,$W578,f_Name)),FIND("^",SUBSTITUTE(TRIM(INDEX(FormData,$W578,f_Name))," ","^",LEN(TRIM(INDEX(FormData,$W578,f_Name)))-LEN(SUBSTITUTE(TRIM(INDEX(FormData,$W578,f_Name))," ",""))))+1,1),"")),""))</f>
        <v/>
      </c>
      <c r="E578" s="16">
        <f>IF($W578="","",IFERROR(IF(SUMPRODUCT(MAX((WhoKW&lt;&gt;"")*ISNUMBER(SEARCH(WhoKW,INDEX(FormData,$W578,f_Who)&amp;""))*(ROW(WhoKW)-MIN(ROW(WhoKW))+1)))=0,"",INDEX(WhoVal,SUMPRODUCT(MAX((WhoKW&lt;&gt;"")*ISNUMBER(SEARCH(WhoKW,INDEX(FormData,$W578,f_Who)&amp;""))*(ROW(WhoKW)-MIN(ROW(WhoKW))+1))))),""))</f>
        <v/>
      </c>
      <c r="F578" s="17">
        <f>IF($W578="","",TRIM(IFERROR(INDEX(FormData,$W578,f_Org1)&amp;"","")&amp;" "&amp;IFERROR(INDEX(FormData,$W578,f_Org2)&amp;"","")))</f>
        <v/>
      </c>
      <c r="G578" s="16">
        <f>IF($W578="","",IFERROR(INDEX(FormData,$W578,f_Region)&amp;"",""))</f>
        <v/>
      </c>
      <c r="H578" s="16">
        <f>IF($W578="","",IFERROR(IF(SUMPRODUCT(MAX((SitKW&lt;&gt;"")*ISNUMBER(SEARCH(SitKW,INDEX(FormData,$W578,f_Sit)&amp;""))*(ROW(SitKW)-MIN(ROW(SitKW))+1)))=0,"",INDEX(SitVal,SUMPRODUCT(MAX((SitKW&lt;&gt;"")*ISNUMBER(SEARCH(SitKW,INDEX(FormData,$W578,f_Sit)&amp;""))*(ROW(SitKW)-MIN(ROW(SitKW))+1))))),""))</f>
        <v/>
      </c>
      <c r="I578" s="14">
        <f>IF($W578="","",IFERROR(INDEX(FormData,$W578,f_Appr)&amp;"",""))</f>
        <v/>
      </c>
      <c r="J578" s="16">
        <f>IF($W578="","",IFERROR(INDEX(FormData,$W578,f_Trade)&amp;"",""))</f>
        <v/>
      </c>
      <c r="K578" s="16" t="n"/>
      <c r="L578" s="17" t="n"/>
      <c r="M578" s="16" t="n"/>
      <c r="N578" s="17" t="n"/>
      <c r="O578" s="14" t="n"/>
      <c r="P578" s="14" t="n"/>
      <c r="Q578" s="18" t="n"/>
      <c r="R578" s="18" t="n"/>
      <c r="S578" s="13">
        <f>IF($P578&lt;&gt;"✓","",IF($R578&lt;&gt;"","Done",IF($Q578="","Open — no date",IF($Q578&lt;TODAY(),"Overdue",IF($Q578-TODAY()&lt;=DueSoon,"Due soon","Scheduled")))))</f>
        <v/>
      </c>
      <c r="T578" s="14">
        <f>IF($W578="","",IFERROR(IF(INDEX(FormData,$W578,f_Consent)&amp;""="","",IF(ISNUMBER(SEARCH("yes",INDEX(FormData,$W578,f_Consent))),"Yes","No")),""))</f>
        <v/>
      </c>
      <c r="U578" s="14" t="n"/>
      <c r="V578" s="13">
        <f>IF($U578="","",IF($W578="","not found","✓"))</f>
        <v/>
      </c>
      <c r="W578">
        <f>IF($U578="","",IFERROR(MATCH($U578,INDEX(FormData,0,f_Id),0),IFERROR(MATCH(--$U578,INDEX(FormData,0,f_Id),0),IFERROR(MATCH($U578&amp;"",INDEX(FormData,0,f_Id),0),""))))</f>
        <v/>
      </c>
      <c r="X578">
        <f>IF(AND($B578&lt;&gt;"",$B578='Event Report'!$C$3),ROW(),"")</f>
        <v/>
      </c>
      <c r="Y578">
        <f>IF(AND($P578="✓",$R578=""),IF($Q578="",90000,$Q578)+ROW()/100000,"")</f>
        <v/>
      </c>
      <c r="Z578">
        <f>IF(OR($U578&lt;&gt;"",$D578&lt;&gt;"",$E578&lt;&gt;"",$N578&lt;&gt;""),1,"")</f>
        <v/>
      </c>
    </row>
    <row r="579">
      <c r="A579" s="13" t="inlineStr">
        <is>
          <t>P-0575</t>
        </is>
      </c>
      <c r="B579" s="14">
        <f>IF(AND($U579="",$C579=""),"",IFERROR(INDEX(EvID,MATCH(INDEX(FormData,$W579,f_Event),EvID,0)),IFERROR(INDEX(EvID,MATCH(INDEX(FormData,$W579,f_Event),EvName,0)),IFERROR(INDEX(EvID,MATCH(INT($C579),EvDate,0)),""))))</f>
        <v/>
      </c>
      <c r="C579" s="15">
        <f>IF($W579="","",INDEX(FormData,$W579,f_Time))</f>
        <v/>
      </c>
      <c r="D579" s="14">
        <f>IF($W579="","",IFERROR(UPPER(LEFT(TRIM(INDEX(FormData,$W579,f_Name)),1)&amp;IFERROR(MID(TRIM(INDEX(FormData,$W579,f_Name)),FIND("^",SUBSTITUTE(TRIM(INDEX(FormData,$W579,f_Name))," ","^",LEN(TRIM(INDEX(FormData,$W579,f_Name)))-LEN(SUBSTITUTE(TRIM(INDEX(FormData,$W579,f_Name))," ",""))))+1,1),"")),""))</f>
        <v/>
      </c>
      <c r="E579" s="16">
        <f>IF($W579="","",IFERROR(IF(SUMPRODUCT(MAX((WhoKW&lt;&gt;"")*ISNUMBER(SEARCH(WhoKW,INDEX(FormData,$W579,f_Who)&amp;""))*(ROW(WhoKW)-MIN(ROW(WhoKW))+1)))=0,"",INDEX(WhoVal,SUMPRODUCT(MAX((WhoKW&lt;&gt;"")*ISNUMBER(SEARCH(WhoKW,INDEX(FormData,$W579,f_Who)&amp;""))*(ROW(WhoKW)-MIN(ROW(WhoKW))+1))))),""))</f>
        <v/>
      </c>
      <c r="F579" s="17">
        <f>IF($W579="","",TRIM(IFERROR(INDEX(FormData,$W579,f_Org1)&amp;"","")&amp;" "&amp;IFERROR(INDEX(FormData,$W579,f_Org2)&amp;"","")))</f>
        <v/>
      </c>
      <c r="G579" s="16">
        <f>IF($W579="","",IFERROR(INDEX(FormData,$W579,f_Region)&amp;"",""))</f>
        <v/>
      </c>
      <c r="H579" s="16">
        <f>IF($W579="","",IFERROR(IF(SUMPRODUCT(MAX((SitKW&lt;&gt;"")*ISNUMBER(SEARCH(SitKW,INDEX(FormData,$W579,f_Sit)&amp;""))*(ROW(SitKW)-MIN(ROW(SitKW))+1)))=0,"",INDEX(SitVal,SUMPRODUCT(MAX((SitKW&lt;&gt;"")*ISNUMBER(SEARCH(SitKW,INDEX(FormData,$W579,f_Sit)&amp;""))*(ROW(SitKW)-MIN(ROW(SitKW))+1))))),""))</f>
        <v/>
      </c>
      <c r="I579" s="14">
        <f>IF($W579="","",IFERROR(INDEX(FormData,$W579,f_Appr)&amp;"",""))</f>
        <v/>
      </c>
      <c r="J579" s="16">
        <f>IF($W579="","",IFERROR(INDEX(FormData,$W579,f_Trade)&amp;"",""))</f>
        <v/>
      </c>
      <c r="K579" s="16" t="n"/>
      <c r="L579" s="17" t="n"/>
      <c r="M579" s="16" t="n"/>
      <c r="N579" s="17" t="n"/>
      <c r="O579" s="14" t="n"/>
      <c r="P579" s="14" t="n"/>
      <c r="Q579" s="18" t="n"/>
      <c r="R579" s="18" t="n"/>
      <c r="S579" s="13">
        <f>IF($P579&lt;&gt;"✓","",IF($R579&lt;&gt;"","Done",IF($Q579="","Open — no date",IF($Q579&lt;TODAY(),"Overdue",IF($Q579-TODAY()&lt;=DueSoon,"Due soon","Scheduled")))))</f>
        <v/>
      </c>
      <c r="T579" s="14">
        <f>IF($W579="","",IFERROR(IF(INDEX(FormData,$W579,f_Consent)&amp;""="","",IF(ISNUMBER(SEARCH("yes",INDEX(FormData,$W579,f_Consent))),"Yes","No")),""))</f>
        <v/>
      </c>
      <c r="U579" s="14" t="n"/>
      <c r="V579" s="13">
        <f>IF($U579="","",IF($W579="","not found","✓"))</f>
        <v/>
      </c>
      <c r="W579">
        <f>IF($U579="","",IFERROR(MATCH($U579,INDEX(FormData,0,f_Id),0),IFERROR(MATCH(--$U579,INDEX(FormData,0,f_Id),0),IFERROR(MATCH($U579&amp;"",INDEX(FormData,0,f_Id),0),""))))</f>
        <v/>
      </c>
      <c r="X579">
        <f>IF(AND($B579&lt;&gt;"",$B579='Event Report'!$C$3),ROW(),"")</f>
        <v/>
      </c>
      <c r="Y579">
        <f>IF(AND($P579="✓",$R579=""),IF($Q579="",90000,$Q579)+ROW()/100000,"")</f>
        <v/>
      </c>
      <c r="Z579">
        <f>IF(OR($U579&lt;&gt;"",$D579&lt;&gt;"",$E579&lt;&gt;"",$N579&lt;&gt;""),1,"")</f>
        <v/>
      </c>
    </row>
    <row r="580">
      <c r="A580" s="13" t="inlineStr">
        <is>
          <t>P-0576</t>
        </is>
      </c>
      <c r="B580" s="14">
        <f>IF(AND($U580="",$C580=""),"",IFERROR(INDEX(EvID,MATCH(INDEX(FormData,$W580,f_Event),EvID,0)),IFERROR(INDEX(EvID,MATCH(INDEX(FormData,$W580,f_Event),EvName,0)),IFERROR(INDEX(EvID,MATCH(INT($C580),EvDate,0)),""))))</f>
        <v/>
      </c>
      <c r="C580" s="15">
        <f>IF($W580="","",INDEX(FormData,$W580,f_Time))</f>
        <v/>
      </c>
      <c r="D580" s="14">
        <f>IF($W580="","",IFERROR(UPPER(LEFT(TRIM(INDEX(FormData,$W580,f_Name)),1)&amp;IFERROR(MID(TRIM(INDEX(FormData,$W580,f_Name)),FIND("^",SUBSTITUTE(TRIM(INDEX(FormData,$W580,f_Name))," ","^",LEN(TRIM(INDEX(FormData,$W580,f_Name)))-LEN(SUBSTITUTE(TRIM(INDEX(FormData,$W580,f_Name))," ",""))))+1,1),"")),""))</f>
        <v/>
      </c>
      <c r="E580" s="16">
        <f>IF($W580="","",IFERROR(IF(SUMPRODUCT(MAX((WhoKW&lt;&gt;"")*ISNUMBER(SEARCH(WhoKW,INDEX(FormData,$W580,f_Who)&amp;""))*(ROW(WhoKW)-MIN(ROW(WhoKW))+1)))=0,"",INDEX(WhoVal,SUMPRODUCT(MAX((WhoKW&lt;&gt;"")*ISNUMBER(SEARCH(WhoKW,INDEX(FormData,$W580,f_Who)&amp;""))*(ROW(WhoKW)-MIN(ROW(WhoKW))+1))))),""))</f>
        <v/>
      </c>
      <c r="F580" s="17">
        <f>IF($W580="","",TRIM(IFERROR(INDEX(FormData,$W580,f_Org1)&amp;"","")&amp;" "&amp;IFERROR(INDEX(FormData,$W580,f_Org2)&amp;"","")))</f>
        <v/>
      </c>
      <c r="G580" s="16">
        <f>IF($W580="","",IFERROR(INDEX(FormData,$W580,f_Region)&amp;"",""))</f>
        <v/>
      </c>
      <c r="H580" s="16">
        <f>IF($W580="","",IFERROR(IF(SUMPRODUCT(MAX((SitKW&lt;&gt;"")*ISNUMBER(SEARCH(SitKW,INDEX(FormData,$W580,f_Sit)&amp;""))*(ROW(SitKW)-MIN(ROW(SitKW))+1)))=0,"",INDEX(SitVal,SUMPRODUCT(MAX((SitKW&lt;&gt;"")*ISNUMBER(SEARCH(SitKW,INDEX(FormData,$W580,f_Sit)&amp;""))*(ROW(SitKW)-MIN(ROW(SitKW))+1))))),""))</f>
        <v/>
      </c>
      <c r="I580" s="14">
        <f>IF($W580="","",IFERROR(INDEX(FormData,$W580,f_Appr)&amp;"",""))</f>
        <v/>
      </c>
      <c r="J580" s="16">
        <f>IF($W580="","",IFERROR(INDEX(FormData,$W580,f_Trade)&amp;"",""))</f>
        <v/>
      </c>
      <c r="K580" s="16" t="n"/>
      <c r="L580" s="17" t="n"/>
      <c r="M580" s="16" t="n"/>
      <c r="N580" s="17" t="n"/>
      <c r="O580" s="14" t="n"/>
      <c r="P580" s="14" t="n"/>
      <c r="Q580" s="18" t="n"/>
      <c r="R580" s="18" t="n"/>
      <c r="S580" s="13">
        <f>IF($P580&lt;&gt;"✓","",IF($R580&lt;&gt;"","Done",IF($Q580="","Open — no date",IF($Q580&lt;TODAY(),"Overdue",IF($Q580-TODAY()&lt;=DueSoon,"Due soon","Scheduled")))))</f>
        <v/>
      </c>
      <c r="T580" s="14">
        <f>IF($W580="","",IFERROR(IF(INDEX(FormData,$W580,f_Consent)&amp;""="","",IF(ISNUMBER(SEARCH("yes",INDEX(FormData,$W580,f_Consent))),"Yes","No")),""))</f>
        <v/>
      </c>
      <c r="U580" s="14" t="n"/>
      <c r="V580" s="13">
        <f>IF($U580="","",IF($W580="","not found","✓"))</f>
        <v/>
      </c>
      <c r="W580">
        <f>IF($U580="","",IFERROR(MATCH($U580,INDEX(FormData,0,f_Id),0),IFERROR(MATCH(--$U580,INDEX(FormData,0,f_Id),0),IFERROR(MATCH($U580&amp;"",INDEX(FormData,0,f_Id),0),""))))</f>
        <v/>
      </c>
      <c r="X580">
        <f>IF(AND($B580&lt;&gt;"",$B580='Event Report'!$C$3),ROW(),"")</f>
        <v/>
      </c>
      <c r="Y580">
        <f>IF(AND($P580="✓",$R580=""),IF($Q580="",90000,$Q580)+ROW()/100000,"")</f>
        <v/>
      </c>
      <c r="Z580">
        <f>IF(OR($U580&lt;&gt;"",$D580&lt;&gt;"",$E580&lt;&gt;"",$N580&lt;&gt;""),1,"")</f>
        <v/>
      </c>
    </row>
    <row r="581">
      <c r="A581" s="13" t="inlineStr">
        <is>
          <t>P-0577</t>
        </is>
      </c>
      <c r="B581" s="14">
        <f>IF(AND($U581="",$C581=""),"",IFERROR(INDEX(EvID,MATCH(INDEX(FormData,$W581,f_Event),EvID,0)),IFERROR(INDEX(EvID,MATCH(INDEX(FormData,$W581,f_Event),EvName,0)),IFERROR(INDEX(EvID,MATCH(INT($C581),EvDate,0)),""))))</f>
        <v/>
      </c>
      <c r="C581" s="15">
        <f>IF($W581="","",INDEX(FormData,$W581,f_Time))</f>
        <v/>
      </c>
      <c r="D581" s="14">
        <f>IF($W581="","",IFERROR(UPPER(LEFT(TRIM(INDEX(FormData,$W581,f_Name)),1)&amp;IFERROR(MID(TRIM(INDEX(FormData,$W581,f_Name)),FIND("^",SUBSTITUTE(TRIM(INDEX(FormData,$W581,f_Name))," ","^",LEN(TRIM(INDEX(FormData,$W581,f_Name)))-LEN(SUBSTITUTE(TRIM(INDEX(FormData,$W581,f_Name))," ",""))))+1,1),"")),""))</f>
        <v/>
      </c>
      <c r="E581" s="16">
        <f>IF($W581="","",IFERROR(IF(SUMPRODUCT(MAX((WhoKW&lt;&gt;"")*ISNUMBER(SEARCH(WhoKW,INDEX(FormData,$W581,f_Who)&amp;""))*(ROW(WhoKW)-MIN(ROW(WhoKW))+1)))=0,"",INDEX(WhoVal,SUMPRODUCT(MAX((WhoKW&lt;&gt;"")*ISNUMBER(SEARCH(WhoKW,INDEX(FormData,$W581,f_Who)&amp;""))*(ROW(WhoKW)-MIN(ROW(WhoKW))+1))))),""))</f>
        <v/>
      </c>
      <c r="F581" s="17">
        <f>IF($W581="","",TRIM(IFERROR(INDEX(FormData,$W581,f_Org1)&amp;"","")&amp;" "&amp;IFERROR(INDEX(FormData,$W581,f_Org2)&amp;"","")))</f>
        <v/>
      </c>
      <c r="G581" s="16">
        <f>IF($W581="","",IFERROR(INDEX(FormData,$W581,f_Region)&amp;"",""))</f>
        <v/>
      </c>
      <c r="H581" s="16">
        <f>IF($W581="","",IFERROR(IF(SUMPRODUCT(MAX((SitKW&lt;&gt;"")*ISNUMBER(SEARCH(SitKW,INDEX(FormData,$W581,f_Sit)&amp;""))*(ROW(SitKW)-MIN(ROW(SitKW))+1)))=0,"",INDEX(SitVal,SUMPRODUCT(MAX((SitKW&lt;&gt;"")*ISNUMBER(SEARCH(SitKW,INDEX(FormData,$W581,f_Sit)&amp;""))*(ROW(SitKW)-MIN(ROW(SitKW))+1))))),""))</f>
        <v/>
      </c>
      <c r="I581" s="14">
        <f>IF($W581="","",IFERROR(INDEX(FormData,$W581,f_Appr)&amp;"",""))</f>
        <v/>
      </c>
      <c r="J581" s="16">
        <f>IF($W581="","",IFERROR(INDEX(FormData,$W581,f_Trade)&amp;"",""))</f>
        <v/>
      </c>
      <c r="K581" s="16" t="n"/>
      <c r="L581" s="17" t="n"/>
      <c r="M581" s="16" t="n"/>
      <c r="N581" s="17" t="n"/>
      <c r="O581" s="14" t="n"/>
      <c r="P581" s="14" t="n"/>
      <c r="Q581" s="18" t="n"/>
      <c r="R581" s="18" t="n"/>
      <c r="S581" s="13">
        <f>IF($P581&lt;&gt;"✓","",IF($R581&lt;&gt;"","Done",IF($Q581="","Open — no date",IF($Q581&lt;TODAY(),"Overdue",IF($Q581-TODAY()&lt;=DueSoon,"Due soon","Scheduled")))))</f>
        <v/>
      </c>
      <c r="T581" s="14">
        <f>IF($W581="","",IFERROR(IF(INDEX(FormData,$W581,f_Consent)&amp;""="","",IF(ISNUMBER(SEARCH("yes",INDEX(FormData,$W581,f_Consent))),"Yes","No")),""))</f>
        <v/>
      </c>
      <c r="U581" s="14" t="n"/>
      <c r="V581" s="13">
        <f>IF($U581="","",IF($W581="","not found","✓"))</f>
        <v/>
      </c>
      <c r="W581">
        <f>IF($U581="","",IFERROR(MATCH($U581,INDEX(FormData,0,f_Id),0),IFERROR(MATCH(--$U581,INDEX(FormData,0,f_Id),0),IFERROR(MATCH($U581&amp;"",INDEX(FormData,0,f_Id),0),""))))</f>
        <v/>
      </c>
      <c r="X581">
        <f>IF(AND($B581&lt;&gt;"",$B581='Event Report'!$C$3),ROW(),"")</f>
        <v/>
      </c>
      <c r="Y581">
        <f>IF(AND($P581="✓",$R581=""),IF($Q581="",90000,$Q581)+ROW()/100000,"")</f>
        <v/>
      </c>
      <c r="Z581">
        <f>IF(OR($U581&lt;&gt;"",$D581&lt;&gt;"",$E581&lt;&gt;"",$N581&lt;&gt;""),1,"")</f>
        <v/>
      </c>
    </row>
    <row r="582">
      <c r="A582" s="13" t="inlineStr">
        <is>
          <t>P-0578</t>
        </is>
      </c>
      <c r="B582" s="14">
        <f>IF(AND($U582="",$C582=""),"",IFERROR(INDEX(EvID,MATCH(INDEX(FormData,$W582,f_Event),EvID,0)),IFERROR(INDEX(EvID,MATCH(INDEX(FormData,$W582,f_Event),EvName,0)),IFERROR(INDEX(EvID,MATCH(INT($C582),EvDate,0)),""))))</f>
        <v/>
      </c>
      <c r="C582" s="15">
        <f>IF($W582="","",INDEX(FormData,$W582,f_Time))</f>
        <v/>
      </c>
      <c r="D582" s="14">
        <f>IF($W582="","",IFERROR(UPPER(LEFT(TRIM(INDEX(FormData,$W582,f_Name)),1)&amp;IFERROR(MID(TRIM(INDEX(FormData,$W582,f_Name)),FIND("^",SUBSTITUTE(TRIM(INDEX(FormData,$W582,f_Name))," ","^",LEN(TRIM(INDEX(FormData,$W582,f_Name)))-LEN(SUBSTITUTE(TRIM(INDEX(FormData,$W582,f_Name))," ",""))))+1,1),"")),""))</f>
        <v/>
      </c>
      <c r="E582" s="16">
        <f>IF($W582="","",IFERROR(IF(SUMPRODUCT(MAX((WhoKW&lt;&gt;"")*ISNUMBER(SEARCH(WhoKW,INDEX(FormData,$W582,f_Who)&amp;""))*(ROW(WhoKW)-MIN(ROW(WhoKW))+1)))=0,"",INDEX(WhoVal,SUMPRODUCT(MAX((WhoKW&lt;&gt;"")*ISNUMBER(SEARCH(WhoKW,INDEX(FormData,$W582,f_Who)&amp;""))*(ROW(WhoKW)-MIN(ROW(WhoKW))+1))))),""))</f>
        <v/>
      </c>
      <c r="F582" s="17">
        <f>IF($W582="","",TRIM(IFERROR(INDEX(FormData,$W582,f_Org1)&amp;"","")&amp;" "&amp;IFERROR(INDEX(FormData,$W582,f_Org2)&amp;"","")))</f>
        <v/>
      </c>
      <c r="G582" s="16">
        <f>IF($W582="","",IFERROR(INDEX(FormData,$W582,f_Region)&amp;"",""))</f>
        <v/>
      </c>
      <c r="H582" s="16">
        <f>IF($W582="","",IFERROR(IF(SUMPRODUCT(MAX((SitKW&lt;&gt;"")*ISNUMBER(SEARCH(SitKW,INDEX(FormData,$W582,f_Sit)&amp;""))*(ROW(SitKW)-MIN(ROW(SitKW))+1)))=0,"",INDEX(SitVal,SUMPRODUCT(MAX((SitKW&lt;&gt;"")*ISNUMBER(SEARCH(SitKW,INDEX(FormData,$W582,f_Sit)&amp;""))*(ROW(SitKW)-MIN(ROW(SitKW))+1))))),""))</f>
        <v/>
      </c>
      <c r="I582" s="14">
        <f>IF($W582="","",IFERROR(INDEX(FormData,$W582,f_Appr)&amp;"",""))</f>
        <v/>
      </c>
      <c r="J582" s="16">
        <f>IF($W582="","",IFERROR(INDEX(FormData,$W582,f_Trade)&amp;"",""))</f>
        <v/>
      </c>
      <c r="K582" s="16" t="n"/>
      <c r="L582" s="17" t="n"/>
      <c r="M582" s="16" t="n"/>
      <c r="N582" s="17" t="n"/>
      <c r="O582" s="14" t="n"/>
      <c r="P582" s="14" t="n"/>
      <c r="Q582" s="18" t="n"/>
      <c r="R582" s="18" t="n"/>
      <c r="S582" s="13">
        <f>IF($P582&lt;&gt;"✓","",IF($R582&lt;&gt;"","Done",IF($Q582="","Open — no date",IF($Q582&lt;TODAY(),"Overdue",IF($Q582-TODAY()&lt;=DueSoon,"Due soon","Scheduled")))))</f>
        <v/>
      </c>
      <c r="T582" s="14">
        <f>IF($W582="","",IFERROR(IF(INDEX(FormData,$W582,f_Consent)&amp;""="","",IF(ISNUMBER(SEARCH("yes",INDEX(FormData,$W582,f_Consent))),"Yes","No")),""))</f>
        <v/>
      </c>
      <c r="U582" s="14" t="n"/>
      <c r="V582" s="13">
        <f>IF($U582="","",IF($W582="","not found","✓"))</f>
        <v/>
      </c>
      <c r="W582">
        <f>IF($U582="","",IFERROR(MATCH($U582,INDEX(FormData,0,f_Id),0),IFERROR(MATCH(--$U582,INDEX(FormData,0,f_Id),0),IFERROR(MATCH($U582&amp;"",INDEX(FormData,0,f_Id),0),""))))</f>
        <v/>
      </c>
      <c r="X582">
        <f>IF(AND($B582&lt;&gt;"",$B582='Event Report'!$C$3),ROW(),"")</f>
        <v/>
      </c>
      <c r="Y582">
        <f>IF(AND($P582="✓",$R582=""),IF($Q582="",90000,$Q582)+ROW()/100000,"")</f>
        <v/>
      </c>
      <c r="Z582">
        <f>IF(OR($U582&lt;&gt;"",$D582&lt;&gt;"",$E582&lt;&gt;"",$N582&lt;&gt;""),1,"")</f>
        <v/>
      </c>
    </row>
    <row r="583">
      <c r="A583" s="13" t="inlineStr">
        <is>
          <t>P-0579</t>
        </is>
      </c>
      <c r="B583" s="14">
        <f>IF(AND($U583="",$C583=""),"",IFERROR(INDEX(EvID,MATCH(INDEX(FormData,$W583,f_Event),EvID,0)),IFERROR(INDEX(EvID,MATCH(INDEX(FormData,$W583,f_Event),EvName,0)),IFERROR(INDEX(EvID,MATCH(INT($C583),EvDate,0)),""))))</f>
        <v/>
      </c>
      <c r="C583" s="15">
        <f>IF($W583="","",INDEX(FormData,$W583,f_Time))</f>
        <v/>
      </c>
      <c r="D583" s="14">
        <f>IF($W583="","",IFERROR(UPPER(LEFT(TRIM(INDEX(FormData,$W583,f_Name)),1)&amp;IFERROR(MID(TRIM(INDEX(FormData,$W583,f_Name)),FIND("^",SUBSTITUTE(TRIM(INDEX(FormData,$W583,f_Name))," ","^",LEN(TRIM(INDEX(FormData,$W583,f_Name)))-LEN(SUBSTITUTE(TRIM(INDEX(FormData,$W583,f_Name))," ",""))))+1,1),"")),""))</f>
        <v/>
      </c>
      <c r="E583" s="16">
        <f>IF($W583="","",IFERROR(IF(SUMPRODUCT(MAX((WhoKW&lt;&gt;"")*ISNUMBER(SEARCH(WhoKW,INDEX(FormData,$W583,f_Who)&amp;""))*(ROW(WhoKW)-MIN(ROW(WhoKW))+1)))=0,"",INDEX(WhoVal,SUMPRODUCT(MAX((WhoKW&lt;&gt;"")*ISNUMBER(SEARCH(WhoKW,INDEX(FormData,$W583,f_Who)&amp;""))*(ROW(WhoKW)-MIN(ROW(WhoKW))+1))))),""))</f>
        <v/>
      </c>
      <c r="F583" s="17">
        <f>IF($W583="","",TRIM(IFERROR(INDEX(FormData,$W583,f_Org1)&amp;"","")&amp;" "&amp;IFERROR(INDEX(FormData,$W583,f_Org2)&amp;"","")))</f>
        <v/>
      </c>
      <c r="G583" s="16">
        <f>IF($W583="","",IFERROR(INDEX(FormData,$W583,f_Region)&amp;"",""))</f>
        <v/>
      </c>
      <c r="H583" s="16">
        <f>IF($W583="","",IFERROR(IF(SUMPRODUCT(MAX((SitKW&lt;&gt;"")*ISNUMBER(SEARCH(SitKW,INDEX(FormData,$W583,f_Sit)&amp;""))*(ROW(SitKW)-MIN(ROW(SitKW))+1)))=0,"",INDEX(SitVal,SUMPRODUCT(MAX((SitKW&lt;&gt;"")*ISNUMBER(SEARCH(SitKW,INDEX(FormData,$W583,f_Sit)&amp;""))*(ROW(SitKW)-MIN(ROW(SitKW))+1))))),""))</f>
        <v/>
      </c>
      <c r="I583" s="14">
        <f>IF($W583="","",IFERROR(INDEX(FormData,$W583,f_Appr)&amp;"",""))</f>
        <v/>
      </c>
      <c r="J583" s="16">
        <f>IF($W583="","",IFERROR(INDEX(FormData,$W583,f_Trade)&amp;"",""))</f>
        <v/>
      </c>
      <c r="K583" s="16" t="n"/>
      <c r="L583" s="17" t="n"/>
      <c r="M583" s="16" t="n"/>
      <c r="N583" s="17" t="n"/>
      <c r="O583" s="14" t="n"/>
      <c r="P583" s="14" t="n"/>
      <c r="Q583" s="18" t="n"/>
      <c r="R583" s="18" t="n"/>
      <c r="S583" s="13">
        <f>IF($P583&lt;&gt;"✓","",IF($R583&lt;&gt;"","Done",IF($Q583="","Open — no date",IF($Q583&lt;TODAY(),"Overdue",IF($Q583-TODAY()&lt;=DueSoon,"Due soon","Scheduled")))))</f>
        <v/>
      </c>
      <c r="T583" s="14">
        <f>IF($W583="","",IFERROR(IF(INDEX(FormData,$W583,f_Consent)&amp;""="","",IF(ISNUMBER(SEARCH("yes",INDEX(FormData,$W583,f_Consent))),"Yes","No")),""))</f>
        <v/>
      </c>
      <c r="U583" s="14" t="n"/>
      <c r="V583" s="13">
        <f>IF($U583="","",IF($W583="","not found","✓"))</f>
        <v/>
      </c>
      <c r="W583">
        <f>IF($U583="","",IFERROR(MATCH($U583,INDEX(FormData,0,f_Id),0),IFERROR(MATCH(--$U583,INDEX(FormData,0,f_Id),0),IFERROR(MATCH($U583&amp;"",INDEX(FormData,0,f_Id),0),""))))</f>
        <v/>
      </c>
      <c r="X583">
        <f>IF(AND($B583&lt;&gt;"",$B583='Event Report'!$C$3),ROW(),"")</f>
        <v/>
      </c>
      <c r="Y583">
        <f>IF(AND($P583="✓",$R583=""),IF($Q583="",90000,$Q583)+ROW()/100000,"")</f>
        <v/>
      </c>
      <c r="Z583">
        <f>IF(OR($U583&lt;&gt;"",$D583&lt;&gt;"",$E583&lt;&gt;"",$N583&lt;&gt;""),1,"")</f>
        <v/>
      </c>
    </row>
    <row r="584">
      <c r="A584" s="13" t="inlineStr">
        <is>
          <t>P-0580</t>
        </is>
      </c>
      <c r="B584" s="14">
        <f>IF(AND($U584="",$C584=""),"",IFERROR(INDEX(EvID,MATCH(INDEX(FormData,$W584,f_Event),EvID,0)),IFERROR(INDEX(EvID,MATCH(INDEX(FormData,$W584,f_Event),EvName,0)),IFERROR(INDEX(EvID,MATCH(INT($C584),EvDate,0)),""))))</f>
        <v/>
      </c>
      <c r="C584" s="15">
        <f>IF($W584="","",INDEX(FormData,$W584,f_Time))</f>
        <v/>
      </c>
      <c r="D584" s="14">
        <f>IF($W584="","",IFERROR(UPPER(LEFT(TRIM(INDEX(FormData,$W584,f_Name)),1)&amp;IFERROR(MID(TRIM(INDEX(FormData,$W584,f_Name)),FIND("^",SUBSTITUTE(TRIM(INDEX(FormData,$W584,f_Name))," ","^",LEN(TRIM(INDEX(FormData,$W584,f_Name)))-LEN(SUBSTITUTE(TRIM(INDEX(FormData,$W584,f_Name))," ",""))))+1,1),"")),""))</f>
        <v/>
      </c>
      <c r="E584" s="16">
        <f>IF($W584="","",IFERROR(IF(SUMPRODUCT(MAX((WhoKW&lt;&gt;"")*ISNUMBER(SEARCH(WhoKW,INDEX(FormData,$W584,f_Who)&amp;""))*(ROW(WhoKW)-MIN(ROW(WhoKW))+1)))=0,"",INDEX(WhoVal,SUMPRODUCT(MAX((WhoKW&lt;&gt;"")*ISNUMBER(SEARCH(WhoKW,INDEX(FormData,$W584,f_Who)&amp;""))*(ROW(WhoKW)-MIN(ROW(WhoKW))+1))))),""))</f>
        <v/>
      </c>
      <c r="F584" s="17">
        <f>IF($W584="","",TRIM(IFERROR(INDEX(FormData,$W584,f_Org1)&amp;"","")&amp;" "&amp;IFERROR(INDEX(FormData,$W584,f_Org2)&amp;"","")))</f>
        <v/>
      </c>
      <c r="G584" s="16">
        <f>IF($W584="","",IFERROR(INDEX(FormData,$W584,f_Region)&amp;"",""))</f>
        <v/>
      </c>
      <c r="H584" s="16">
        <f>IF($W584="","",IFERROR(IF(SUMPRODUCT(MAX((SitKW&lt;&gt;"")*ISNUMBER(SEARCH(SitKW,INDEX(FormData,$W584,f_Sit)&amp;""))*(ROW(SitKW)-MIN(ROW(SitKW))+1)))=0,"",INDEX(SitVal,SUMPRODUCT(MAX((SitKW&lt;&gt;"")*ISNUMBER(SEARCH(SitKW,INDEX(FormData,$W584,f_Sit)&amp;""))*(ROW(SitKW)-MIN(ROW(SitKW))+1))))),""))</f>
        <v/>
      </c>
      <c r="I584" s="14">
        <f>IF($W584="","",IFERROR(INDEX(FormData,$W584,f_Appr)&amp;"",""))</f>
        <v/>
      </c>
      <c r="J584" s="16">
        <f>IF($W584="","",IFERROR(INDEX(FormData,$W584,f_Trade)&amp;"",""))</f>
        <v/>
      </c>
      <c r="K584" s="16" t="n"/>
      <c r="L584" s="17" t="n"/>
      <c r="M584" s="16" t="n"/>
      <c r="N584" s="17" t="n"/>
      <c r="O584" s="14" t="n"/>
      <c r="P584" s="14" t="n"/>
      <c r="Q584" s="18" t="n"/>
      <c r="R584" s="18" t="n"/>
      <c r="S584" s="13">
        <f>IF($P584&lt;&gt;"✓","",IF($R584&lt;&gt;"","Done",IF($Q584="","Open — no date",IF($Q584&lt;TODAY(),"Overdue",IF($Q584-TODAY()&lt;=DueSoon,"Due soon","Scheduled")))))</f>
        <v/>
      </c>
      <c r="T584" s="14">
        <f>IF($W584="","",IFERROR(IF(INDEX(FormData,$W584,f_Consent)&amp;""="","",IF(ISNUMBER(SEARCH("yes",INDEX(FormData,$W584,f_Consent))),"Yes","No")),""))</f>
        <v/>
      </c>
      <c r="U584" s="14" t="n"/>
      <c r="V584" s="13">
        <f>IF($U584="","",IF($W584="","not found","✓"))</f>
        <v/>
      </c>
      <c r="W584">
        <f>IF($U584="","",IFERROR(MATCH($U584,INDEX(FormData,0,f_Id),0),IFERROR(MATCH(--$U584,INDEX(FormData,0,f_Id),0),IFERROR(MATCH($U584&amp;"",INDEX(FormData,0,f_Id),0),""))))</f>
        <v/>
      </c>
      <c r="X584">
        <f>IF(AND($B584&lt;&gt;"",$B584='Event Report'!$C$3),ROW(),"")</f>
        <v/>
      </c>
      <c r="Y584">
        <f>IF(AND($P584="✓",$R584=""),IF($Q584="",90000,$Q584)+ROW()/100000,"")</f>
        <v/>
      </c>
      <c r="Z584">
        <f>IF(OR($U584&lt;&gt;"",$D584&lt;&gt;"",$E584&lt;&gt;"",$N584&lt;&gt;""),1,"")</f>
        <v/>
      </c>
    </row>
    <row r="585">
      <c r="A585" s="13" t="inlineStr">
        <is>
          <t>P-0581</t>
        </is>
      </c>
      <c r="B585" s="14">
        <f>IF(AND($U585="",$C585=""),"",IFERROR(INDEX(EvID,MATCH(INDEX(FormData,$W585,f_Event),EvID,0)),IFERROR(INDEX(EvID,MATCH(INDEX(FormData,$W585,f_Event),EvName,0)),IFERROR(INDEX(EvID,MATCH(INT($C585),EvDate,0)),""))))</f>
        <v/>
      </c>
      <c r="C585" s="15">
        <f>IF($W585="","",INDEX(FormData,$W585,f_Time))</f>
        <v/>
      </c>
      <c r="D585" s="14">
        <f>IF($W585="","",IFERROR(UPPER(LEFT(TRIM(INDEX(FormData,$W585,f_Name)),1)&amp;IFERROR(MID(TRIM(INDEX(FormData,$W585,f_Name)),FIND("^",SUBSTITUTE(TRIM(INDEX(FormData,$W585,f_Name))," ","^",LEN(TRIM(INDEX(FormData,$W585,f_Name)))-LEN(SUBSTITUTE(TRIM(INDEX(FormData,$W585,f_Name))," ",""))))+1,1),"")),""))</f>
        <v/>
      </c>
      <c r="E585" s="16">
        <f>IF($W585="","",IFERROR(IF(SUMPRODUCT(MAX((WhoKW&lt;&gt;"")*ISNUMBER(SEARCH(WhoKW,INDEX(FormData,$W585,f_Who)&amp;""))*(ROW(WhoKW)-MIN(ROW(WhoKW))+1)))=0,"",INDEX(WhoVal,SUMPRODUCT(MAX((WhoKW&lt;&gt;"")*ISNUMBER(SEARCH(WhoKW,INDEX(FormData,$W585,f_Who)&amp;""))*(ROW(WhoKW)-MIN(ROW(WhoKW))+1))))),""))</f>
        <v/>
      </c>
      <c r="F585" s="17">
        <f>IF($W585="","",TRIM(IFERROR(INDEX(FormData,$W585,f_Org1)&amp;"","")&amp;" "&amp;IFERROR(INDEX(FormData,$W585,f_Org2)&amp;"","")))</f>
        <v/>
      </c>
      <c r="G585" s="16">
        <f>IF($W585="","",IFERROR(INDEX(FormData,$W585,f_Region)&amp;"",""))</f>
        <v/>
      </c>
      <c r="H585" s="16">
        <f>IF($W585="","",IFERROR(IF(SUMPRODUCT(MAX((SitKW&lt;&gt;"")*ISNUMBER(SEARCH(SitKW,INDEX(FormData,$W585,f_Sit)&amp;""))*(ROW(SitKW)-MIN(ROW(SitKW))+1)))=0,"",INDEX(SitVal,SUMPRODUCT(MAX((SitKW&lt;&gt;"")*ISNUMBER(SEARCH(SitKW,INDEX(FormData,$W585,f_Sit)&amp;""))*(ROW(SitKW)-MIN(ROW(SitKW))+1))))),""))</f>
        <v/>
      </c>
      <c r="I585" s="14">
        <f>IF($W585="","",IFERROR(INDEX(FormData,$W585,f_Appr)&amp;"",""))</f>
        <v/>
      </c>
      <c r="J585" s="16">
        <f>IF($W585="","",IFERROR(INDEX(FormData,$W585,f_Trade)&amp;"",""))</f>
        <v/>
      </c>
      <c r="K585" s="16" t="n"/>
      <c r="L585" s="17" t="n"/>
      <c r="M585" s="16" t="n"/>
      <c r="N585" s="17" t="n"/>
      <c r="O585" s="14" t="n"/>
      <c r="P585" s="14" t="n"/>
      <c r="Q585" s="18" t="n"/>
      <c r="R585" s="18" t="n"/>
      <c r="S585" s="13">
        <f>IF($P585&lt;&gt;"✓","",IF($R585&lt;&gt;"","Done",IF($Q585="","Open — no date",IF($Q585&lt;TODAY(),"Overdue",IF($Q585-TODAY()&lt;=DueSoon,"Due soon","Scheduled")))))</f>
        <v/>
      </c>
      <c r="T585" s="14">
        <f>IF($W585="","",IFERROR(IF(INDEX(FormData,$W585,f_Consent)&amp;""="","",IF(ISNUMBER(SEARCH("yes",INDEX(FormData,$W585,f_Consent))),"Yes","No")),""))</f>
        <v/>
      </c>
      <c r="U585" s="14" t="n"/>
      <c r="V585" s="13">
        <f>IF($U585="","",IF($W585="","not found","✓"))</f>
        <v/>
      </c>
      <c r="W585">
        <f>IF($U585="","",IFERROR(MATCH($U585,INDEX(FormData,0,f_Id),0),IFERROR(MATCH(--$U585,INDEX(FormData,0,f_Id),0),IFERROR(MATCH($U585&amp;"",INDEX(FormData,0,f_Id),0),""))))</f>
        <v/>
      </c>
      <c r="X585">
        <f>IF(AND($B585&lt;&gt;"",$B585='Event Report'!$C$3),ROW(),"")</f>
        <v/>
      </c>
      <c r="Y585">
        <f>IF(AND($P585="✓",$R585=""),IF($Q585="",90000,$Q585)+ROW()/100000,"")</f>
        <v/>
      </c>
      <c r="Z585">
        <f>IF(OR($U585&lt;&gt;"",$D585&lt;&gt;"",$E585&lt;&gt;"",$N585&lt;&gt;""),1,"")</f>
        <v/>
      </c>
    </row>
    <row r="586">
      <c r="A586" s="13" t="inlineStr">
        <is>
          <t>P-0582</t>
        </is>
      </c>
      <c r="B586" s="14">
        <f>IF(AND($U586="",$C586=""),"",IFERROR(INDEX(EvID,MATCH(INDEX(FormData,$W586,f_Event),EvID,0)),IFERROR(INDEX(EvID,MATCH(INDEX(FormData,$W586,f_Event),EvName,0)),IFERROR(INDEX(EvID,MATCH(INT($C586),EvDate,0)),""))))</f>
        <v/>
      </c>
      <c r="C586" s="15">
        <f>IF($W586="","",INDEX(FormData,$W586,f_Time))</f>
        <v/>
      </c>
      <c r="D586" s="14">
        <f>IF($W586="","",IFERROR(UPPER(LEFT(TRIM(INDEX(FormData,$W586,f_Name)),1)&amp;IFERROR(MID(TRIM(INDEX(FormData,$W586,f_Name)),FIND("^",SUBSTITUTE(TRIM(INDEX(FormData,$W586,f_Name))," ","^",LEN(TRIM(INDEX(FormData,$W586,f_Name)))-LEN(SUBSTITUTE(TRIM(INDEX(FormData,$W586,f_Name))," ",""))))+1,1),"")),""))</f>
        <v/>
      </c>
      <c r="E586" s="16">
        <f>IF($W586="","",IFERROR(IF(SUMPRODUCT(MAX((WhoKW&lt;&gt;"")*ISNUMBER(SEARCH(WhoKW,INDEX(FormData,$W586,f_Who)&amp;""))*(ROW(WhoKW)-MIN(ROW(WhoKW))+1)))=0,"",INDEX(WhoVal,SUMPRODUCT(MAX((WhoKW&lt;&gt;"")*ISNUMBER(SEARCH(WhoKW,INDEX(FormData,$W586,f_Who)&amp;""))*(ROW(WhoKW)-MIN(ROW(WhoKW))+1))))),""))</f>
        <v/>
      </c>
      <c r="F586" s="17">
        <f>IF($W586="","",TRIM(IFERROR(INDEX(FormData,$W586,f_Org1)&amp;"","")&amp;" "&amp;IFERROR(INDEX(FormData,$W586,f_Org2)&amp;"","")))</f>
        <v/>
      </c>
      <c r="G586" s="16">
        <f>IF($W586="","",IFERROR(INDEX(FormData,$W586,f_Region)&amp;"",""))</f>
        <v/>
      </c>
      <c r="H586" s="16">
        <f>IF($W586="","",IFERROR(IF(SUMPRODUCT(MAX((SitKW&lt;&gt;"")*ISNUMBER(SEARCH(SitKW,INDEX(FormData,$W586,f_Sit)&amp;""))*(ROW(SitKW)-MIN(ROW(SitKW))+1)))=0,"",INDEX(SitVal,SUMPRODUCT(MAX((SitKW&lt;&gt;"")*ISNUMBER(SEARCH(SitKW,INDEX(FormData,$W586,f_Sit)&amp;""))*(ROW(SitKW)-MIN(ROW(SitKW))+1))))),""))</f>
        <v/>
      </c>
      <c r="I586" s="14">
        <f>IF($W586="","",IFERROR(INDEX(FormData,$W586,f_Appr)&amp;"",""))</f>
        <v/>
      </c>
      <c r="J586" s="16">
        <f>IF($W586="","",IFERROR(INDEX(FormData,$W586,f_Trade)&amp;"",""))</f>
        <v/>
      </c>
      <c r="K586" s="16" t="n"/>
      <c r="L586" s="17" t="n"/>
      <c r="M586" s="16" t="n"/>
      <c r="N586" s="17" t="n"/>
      <c r="O586" s="14" t="n"/>
      <c r="P586" s="14" t="n"/>
      <c r="Q586" s="18" t="n"/>
      <c r="R586" s="18" t="n"/>
      <c r="S586" s="13">
        <f>IF($P586&lt;&gt;"✓","",IF($R586&lt;&gt;"","Done",IF($Q586="","Open — no date",IF($Q586&lt;TODAY(),"Overdue",IF($Q586-TODAY()&lt;=DueSoon,"Due soon","Scheduled")))))</f>
        <v/>
      </c>
      <c r="T586" s="14">
        <f>IF($W586="","",IFERROR(IF(INDEX(FormData,$W586,f_Consent)&amp;""="","",IF(ISNUMBER(SEARCH("yes",INDEX(FormData,$W586,f_Consent))),"Yes","No")),""))</f>
        <v/>
      </c>
      <c r="U586" s="14" t="n"/>
      <c r="V586" s="13">
        <f>IF($U586="","",IF($W586="","not found","✓"))</f>
        <v/>
      </c>
      <c r="W586">
        <f>IF($U586="","",IFERROR(MATCH($U586,INDEX(FormData,0,f_Id),0),IFERROR(MATCH(--$U586,INDEX(FormData,0,f_Id),0),IFERROR(MATCH($U586&amp;"",INDEX(FormData,0,f_Id),0),""))))</f>
        <v/>
      </c>
      <c r="X586">
        <f>IF(AND($B586&lt;&gt;"",$B586='Event Report'!$C$3),ROW(),"")</f>
        <v/>
      </c>
      <c r="Y586">
        <f>IF(AND($P586="✓",$R586=""),IF($Q586="",90000,$Q586)+ROW()/100000,"")</f>
        <v/>
      </c>
      <c r="Z586">
        <f>IF(OR($U586&lt;&gt;"",$D586&lt;&gt;"",$E586&lt;&gt;"",$N586&lt;&gt;""),1,"")</f>
        <v/>
      </c>
    </row>
    <row r="587">
      <c r="A587" s="13" t="inlineStr">
        <is>
          <t>P-0583</t>
        </is>
      </c>
      <c r="B587" s="14">
        <f>IF(AND($U587="",$C587=""),"",IFERROR(INDEX(EvID,MATCH(INDEX(FormData,$W587,f_Event),EvID,0)),IFERROR(INDEX(EvID,MATCH(INDEX(FormData,$W587,f_Event),EvName,0)),IFERROR(INDEX(EvID,MATCH(INT($C587),EvDate,0)),""))))</f>
        <v/>
      </c>
      <c r="C587" s="15">
        <f>IF($W587="","",INDEX(FormData,$W587,f_Time))</f>
        <v/>
      </c>
      <c r="D587" s="14">
        <f>IF($W587="","",IFERROR(UPPER(LEFT(TRIM(INDEX(FormData,$W587,f_Name)),1)&amp;IFERROR(MID(TRIM(INDEX(FormData,$W587,f_Name)),FIND("^",SUBSTITUTE(TRIM(INDEX(FormData,$W587,f_Name))," ","^",LEN(TRIM(INDEX(FormData,$W587,f_Name)))-LEN(SUBSTITUTE(TRIM(INDEX(FormData,$W587,f_Name))," ",""))))+1,1),"")),""))</f>
        <v/>
      </c>
      <c r="E587" s="16">
        <f>IF($W587="","",IFERROR(IF(SUMPRODUCT(MAX((WhoKW&lt;&gt;"")*ISNUMBER(SEARCH(WhoKW,INDEX(FormData,$W587,f_Who)&amp;""))*(ROW(WhoKW)-MIN(ROW(WhoKW))+1)))=0,"",INDEX(WhoVal,SUMPRODUCT(MAX((WhoKW&lt;&gt;"")*ISNUMBER(SEARCH(WhoKW,INDEX(FormData,$W587,f_Who)&amp;""))*(ROW(WhoKW)-MIN(ROW(WhoKW))+1))))),""))</f>
        <v/>
      </c>
      <c r="F587" s="17">
        <f>IF($W587="","",TRIM(IFERROR(INDEX(FormData,$W587,f_Org1)&amp;"","")&amp;" "&amp;IFERROR(INDEX(FormData,$W587,f_Org2)&amp;"","")))</f>
        <v/>
      </c>
      <c r="G587" s="16">
        <f>IF($W587="","",IFERROR(INDEX(FormData,$W587,f_Region)&amp;"",""))</f>
        <v/>
      </c>
      <c r="H587" s="16">
        <f>IF($W587="","",IFERROR(IF(SUMPRODUCT(MAX((SitKW&lt;&gt;"")*ISNUMBER(SEARCH(SitKW,INDEX(FormData,$W587,f_Sit)&amp;""))*(ROW(SitKW)-MIN(ROW(SitKW))+1)))=0,"",INDEX(SitVal,SUMPRODUCT(MAX((SitKW&lt;&gt;"")*ISNUMBER(SEARCH(SitKW,INDEX(FormData,$W587,f_Sit)&amp;""))*(ROW(SitKW)-MIN(ROW(SitKW))+1))))),""))</f>
        <v/>
      </c>
      <c r="I587" s="14">
        <f>IF($W587="","",IFERROR(INDEX(FormData,$W587,f_Appr)&amp;"",""))</f>
        <v/>
      </c>
      <c r="J587" s="16">
        <f>IF($W587="","",IFERROR(INDEX(FormData,$W587,f_Trade)&amp;"",""))</f>
        <v/>
      </c>
      <c r="K587" s="16" t="n"/>
      <c r="L587" s="17" t="n"/>
      <c r="M587" s="16" t="n"/>
      <c r="N587" s="17" t="n"/>
      <c r="O587" s="14" t="n"/>
      <c r="P587" s="14" t="n"/>
      <c r="Q587" s="18" t="n"/>
      <c r="R587" s="18" t="n"/>
      <c r="S587" s="13">
        <f>IF($P587&lt;&gt;"✓","",IF($R587&lt;&gt;"","Done",IF($Q587="","Open — no date",IF($Q587&lt;TODAY(),"Overdue",IF($Q587-TODAY()&lt;=DueSoon,"Due soon","Scheduled")))))</f>
        <v/>
      </c>
      <c r="T587" s="14">
        <f>IF($W587="","",IFERROR(IF(INDEX(FormData,$W587,f_Consent)&amp;""="","",IF(ISNUMBER(SEARCH("yes",INDEX(FormData,$W587,f_Consent))),"Yes","No")),""))</f>
        <v/>
      </c>
      <c r="U587" s="14" t="n"/>
      <c r="V587" s="13">
        <f>IF($U587="","",IF($W587="","not found","✓"))</f>
        <v/>
      </c>
      <c r="W587">
        <f>IF($U587="","",IFERROR(MATCH($U587,INDEX(FormData,0,f_Id),0),IFERROR(MATCH(--$U587,INDEX(FormData,0,f_Id),0),IFERROR(MATCH($U587&amp;"",INDEX(FormData,0,f_Id),0),""))))</f>
        <v/>
      </c>
      <c r="X587">
        <f>IF(AND($B587&lt;&gt;"",$B587='Event Report'!$C$3),ROW(),"")</f>
        <v/>
      </c>
      <c r="Y587">
        <f>IF(AND($P587="✓",$R587=""),IF($Q587="",90000,$Q587)+ROW()/100000,"")</f>
        <v/>
      </c>
      <c r="Z587">
        <f>IF(OR($U587&lt;&gt;"",$D587&lt;&gt;"",$E587&lt;&gt;"",$N587&lt;&gt;""),1,"")</f>
        <v/>
      </c>
    </row>
    <row r="588">
      <c r="A588" s="13" t="inlineStr">
        <is>
          <t>P-0584</t>
        </is>
      </c>
      <c r="B588" s="14">
        <f>IF(AND($U588="",$C588=""),"",IFERROR(INDEX(EvID,MATCH(INDEX(FormData,$W588,f_Event),EvID,0)),IFERROR(INDEX(EvID,MATCH(INDEX(FormData,$W588,f_Event),EvName,0)),IFERROR(INDEX(EvID,MATCH(INT($C588),EvDate,0)),""))))</f>
        <v/>
      </c>
      <c r="C588" s="15">
        <f>IF($W588="","",INDEX(FormData,$W588,f_Time))</f>
        <v/>
      </c>
      <c r="D588" s="14">
        <f>IF($W588="","",IFERROR(UPPER(LEFT(TRIM(INDEX(FormData,$W588,f_Name)),1)&amp;IFERROR(MID(TRIM(INDEX(FormData,$W588,f_Name)),FIND("^",SUBSTITUTE(TRIM(INDEX(FormData,$W588,f_Name))," ","^",LEN(TRIM(INDEX(FormData,$W588,f_Name)))-LEN(SUBSTITUTE(TRIM(INDEX(FormData,$W588,f_Name))," ",""))))+1,1),"")),""))</f>
        <v/>
      </c>
      <c r="E588" s="16">
        <f>IF($W588="","",IFERROR(IF(SUMPRODUCT(MAX((WhoKW&lt;&gt;"")*ISNUMBER(SEARCH(WhoKW,INDEX(FormData,$W588,f_Who)&amp;""))*(ROW(WhoKW)-MIN(ROW(WhoKW))+1)))=0,"",INDEX(WhoVal,SUMPRODUCT(MAX((WhoKW&lt;&gt;"")*ISNUMBER(SEARCH(WhoKW,INDEX(FormData,$W588,f_Who)&amp;""))*(ROW(WhoKW)-MIN(ROW(WhoKW))+1))))),""))</f>
        <v/>
      </c>
      <c r="F588" s="17">
        <f>IF($W588="","",TRIM(IFERROR(INDEX(FormData,$W588,f_Org1)&amp;"","")&amp;" "&amp;IFERROR(INDEX(FormData,$W588,f_Org2)&amp;"","")))</f>
        <v/>
      </c>
      <c r="G588" s="16">
        <f>IF($W588="","",IFERROR(INDEX(FormData,$W588,f_Region)&amp;"",""))</f>
        <v/>
      </c>
      <c r="H588" s="16">
        <f>IF($W588="","",IFERROR(IF(SUMPRODUCT(MAX((SitKW&lt;&gt;"")*ISNUMBER(SEARCH(SitKW,INDEX(FormData,$W588,f_Sit)&amp;""))*(ROW(SitKW)-MIN(ROW(SitKW))+1)))=0,"",INDEX(SitVal,SUMPRODUCT(MAX((SitKW&lt;&gt;"")*ISNUMBER(SEARCH(SitKW,INDEX(FormData,$W588,f_Sit)&amp;""))*(ROW(SitKW)-MIN(ROW(SitKW))+1))))),""))</f>
        <v/>
      </c>
      <c r="I588" s="14">
        <f>IF($W588="","",IFERROR(INDEX(FormData,$W588,f_Appr)&amp;"",""))</f>
        <v/>
      </c>
      <c r="J588" s="16">
        <f>IF($W588="","",IFERROR(INDEX(FormData,$W588,f_Trade)&amp;"",""))</f>
        <v/>
      </c>
      <c r="K588" s="16" t="n"/>
      <c r="L588" s="17" t="n"/>
      <c r="M588" s="16" t="n"/>
      <c r="N588" s="17" t="n"/>
      <c r="O588" s="14" t="n"/>
      <c r="P588" s="14" t="n"/>
      <c r="Q588" s="18" t="n"/>
      <c r="R588" s="18" t="n"/>
      <c r="S588" s="13">
        <f>IF($P588&lt;&gt;"✓","",IF($R588&lt;&gt;"","Done",IF($Q588="","Open — no date",IF($Q588&lt;TODAY(),"Overdue",IF($Q588-TODAY()&lt;=DueSoon,"Due soon","Scheduled")))))</f>
        <v/>
      </c>
      <c r="T588" s="14">
        <f>IF($W588="","",IFERROR(IF(INDEX(FormData,$W588,f_Consent)&amp;""="","",IF(ISNUMBER(SEARCH("yes",INDEX(FormData,$W588,f_Consent))),"Yes","No")),""))</f>
        <v/>
      </c>
      <c r="U588" s="14" t="n"/>
      <c r="V588" s="13">
        <f>IF($U588="","",IF($W588="","not found","✓"))</f>
        <v/>
      </c>
      <c r="W588">
        <f>IF($U588="","",IFERROR(MATCH($U588,INDEX(FormData,0,f_Id),0),IFERROR(MATCH(--$U588,INDEX(FormData,0,f_Id),0),IFERROR(MATCH($U588&amp;"",INDEX(FormData,0,f_Id),0),""))))</f>
        <v/>
      </c>
      <c r="X588">
        <f>IF(AND($B588&lt;&gt;"",$B588='Event Report'!$C$3),ROW(),"")</f>
        <v/>
      </c>
      <c r="Y588">
        <f>IF(AND($P588="✓",$R588=""),IF($Q588="",90000,$Q588)+ROW()/100000,"")</f>
        <v/>
      </c>
      <c r="Z588">
        <f>IF(OR($U588&lt;&gt;"",$D588&lt;&gt;"",$E588&lt;&gt;"",$N588&lt;&gt;""),1,"")</f>
        <v/>
      </c>
    </row>
    <row r="589">
      <c r="A589" s="13" t="inlineStr">
        <is>
          <t>P-0585</t>
        </is>
      </c>
      <c r="B589" s="14">
        <f>IF(AND($U589="",$C589=""),"",IFERROR(INDEX(EvID,MATCH(INDEX(FormData,$W589,f_Event),EvID,0)),IFERROR(INDEX(EvID,MATCH(INDEX(FormData,$W589,f_Event),EvName,0)),IFERROR(INDEX(EvID,MATCH(INT($C589),EvDate,0)),""))))</f>
        <v/>
      </c>
      <c r="C589" s="15">
        <f>IF($W589="","",INDEX(FormData,$W589,f_Time))</f>
        <v/>
      </c>
      <c r="D589" s="14">
        <f>IF($W589="","",IFERROR(UPPER(LEFT(TRIM(INDEX(FormData,$W589,f_Name)),1)&amp;IFERROR(MID(TRIM(INDEX(FormData,$W589,f_Name)),FIND("^",SUBSTITUTE(TRIM(INDEX(FormData,$W589,f_Name))," ","^",LEN(TRIM(INDEX(FormData,$W589,f_Name)))-LEN(SUBSTITUTE(TRIM(INDEX(FormData,$W589,f_Name))," ",""))))+1,1),"")),""))</f>
        <v/>
      </c>
      <c r="E589" s="16">
        <f>IF($W589="","",IFERROR(IF(SUMPRODUCT(MAX((WhoKW&lt;&gt;"")*ISNUMBER(SEARCH(WhoKW,INDEX(FormData,$W589,f_Who)&amp;""))*(ROW(WhoKW)-MIN(ROW(WhoKW))+1)))=0,"",INDEX(WhoVal,SUMPRODUCT(MAX((WhoKW&lt;&gt;"")*ISNUMBER(SEARCH(WhoKW,INDEX(FormData,$W589,f_Who)&amp;""))*(ROW(WhoKW)-MIN(ROW(WhoKW))+1))))),""))</f>
        <v/>
      </c>
      <c r="F589" s="17">
        <f>IF($W589="","",TRIM(IFERROR(INDEX(FormData,$W589,f_Org1)&amp;"","")&amp;" "&amp;IFERROR(INDEX(FormData,$W589,f_Org2)&amp;"","")))</f>
        <v/>
      </c>
      <c r="G589" s="16">
        <f>IF($W589="","",IFERROR(INDEX(FormData,$W589,f_Region)&amp;"",""))</f>
        <v/>
      </c>
      <c r="H589" s="16">
        <f>IF($W589="","",IFERROR(IF(SUMPRODUCT(MAX((SitKW&lt;&gt;"")*ISNUMBER(SEARCH(SitKW,INDEX(FormData,$W589,f_Sit)&amp;""))*(ROW(SitKW)-MIN(ROW(SitKW))+1)))=0,"",INDEX(SitVal,SUMPRODUCT(MAX((SitKW&lt;&gt;"")*ISNUMBER(SEARCH(SitKW,INDEX(FormData,$W589,f_Sit)&amp;""))*(ROW(SitKW)-MIN(ROW(SitKW))+1))))),""))</f>
        <v/>
      </c>
      <c r="I589" s="14">
        <f>IF($W589="","",IFERROR(INDEX(FormData,$W589,f_Appr)&amp;"",""))</f>
        <v/>
      </c>
      <c r="J589" s="16">
        <f>IF($W589="","",IFERROR(INDEX(FormData,$W589,f_Trade)&amp;"",""))</f>
        <v/>
      </c>
      <c r="K589" s="16" t="n"/>
      <c r="L589" s="17" t="n"/>
      <c r="M589" s="16" t="n"/>
      <c r="N589" s="17" t="n"/>
      <c r="O589" s="14" t="n"/>
      <c r="P589" s="14" t="n"/>
      <c r="Q589" s="18" t="n"/>
      <c r="R589" s="18" t="n"/>
      <c r="S589" s="13">
        <f>IF($P589&lt;&gt;"✓","",IF($R589&lt;&gt;"","Done",IF($Q589="","Open — no date",IF($Q589&lt;TODAY(),"Overdue",IF($Q589-TODAY()&lt;=DueSoon,"Due soon","Scheduled")))))</f>
        <v/>
      </c>
      <c r="T589" s="14">
        <f>IF($W589="","",IFERROR(IF(INDEX(FormData,$W589,f_Consent)&amp;""="","",IF(ISNUMBER(SEARCH("yes",INDEX(FormData,$W589,f_Consent))),"Yes","No")),""))</f>
        <v/>
      </c>
      <c r="U589" s="14" t="n"/>
      <c r="V589" s="13">
        <f>IF($U589="","",IF($W589="","not found","✓"))</f>
        <v/>
      </c>
      <c r="W589">
        <f>IF($U589="","",IFERROR(MATCH($U589,INDEX(FormData,0,f_Id),0),IFERROR(MATCH(--$U589,INDEX(FormData,0,f_Id),0),IFERROR(MATCH($U589&amp;"",INDEX(FormData,0,f_Id),0),""))))</f>
        <v/>
      </c>
      <c r="X589">
        <f>IF(AND($B589&lt;&gt;"",$B589='Event Report'!$C$3),ROW(),"")</f>
        <v/>
      </c>
      <c r="Y589">
        <f>IF(AND($P589="✓",$R589=""),IF($Q589="",90000,$Q589)+ROW()/100000,"")</f>
        <v/>
      </c>
      <c r="Z589">
        <f>IF(OR($U589&lt;&gt;"",$D589&lt;&gt;"",$E589&lt;&gt;"",$N589&lt;&gt;""),1,"")</f>
        <v/>
      </c>
    </row>
    <row r="590">
      <c r="A590" s="13" t="inlineStr">
        <is>
          <t>P-0586</t>
        </is>
      </c>
      <c r="B590" s="14">
        <f>IF(AND($U590="",$C590=""),"",IFERROR(INDEX(EvID,MATCH(INDEX(FormData,$W590,f_Event),EvID,0)),IFERROR(INDEX(EvID,MATCH(INDEX(FormData,$W590,f_Event),EvName,0)),IFERROR(INDEX(EvID,MATCH(INT($C590),EvDate,0)),""))))</f>
        <v/>
      </c>
      <c r="C590" s="15">
        <f>IF($W590="","",INDEX(FormData,$W590,f_Time))</f>
        <v/>
      </c>
      <c r="D590" s="14">
        <f>IF($W590="","",IFERROR(UPPER(LEFT(TRIM(INDEX(FormData,$W590,f_Name)),1)&amp;IFERROR(MID(TRIM(INDEX(FormData,$W590,f_Name)),FIND("^",SUBSTITUTE(TRIM(INDEX(FormData,$W590,f_Name))," ","^",LEN(TRIM(INDEX(FormData,$W590,f_Name)))-LEN(SUBSTITUTE(TRIM(INDEX(FormData,$W590,f_Name))," ",""))))+1,1),"")),""))</f>
        <v/>
      </c>
      <c r="E590" s="16">
        <f>IF($W590="","",IFERROR(IF(SUMPRODUCT(MAX((WhoKW&lt;&gt;"")*ISNUMBER(SEARCH(WhoKW,INDEX(FormData,$W590,f_Who)&amp;""))*(ROW(WhoKW)-MIN(ROW(WhoKW))+1)))=0,"",INDEX(WhoVal,SUMPRODUCT(MAX((WhoKW&lt;&gt;"")*ISNUMBER(SEARCH(WhoKW,INDEX(FormData,$W590,f_Who)&amp;""))*(ROW(WhoKW)-MIN(ROW(WhoKW))+1))))),""))</f>
        <v/>
      </c>
      <c r="F590" s="17">
        <f>IF($W590="","",TRIM(IFERROR(INDEX(FormData,$W590,f_Org1)&amp;"","")&amp;" "&amp;IFERROR(INDEX(FormData,$W590,f_Org2)&amp;"","")))</f>
        <v/>
      </c>
      <c r="G590" s="16">
        <f>IF($W590="","",IFERROR(INDEX(FormData,$W590,f_Region)&amp;"",""))</f>
        <v/>
      </c>
      <c r="H590" s="16">
        <f>IF($W590="","",IFERROR(IF(SUMPRODUCT(MAX((SitKW&lt;&gt;"")*ISNUMBER(SEARCH(SitKW,INDEX(FormData,$W590,f_Sit)&amp;""))*(ROW(SitKW)-MIN(ROW(SitKW))+1)))=0,"",INDEX(SitVal,SUMPRODUCT(MAX((SitKW&lt;&gt;"")*ISNUMBER(SEARCH(SitKW,INDEX(FormData,$W590,f_Sit)&amp;""))*(ROW(SitKW)-MIN(ROW(SitKW))+1))))),""))</f>
        <v/>
      </c>
      <c r="I590" s="14">
        <f>IF($W590="","",IFERROR(INDEX(FormData,$W590,f_Appr)&amp;"",""))</f>
        <v/>
      </c>
      <c r="J590" s="16">
        <f>IF($W590="","",IFERROR(INDEX(FormData,$W590,f_Trade)&amp;"",""))</f>
        <v/>
      </c>
      <c r="K590" s="16" t="n"/>
      <c r="L590" s="17" t="n"/>
      <c r="M590" s="16" t="n"/>
      <c r="N590" s="17" t="n"/>
      <c r="O590" s="14" t="n"/>
      <c r="P590" s="14" t="n"/>
      <c r="Q590" s="18" t="n"/>
      <c r="R590" s="18" t="n"/>
      <c r="S590" s="13">
        <f>IF($P590&lt;&gt;"✓","",IF($R590&lt;&gt;"","Done",IF($Q590="","Open — no date",IF($Q590&lt;TODAY(),"Overdue",IF($Q590-TODAY()&lt;=DueSoon,"Due soon","Scheduled")))))</f>
        <v/>
      </c>
      <c r="T590" s="14">
        <f>IF($W590="","",IFERROR(IF(INDEX(FormData,$W590,f_Consent)&amp;""="","",IF(ISNUMBER(SEARCH("yes",INDEX(FormData,$W590,f_Consent))),"Yes","No")),""))</f>
        <v/>
      </c>
      <c r="U590" s="14" t="n"/>
      <c r="V590" s="13">
        <f>IF($U590="","",IF($W590="","not found","✓"))</f>
        <v/>
      </c>
      <c r="W590">
        <f>IF($U590="","",IFERROR(MATCH($U590,INDEX(FormData,0,f_Id),0),IFERROR(MATCH(--$U590,INDEX(FormData,0,f_Id),0),IFERROR(MATCH($U590&amp;"",INDEX(FormData,0,f_Id),0),""))))</f>
        <v/>
      </c>
      <c r="X590">
        <f>IF(AND($B590&lt;&gt;"",$B590='Event Report'!$C$3),ROW(),"")</f>
        <v/>
      </c>
      <c r="Y590">
        <f>IF(AND($P590="✓",$R590=""),IF($Q590="",90000,$Q590)+ROW()/100000,"")</f>
        <v/>
      </c>
      <c r="Z590">
        <f>IF(OR($U590&lt;&gt;"",$D590&lt;&gt;"",$E590&lt;&gt;"",$N590&lt;&gt;""),1,"")</f>
        <v/>
      </c>
    </row>
    <row r="591">
      <c r="A591" s="13" t="inlineStr">
        <is>
          <t>P-0587</t>
        </is>
      </c>
      <c r="B591" s="14">
        <f>IF(AND($U591="",$C591=""),"",IFERROR(INDEX(EvID,MATCH(INDEX(FormData,$W591,f_Event),EvID,0)),IFERROR(INDEX(EvID,MATCH(INDEX(FormData,$W591,f_Event),EvName,0)),IFERROR(INDEX(EvID,MATCH(INT($C591),EvDate,0)),""))))</f>
        <v/>
      </c>
      <c r="C591" s="15">
        <f>IF($W591="","",INDEX(FormData,$W591,f_Time))</f>
        <v/>
      </c>
      <c r="D591" s="14">
        <f>IF($W591="","",IFERROR(UPPER(LEFT(TRIM(INDEX(FormData,$W591,f_Name)),1)&amp;IFERROR(MID(TRIM(INDEX(FormData,$W591,f_Name)),FIND("^",SUBSTITUTE(TRIM(INDEX(FormData,$W591,f_Name))," ","^",LEN(TRIM(INDEX(FormData,$W591,f_Name)))-LEN(SUBSTITUTE(TRIM(INDEX(FormData,$W591,f_Name))," ",""))))+1,1),"")),""))</f>
        <v/>
      </c>
      <c r="E591" s="16">
        <f>IF($W591="","",IFERROR(IF(SUMPRODUCT(MAX((WhoKW&lt;&gt;"")*ISNUMBER(SEARCH(WhoKW,INDEX(FormData,$W591,f_Who)&amp;""))*(ROW(WhoKW)-MIN(ROW(WhoKW))+1)))=0,"",INDEX(WhoVal,SUMPRODUCT(MAX((WhoKW&lt;&gt;"")*ISNUMBER(SEARCH(WhoKW,INDEX(FormData,$W591,f_Who)&amp;""))*(ROW(WhoKW)-MIN(ROW(WhoKW))+1))))),""))</f>
        <v/>
      </c>
      <c r="F591" s="17">
        <f>IF($W591="","",TRIM(IFERROR(INDEX(FormData,$W591,f_Org1)&amp;"","")&amp;" "&amp;IFERROR(INDEX(FormData,$W591,f_Org2)&amp;"","")))</f>
        <v/>
      </c>
      <c r="G591" s="16">
        <f>IF($W591="","",IFERROR(INDEX(FormData,$W591,f_Region)&amp;"",""))</f>
        <v/>
      </c>
      <c r="H591" s="16">
        <f>IF($W591="","",IFERROR(IF(SUMPRODUCT(MAX((SitKW&lt;&gt;"")*ISNUMBER(SEARCH(SitKW,INDEX(FormData,$W591,f_Sit)&amp;""))*(ROW(SitKW)-MIN(ROW(SitKW))+1)))=0,"",INDEX(SitVal,SUMPRODUCT(MAX((SitKW&lt;&gt;"")*ISNUMBER(SEARCH(SitKW,INDEX(FormData,$W591,f_Sit)&amp;""))*(ROW(SitKW)-MIN(ROW(SitKW))+1))))),""))</f>
        <v/>
      </c>
      <c r="I591" s="14">
        <f>IF($W591="","",IFERROR(INDEX(FormData,$W591,f_Appr)&amp;"",""))</f>
        <v/>
      </c>
      <c r="J591" s="16">
        <f>IF($W591="","",IFERROR(INDEX(FormData,$W591,f_Trade)&amp;"",""))</f>
        <v/>
      </c>
      <c r="K591" s="16" t="n"/>
      <c r="L591" s="17" t="n"/>
      <c r="M591" s="16" t="n"/>
      <c r="N591" s="17" t="n"/>
      <c r="O591" s="14" t="n"/>
      <c r="P591" s="14" t="n"/>
      <c r="Q591" s="18" t="n"/>
      <c r="R591" s="18" t="n"/>
      <c r="S591" s="13">
        <f>IF($P591&lt;&gt;"✓","",IF($R591&lt;&gt;"","Done",IF($Q591="","Open — no date",IF($Q591&lt;TODAY(),"Overdue",IF($Q591-TODAY()&lt;=DueSoon,"Due soon","Scheduled")))))</f>
        <v/>
      </c>
      <c r="T591" s="14">
        <f>IF($W591="","",IFERROR(IF(INDEX(FormData,$W591,f_Consent)&amp;""="","",IF(ISNUMBER(SEARCH("yes",INDEX(FormData,$W591,f_Consent))),"Yes","No")),""))</f>
        <v/>
      </c>
      <c r="U591" s="14" t="n"/>
      <c r="V591" s="13">
        <f>IF($U591="","",IF($W591="","not found","✓"))</f>
        <v/>
      </c>
      <c r="W591">
        <f>IF($U591="","",IFERROR(MATCH($U591,INDEX(FormData,0,f_Id),0),IFERROR(MATCH(--$U591,INDEX(FormData,0,f_Id),0),IFERROR(MATCH($U591&amp;"",INDEX(FormData,0,f_Id),0),""))))</f>
        <v/>
      </c>
      <c r="X591">
        <f>IF(AND($B591&lt;&gt;"",$B591='Event Report'!$C$3),ROW(),"")</f>
        <v/>
      </c>
      <c r="Y591">
        <f>IF(AND($P591="✓",$R591=""),IF($Q591="",90000,$Q591)+ROW()/100000,"")</f>
        <v/>
      </c>
      <c r="Z591">
        <f>IF(OR($U591&lt;&gt;"",$D591&lt;&gt;"",$E591&lt;&gt;"",$N591&lt;&gt;""),1,"")</f>
        <v/>
      </c>
    </row>
    <row r="592">
      <c r="A592" s="13" t="inlineStr">
        <is>
          <t>P-0588</t>
        </is>
      </c>
      <c r="B592" s="14">
        <f>IF(AND($U592="",$C592=""),"",IFERROR(INDEX(EvID,MATCH(INDEX(FormData,$W592,f_Event),EvID,0)),IFERROR(INDEX(EvID,MATCH(INDEX(FormData,$W592,f_Event),EvName,0)),IFERROR(INDEX(EvID,MATCH(INT($C592),EvDate,0)),""))))</f>
        <v/>
      </c>
      <c r="C592" s="15">
        <f>IF($W592="","",INDEX(FormData,$W592,f_Time))</f>
        <v/>
      </c>
      <c r="D592" s="14">
        <f>IF($W592="","",IFERROR(UPPER(LEFT(TRIM(INDEX(FormData,$W592,f_Name)),1)&amp;IFERROR(MID(TRIM(INDEX(FormData,$W592,f_Name)),FIND("^",SUBSTITUTE(TRIM(INDEX(FormData,$W592,f_Name))," ","^",LEN(TRIM(INDEX(FormData,$W592,f_Name)))-LEN(SUBSTITUTE(TRIM(INDEX(FormData,$W592,f_Name))," ",""))))+1,1),"")),""))</f>
        <v/>
      </c>
      <c r="E592" s="16">
        <f>IF($W592="","",IFERROR(IF(SUMPRODUCT(MAX((WhoKW&lt;&gt;"")*ISNUMBER(SEARCH(WhoKW,INDEX(FormData,$W592,f_Who)&amp;""))*(ROW(WhoKW)-MIN(ROW(WhoKW))+1)))=0,"",INDEX(WhoVal,SUMPRODUCT(MAX((WhoKW&lt;&gt;"")*ISNUMBER(SEARCH(WhoKW,INDEX(FormData,$W592,f_Who)&amp;""))*(ROW(WhoKW)-MIN(ROW(WhoKW))+1))))),""))</f>
        <v/>
      </c>
      <c r="F592" s="17">
        <f>IF($W592="","",TRIM(IFERROR(INDEX(FormData,$W592,f_Org1)&amp;"","")&amp;" "&amp;IFERROR(INDEX(FormData,$W592,f_Org2)&amp;"","")))</f>
        <v/>
      </c>
      <c r="G592" s="16">
        <f>IF($W592="","",IFERROR(INDEX(FormData,$W592,f_Region)&amp;"",""))</f>
        <v/>
      </c>
      <c r="H592" s="16">
        <f>IF($W592="","",IFERROR(IF(SUMPRODUCT(MAX((SitKW&lt;&gt;"")*ISNUMBER(SEARCH(SitKW,INDEX(FormData,$W592,f_Sit)&amp;""))*(ROW(SitKW)-MIN(ROW(SitKW))+1)))=0,"",INDEX(SitVal,SUMPRODUCT(MAX((SitKW&lt;&gt;"")*ISNUMBER(SEARCH(SitKW,INDEX(FormData,$W592,f_Sit)&amp;""))*(ROW(SitKW)-MIN(ROW(SitKW))+1))))),""))</f>
        <v/>
      </c>
      <c r="I592" s="14">
        <f>IF($W592="","",IFERROR(INDEX(FormData,$W592,f_Appr)&amp;"",""))</f>
        <v/>
      </c>
      <c r="J592" s="16">
        <f>IF($W592="","",IFERROR(INDEX(FormData,$W592,f_Trade)&amp;"",""))</f>
        <v/>
      </c>
      <c r="K592" s="16" t="n"/>
      <c r="L592" s="17" t="n"/>
      <c r="M592" s="16" t="n"/>
      <c r="N592" s="17" t="n"/>
      <c r="O592" s="14" t="n"/>
      <c r="P592" s="14" t="n"/>
      <c r="Q592" s="18" t="n"/>
      <c r="R592" s="18" t="n"/>
      <c r="S592" s="13">
        <f>IF($P592&lt;&gt;"✓","",IF($R592&lt;&gt;"","Done",IF($Q592="","Open — no date",IF($Q592&lt;TODAY(),"Overdue",IF($Q592-TODAY()&lt;=DueSoon,"Due soon","Scheduled")))))</f>
        <v/>
      </c>
      <c r="T592" s="14">
        <f>IF($W592="","",IFERROR(IF(INDEX(FormData,$W592,f_Consent)&amp;""="","",IF(ISNUMBER(SEARCH("yes",INDEX(FormData,$W592,f_Consent))),"Yes","No")),""))</f>
        <v/>
      </c>
      <c r="U592" s="14" t="n"/>
      <c r="V592" s="13">
        <f>IF($U592="","",IF($W592="","not found","✓"))</f>
        <v/>
      </c>
      <c r="W592">
        <f>IF($U592="","",IFERROR(MATCH($U592,INDEX(FormData,0,f_Id),0),IFERROR(MATCH(--$U592,INDEX(FormData,0,f_Id),0),IFERROR(MATCH($U592&amp;"",INDEX(FormData,0,f_Id),0),""))))</f>
        <v/>
      </c>
      <c r="X592">
        <f>IF(AND($B592&lt;&gt;"",$B592='Event Report'!$C$3),ROW(),"")</f>
        <v/>
      </c>
      <c r="Y592">
        <f>IF(AND($P592="✓",$R592=""),IF($Q592="",90000,$Q592)+ROW()/100000,"")</f>
        <v/>
      </c>
      <c r="Z592">
        <f>IF(OR($U592&lt;&gt;"",$D592&lt;&gt;"",$E592&lt;&gt;"",$N592&lt;&gt;""),1,"")</f>
        <v/>
      </c>
    </row>
    <row r="593">
      <c r="A593" s="13" t="inlineStr">
        <is>
          <t>P-0589</t>
        </is>
      </c>
      <c r="B593" s="14">
        <f>IF(AND($U593="",$C593=""),"",IFERROR(INDEX(EvID,MATCH(INDEX(FormData,$W593,f_Event),EvID,0)),IFERROR(INDEX(EvID,MATCH(INDEX(FormData,$W593,f_Event),EvName,0)),IFERROR(INDEX(EvID,MATCH(INT($C593),EvDate,0)),""))))</f>
        <v/>
      </c>
      <c r="C593" s="15">
        <f>IF($W593="","",INDEX(FormData,$W593,f_Time))</f>
        <v/>
      </c>
      <c r="D593" s="14">
        <f>IF($W593="","",IFERROR(UPPER(LEFT(TRIM(INDEX(FormData,$W593,f_Name)),1)&amp;IFERROR(MID(TRIM(INDEX(FormData,$W593,f_Name)),FIND("^",SUBSTITUTE(TRIM(INDEX(FormData,$W593,f_Name))," ","^",LEN(TRIM(INDEX(FormData,$W593,f_Name)))-LEN(SUBSTITUTE(TRIM(INDEX(FormData,$W593,f_Name))," ",""))))+1,1),"")),""))</f>
        <v/>
      </c>
      <c r="E593" s="16">
        <f>IF($W593="","",IFERROR(IF(SUMPRODUCT(MAX((WhoKW&lt;&gt;"")*ISNUMBER(SEARCH(WhoKW,INDEX(FormData,$W593,f_Who)&amp;""))*(ROW(WhoKW)-MIN(ROW(WhoKW))+1)))=0,"",INDEX(WhoVal,SUMPRODUCT(MAX((WhoKW&lt;&gt;"")*ISNUMBER(SEARCH(WhoKW,INDEX(FormData,$W593,f_Who)&amp;""))*(ROW(WhoKW)-MIN(ROW(WhoKW))+1))))),""))</f>
        <v/>
      </c>
      <c r="F593" s="17">
        <f>IF($W593="","",TRIM(IFERROR(INDEX(FormData,$W593,f_Org1)&amp;"","")&amp;" "&amp;IFERROR(INDEX(FormData,$W593,f_Org2)&amp;"","")))</f>
        <v/>
      </c>
      <c r="G593" s="16">
        <f>IF($W593="","",IFERROR(INDEX(FormData,$W593,f_Region)&amp;"",""))</f>
        <v/>
      </c>
      <c r="H593" s="16">
        <f>IF($W593="","",IFERROR(IF(SUMPRODUCT(MAX((SitKW&lt;&gt;"")*ISNUMBER(SEARCH(SitKW,INDEX(FormData,$W593,f_Sit)&amp;""))*(ROW(SitKW)-MIN(ROW(SitKW))+1)))=0,"",INDEX(SitVal,SUMPRODUCT(MAX((SitKW&lt;&gt;"")*ISNUMBER(SEARCH(SitKW,INDEX(FormData,$W593,f_Sit)&amp;""))*(ROW(SitKW)-MIN(ROW(SitKW))+1))))),""))</f>
        <v/>
      </c>
      <c r="I593" s="14">
        <f>IF($W593="","",IFERROR(INDEX(FormData,$W593,f_Appr)&amp;"",""))</f>
        <v/>
      </c>
      <c r="J593" s="16">
        <f>IF($W593="","",IFERROR(INDEX(FormData,$W593,f_Trade)&amp;"",""))</f>
        <v/>
      </c>
      <c r="K593" s="16" t="n"/>
      <c r="L593" s="17" t="n"/>
      <c r="M593" s="16" t="n"/>
      <c r="N593" s="17" t="n"/>
      <c r="O593" s="14" t="n"/>
      <c r="P593" s="14" t="n"/>
      <c r="Q593" s="18" t="n"/>
      <c r="R593" s="18" t="n"/>
      <c r="S593" s="13">
        <f>IF($P593&lt;&gt;"✓","",IF($R593&lt;&gt;"","Done",IF($Q593="","Open — no date",IF($Q593&lt;TODAY(),"Overdue",IF($Q593-TODAY()&lt;=DueSoon,"Due soon","Scheduled")))))</f>
        <v/>
      </c>
      <c r="T593" s="14">
        <f>IF($W593="","",IFERROR(IF(INDEX(FormData,$W593,f_Consent)&amp;""="","",IF(ISNUMBER(SEARCH("yes",INDEX(FormData,$W593,f_Consent))),"Yes","No")),""))</f>
        <v/>
      </c>
      <c r="U593" s="14" t="n"/>
      <c r="V593" s="13">
        <f>IF($U593="","",IF($W593="","not found","✓"))</f>
        <v/>
      </c>
      <c r="W593">
        <f>IF($U593="","",IFERROR(MATCH($U593,INDEX(FormData,0,f_Id),0),IFERROR(MATCH(--$U593,INDEX(FormData,0,f_Id),0),IFERROR(MATCH($U593&amp;"",INDEX(FormData,0,f_Id),0),""))))</f>
        <v/>
      </c>
      <c r="X593">
        <f>IF(AND($B593&lt;&gt;"",$B593='Event Report'!$C$3),ROW(),"")</f>
        <v/>
      </c>
      <c r="Y593">
        <f>IF(AND($P593="✓",$R593=""),IF($Q593="",90000,$Q593)+ROW()/100000,"")</f>
        <v/>
      </c>
      <c r="Z593">
        <f>IF(OR($U593&lt;&gt;"",$D593&lt;&gt;"",$E593&lt;&gt;"",$N593&lt;&gt;""),1,"")</f>
        <v/>
      </c>
    </row>
    <row r="594">
      <c r="A594" s="13" t="inlineStr">
        <is>
          <t>P-0590</t>
        </is>
      </c>
      <c r="B594" s="14">
        <f>IF(AND($U594="",$C594=""),"",IFERROR(INDEX(EvID,MATCH(INDEX(FormData,$W594,f_Event),EvID,0)),IFERROR(INDEX(EvID,MATCH(INDEX(FormData,$W594,f_Event),EvName,0)),IFERROR(INDEX(EvID,MATCH(INT($C594),EvDate,0)),""))))</f>
        <v/>
      </c>
      <c r="C594" s="15">
        <f>IF($W594="","",INDEX(FormData,$W594,f_Time))</f>
        <v/>
      </c>
      <c r="D594" s="14">
        <f>IF($W594="","",IFERROR(UPPER(LEFT(TRIM(INDEX(FormData,$W594,f_Name)),1)&amp;IFERROR(MID(TRIM(INDEX(FormData,$W594,f_Name)),FIND("^",SUBSTITUTE(TRIM(INDEX(FormData,$W594,f_Name))," ","^",LEN(TRIM(INDEX(FormData,$W594,f_Name)))-LEN(SUBSTITUTE(TRIM(INDEX(FormData,$W594,f_Name))," ",""))))+1,1),"")),""))</f>
        <v/>
      </c>
      <c r="E594" s="16">
        <f>IF($W594="","",IFERROR(IF(SUMPRODUCT(MAX((WhoKW&lt;&gt;"")*ISNUMBER(SEARCH(WhoKW,INDEX(FormData,$W594,f_Who)&amp;""))*(ROW(WhoKW)-MIN(ROW(WhoKW))+1)))=0,"",INDEX(WhoVal,SUMPRODUCT(MAX((WhoKW&lt;&gt;"")*ISNUMBER(SEARCH(WhoKW,INDEX(FormData,$W594,f_Who)&amp;""))*(ROW(WhoKW)-MIN(ROW(WhoKW))+1))))),""))</f>
        <v/>
      </c>
      <c r="F594" s="17">
        <f>IF($W594="","",TRIM(IFERROR(INDEX(FormData,$W594,f_Org1)&amp;"","")&amp;" "&amp;IFERROR(INDEX(FormData,$W594,f_Org2)&amp;"","")))</f>
        <v/>
      </c>
      <c r="G594" s="16">
        <f>IF($W594="","",IFERROR(INDEX(FormData,$W594,f_Region)&amp;"",""))</f>
        <v/>
      </c>
      <c r="H594" s="16">
        <f>IF($W594="","",IFERROR(IF(SUMPRODUCT(MAX((SitKW&lt;&gt;"")*ISNUMBER(SEARCH(SitKW,INDEX(FormData,$W594,f_Sit)&amp;""))*(ROW(SitKW)-MIN(ROW(SitKW))+1)))=0,"",INDEX(SitVal,SUMPRODUCT(MAX((SitKW&lt;&gt;"")*ISNUMBER(SEARCH(SitKW,INDEX(FormData,$W594,f_Sit)&amp;""))*(ROW(SitKW)-MIN(ROW(SitKW))+1))))),""))</f>
        <v/>
      </c>
      <c r="I594" s="14">
        <f>IF($W594="","",IFERROR(INDEX(FormData,$W594,f_Appr)&amp;"",""))</f>
        <v/>
      </c>
      <c r="J594" s="16">
        <f>IF($W594="","",IFERROR(INDEX(FormData,$W594,f_Trade)&amp;"",""))</f>
        <v/>
      </c>
      <c r="K594" s="16" t="n"/>
      <c r="L594" s="17" t="n"/>
      <c r="M594" s="16" t="n"/>
      <c r="N594" s="17" t="n"/>
      <c r="O594" s="14" t="n"/>
      <c r="P594" s="14" t="n"/>
      <c r="Q594" s="18" t="n"/>
      <c r="R594" s="18" t="n"/>
      <c r="S594" s="13">
        <f>IF($P594&lt;&gt;"✓","",IF($R594&lt;&gt;"","Done",IF($Q594="","Open — no date",IF($Q594&lt;TODAY(),"Overdue",IF($Q594-TODAY()&lt;=DueSoon,"Due soon","Scheduled")))))</f>
        <v/>
      </c>
      <c r="T594" s="14">
        <f>IF($W594="","",IFERROR(IF(INDEX(FormData,$W594,f_Consent)&amp;""="","",IF(ISNUMBER(SEARCH("yes",INDEX(FormData,$W594,f_Consent))),"Yes","No")),""))</f>
        <v/>
      </c>
      <c r="U594" s="14" t="n"/>
      <c r="V594" s="13">
        <f>IF($U594="","",IF($W594="","not found","✓"))</f>
        <v/>
      </c>
      <c r="W594">
        <f>IF($U594="","",IFERROR(MATCH($U594,INDEX(FormData,0,f_Id),0),IFERROR(MATCH(--$U594,INDEX(FormData,0,f_Id),0),IFERROR(MATCH($U594&amp;"",INDEX(FormData,0,f_Id),0),""))))</f>
        <v/>
      </c>
      <c r="X594">
        <f>IF(AND($B594&lt;&gt;"",$B594='Event Report'!$C$3),ROW(),"")</f>
        <v/>
      </c>
      <c r="Y594">
        <f>IF(AND($P594="✓",$R594=""),IF($Q594="",90000,$Q594)+ROW()/100000,"")</f>
        <v/>
      </c>
      <c r="Z594">
        <f>IF(OR($U594&lt;&gt;"",$D594&lt;&gt;"",$E594&lt;&gt;"",$N594&lt;&gt;""),1,"")</f>
        <v/>
      </c>
    </row>
    <row r="595">
      <c r="A595" s="13" t="inlineStr">
        <is>
          <t>P-0591</t>
        </is>
      </c>
      <c r="B595" s="14">
        <f>IF(AND($U595="",$C595=""),"",IFERROR(INDEX(EvID,MATCH(INDEX(FormData,$W595,f_Event),EvID,0)),IFERROR(INDEX(EvID,MATCH(INDEX(FormData,$W595,f_Event),EvName,0)),IFERROR(INDEX(EvID,MATCH(INT($C595),EvDate,0)),""))))</f>
        <v/>
      </c>
      <c r="C595" s="15">
        <f>IF($W595="","",INDEX(FormData,$W595,f_Time))</f>
        <v/>
      </c>
      <c r="D595" s="14">
        <f>IF($W595="","",IFERROR(UPPER(LEFT(TRIM(INDEX(FormData,$W595,f_Name)),1)&amp;IFERROR(MID(TRIM(INDEX(FormData,$W595,f_Name)),FIND("^",SUBSTITUTE(TRIM(INDEX(FormData,$W595,f_Name))," ","^",LEN(TRIM(INDEX(FormData,$W595,f_Name)))-LEN(SUBSTITUTE(TRIM(INDEX(FormData,$W595,f_Name))," ",""))))+1,1),"")),""))</f>
        <v/>
      </c>
      <c r="E595" s="16">
        <f>IF($W595="","",IFERROR(IF(SUMPRODUCT(MAX((WhoKW&lt;&gt;"")*ISNUMBER(SEARCH(WhoKW,INDEX(FormData,$W595,f_Who)&amp;""))*(ROW(WhoKW)-MIN(ROW(WhoKW))+1)))=0,"",INDEX(WhoVal,SUMPRODUCT(MAX((WhoKW&lt;&gt;"")*ISNUMBER(SEARCH(WhoKW,INDEX(FormData,$W595,f_Who)&amp;""))*(ROW(WhoKW)-MIN(ROW(WhoKW))+1))))),""))</f>
        <v/>
      </c>
      <c r="F595" s="17">
        <f>IF($W595="","",TRIM(IFERROR(INDEX(FormData,$W595,f_Org1)&amp;"","")&amp;" "&amp;IFERROR(INDEX(FormData,$W595,f_Org2)&amp;"","")))</f>
        <v/>
      </c>
      <c r="G595" s="16">
        <f>IF($W595="","",IFERROR(INDEX(FormData,$W595,f_Region)&amp;"",""))</f>
        <v/>
      </c>
      <c r="H595" s="16">
        <f>IF($W595="","",IFERROR(IF(SUMPRODUCT(MAX((SitKW&lt;&gt;"")*ISNUMBER(SEARCH(SitKW,INDEX(FormData,$W595,f_Sit)&amp;""))*(ROW(SitKW)-MIN(ROW(SitKW))+1)))=0,"",INDEX(SitVal,SUMPRODUCT(MAX((SitKW&lt;&gt;"")*ISNUMBER(SEARCH(SitKW,INDEX(FormData,$W595,f_Sit)&amp;""))*(ROW(SitKW)-MIN(ROW(SitKW))+1))))),""))</f>
        <v/>
      </c>
      <c r="I595" s="14">
        <f>IF($W595="","",IFERROR(INDEX(FormData,$W595,f_Appr)&amp;"",""))</f>
        <v/>
      </c>
      <c r="J595" s="16">
        <f>IF($W595="","",IFERROR(INDEX(FormData,$W595,f_Trade)&amp;"",""))</f>
        <v/>
      </c>
      <c r="K595" s="16" t="n"/>
      <c r="L595" s="17" t="n"/>
      <c r="M595" s="16" t="n"/>
      <c r="N595" s="17" t="n"/>
      <c r="O595" s="14" t="n"/>
      <c r="P595" s="14" t="n"/>
      <c r="Q595" s="18" t="n"/>
      <c r="R595" s="18" t="n"/>
      <c r="S595" s="13">
        <f>IF($P595&lt;&gt;"✓","",IF($R595&lt;&gt;"","Done",IF($Q595="","Open — no date",IF($Q595&lt;TODAY(),"Overdue",IF($Q595-TODAY()&lt;=DueSoon,"Due soon","Scheduled")))))</f>
        <v/>
      </c>
      <c r="T595" s="14">
        <f>IF($W595="","",IFERROR(IF(INDEX(FormData,$W595,f_Consent)&amp;""="","",IF(ISNUMBER(SEARCH("yes",INDEX(FormData,$W595,f_Consent))),"Yes","No")),""))</f>
        <v/>
      </c>
      <c r="U595" s="14" t="n"/>
      <c r="V595" s="13">
        <f>IF($U595="","",IF($W595="","not found","✓"))</f>
        <v/>
      </c>
      <c r="W595">
        <f>IF($U595="","",IFERROR(MATCH($U595,INDEX(FormData,0,f_Id),0),IFERROR(MATCH(--$U595,INDEX(FormData,0,f_Id),0),IFERROR(MATCH($U595&amp;"",INDEX(FormData,0,f_Id),0),""))))</f>
        <v/>
      </c>
      <c r="X595">
        <f>IF(AND($B595&lt;&gt;"",$B595='Event Report'!$C$3),ROW(),"")</f>
        <v/>
      </c>
      <c r="Y595">
        <f>IF(AND($P595="✓",$R595=""),IF($Q595="",90000,$Q595)+ROW()/100000,"")</f>
        <v/>
      </c>
      <c r="Z595">
        <f>IF(OR($U595&lt;&gt;"",$D595&lt;&gt;"",$E595&lt;&gt;"",$N595&lt;&gt;""),1,"")</f>
        <v/>
      </c>
    </row>
    <row r="596">
      <c r="A596" s="13" t="inlineStr">
        <is>
          <t>P-0592</t>
        </is>
      </c>
      <c r="B596" s="14">
        <f>IF(AND($U596="",$C596=""),"",IFERROR(INDEX(EvID,MATCH(INDEX(FormData,$W596,f_Event),EvID,0)),IFERROR(INDEX(EvID,MATCH(INDEX(FormData,$W596,f_Event),EvName,0)),IFERROR(INDEX(EvID,MATCH(INT($C596),EvDate,0)),""))))</f>
        <v/>
      </c>
      <c r="C596" s="15">
        <f>IF($W596="","",INDEX(FormData,$W596,f_Time))</f>
        <v/>
      </c>
      <c r="D596" s="14">
        <f>IF($W596="","",IFERROR(UPPER(LEFT(TRIM(INDEX(FormData,$W596,f_Name)),1)&amp;IFERROR(MID(TRIM(INDEX(FormData,$W596,f_Name)),FIND("^",SUBSTITUTE(TRIM(INDEX(FormData,$W596,f_Name))," ","^",LEN(TRIM(INDEX(FormData,$W596,f_Name)))-LEN(SUBSTITUTE(TRIM(INDEX(FormData,$W596,f_Name))," ",""))))+1,1),"")),""))</f>
        <v/>
      </c>
      <c r="E596" s="16">
        <f>IF($W596="","",IFERROR(IF(SUMPRODUCT(MAX((WhoKW&lt;&gt;"")*ISNUMBER(SEARCH(WhoKW,INDEX(FormData,$W596,f_Who)&amp;""))*(ROW(WhoKW)-MIN(ROW(WhoKW))+1)))=0,"",INDEX(WhoVal,SUMPRODUCT(MAX((WhoKW&lt;&gt;"")*ISNUMBER(SEARCH(WhoKW,INDEX(FormData,$W596,f_Who)&amp;""))*(ROW(WhoKW)-MIN(ROW(WhoKW))+1))))),""))</f>
        <v/>
      </c>
      <c r="F596" s="17">
        <f>IF($W596="","",TRIM(IFERROR(INDEX(FormData,$W596,f_Org1)&amp;"","")&amp;" "&amp;IFERROR(INDEX(FormData,$W596,f_Org2)&amp;"","")))</f>
        <v/>
      </c>
      <c r="G596" s="16">
        <f>IF($W596="","",IFERROR(INDEX(FormData,$W596,f_Region)&amp;"",""))</f>
        <v/>
      </c>
      <c r="H596" s="16">
        <f>IF($W596="","",IFERROR(IF(SUMPRODUCT(MAX((SitKW&lt;&gt;"")*ISNUMBER(SEARCH(SitKW,INDEX(FormData,$W596,f_Sit)&amp;""))*(ROW(SitKW)-MIN(ROW(SitKW))+1)))=0,"",INDEX(SitVal,SUMPRODUCT(MAX((SitKW&lt;&gt;"")*ISNUMBER(SEARCH(SitKW,INDEX(FormData,$W596,f_Sit)&amp;""))*(ROW(SitKW)-MIN(ROW(SitKW))+1))))),""))</f>
        <v/>
      </c>
      <c r="I596" s="14">
        <f>IF($W596="","",IFERROR(INDEX(FormData,$W596,f_Appr)&amp;"",""))</f>
        <v/>
      </c>
      <c r="J596" s="16">
        <f>IF($W596="","",IFERROR(INDEX(FormData,$W596,f_Trade)&amp;"",""))</f>
        <v/>
      </c>
      <c r="K596" s="16" t="n"/>
      <c r="L596" s="17" t="n"/>
      <c r="M596" s="16" t="n"/>
      <c r="N596" s="17" t="n"/>
      <c r="O596" s="14" t="n"/>
      <c r="P596" s="14" t="n"/>
      <c r="Q596" s="18" t="n"/>
      <c r="R596" s="18" t="n"/>
      <c r="S596" s="13">
        <f>IF($P596&lt;&gt;"✓","",IF($R596&lt;&gt;"","Done",IF($Q596="","Open — no date",IF($Q596&lt;TODAY(),"Overdue",IF($Q596-TODAY()&lt;=DueSoon,"Due soon","Scheduled")))))</f>
        <v/>
      </c>
      <c r="T596" s="14">
        <f>IF($W596="","",IFERROR(IF(INDEX(FormData,$W596,f_Consent)&amp;""="","",IF(ISNUMBER(SEARCH("yes",INDEX(FormData,$W596,f_Consent))),"Yes","No")),""))</f>
        <v/>
      </c>
      <c r="U596" s="14" t="n"/>
      <c r="V596" s="13">
        <f>IF($U596="","",IF($W596="","not found","✓"))</f>
        <v/>
      </c>
      <c r="W596">
        <f>IF($U596="","",IFERROR(MATCH($U596,INDEX(FormData,0,f_Id),0),IFERROR(MATCH(--$U596,INDEX(FormData,0,f_Id),0),IFERROR(MATCH($U596&amp;"",INDEX(FormData,0,f_Id),0),""))))</f>
        <v/>
      </c>
      <c r="X596">
        <f>IF(AND($B596&lt;&gt;"",$B596='Event Report'!$C$3),ROW(),"")</f>
        <v/>
      </c>
      <c r="Y596">
        <f>IF(AND($P596="✓",$R596=""),IF($Q596="",90000,$Q596)+ROW()/100000,"")</f>
        <v/>
      </c>
      <c r="Z596">
        <f>IF(OR($U596&lt;&gt;"",$D596&lt;&gt;"",$E596&lt;&gt;"",$N596&lt;&gt;""),1,"")</f>
        <v/>
      </c>
    </row>
    <row r="597">
      <c r="A597" s="13" t="inlineStr">
        <is>
          <t>P-0593</t>
        </is>
      </c>
      <c r="B597" s="14">
        <f>IF(AND($U597="",$C597=""),"",IFERROR(INDEX(EvID,MATCH(INDEX(FormData,$W597,f_Event),EvID,0)),IFERROR(INDEX(EvID,MATCH(INDEX(FormData,$W597,f_Event),EvName,0)),IFERROR(INDEX(EvID,MATCH(INT($C597),EvDate,0)),""))))</f>
        <v/>
      </c>
      <c r="C597" s="15">
        <f>IF($W597="","",INDEX(FormData,$W597,f_Time))</f>
        <v/>
      </c>
      <c r="D597" s="14">
        <f>IF($W597="","",IFERROR(UPPER(LEFT(TRIM(INDEX(FormData,$W597,f_Name)),1)&amp;IFERROR(MID(TRIM(INDEX(FormData,$W597,f_Name)),FIND("^",SUBSTITUTE(TRIM(INDEX(FormData,$W597,f_Name))," ","^",LEN(TRIM(INDEX(FormData,$W597,f_Name)))-LEN(SUBSTITUTE(TRIM(INDEX(FormData,$W597,f_Name))," ",""))))+1,1),"")),""))</f>
        <v/>
      </c>
      <c r="E597" s="16">
        <f>IF($W597="","",IFERROR(IF(SUMPRODUCT(MAX((WhoKW&lt;&gt;"")*ISNUMBER(SEARCH(WhoKW,INDEX(FormData,$W597,f_Who)&amp;""))*(ROW(WhoKW)-MIN(ROW(WhoKW))+1)))=0,"",INDEX(WhoVal,SUMPRODUCT(MAX((WhoKW&lt;&gt;"")*ISNUMBER(SEARCH(WhoKW,INDEX(FormData,$W597,f_Who)&amp;""))*(ROW(WhoKW)-MIN(ROW(WhoKW))+1))))),""))</f>
        <v/>
      </c>
      <c r="F597" s="17">
        <f>IF($W597="","",TRIM(IFERROR(INDEX(FormData,$W597,f_Org1)&amp;"","")&amp;" "&amp;IFERROR(INDEX(FormData,$W597,f_Org2)&amp;"","")))</f>
        <v/>
      </c>
      <c r="G597" s="16">
        <f>IF($W597="","",IFERROR(INDEX(FormData,$W597,f_Region)&amp;"",""))</f>
        <v/>
      </c>
      <c r="H597" s="16">
        <f>IF($W597="","",IFERROR(IF(SUMPRODUCT(MAX((SitKW&lt;&gt;"")*ISNUMBER(SEARCH(SitKW,INDEX(FormData,$W597,f_Sit)&amp;""))*(ROW(SitKW)-MIN(ROW(SitKW))+1)))=0,"",INDEX(SitVal,SUMPRODUCT(MAX((SitKW&lt;&gt;"")*ISNUMBER(SEARCH(SitKW,INDEX(FormData,$W597,f_Sit)&amp;""))*(ROW(SitKW)-MIN(ROW(SitKW))+1))))),""))</f>
        <v/>
      </c>
      <c r="I597" s="14">
        <f>IF($W597="","",IFERROR(INDEX(FormData,$W597,f_Appr)&amp;"",""))</f>
        <v/>
      </c>
      <c r="J597" s="16">
        <f>IF($W597="","",IFERROR(INDEX(FormData,$W597,f_Trade)&amp;"",""))</f>
        <v/>
      </c>
      <c r="K597" s="16" t="n"/>
      <c r="L597" s="17" t="n"/>
      <c r="M597" s="16" t="n"/>
      <c r="N597" s="17" t="n"/>
      <c r="O597" s="14" t="n"/>
      <c r="P597" s="14" t="n"/>
      <c r="Q597" s="18" t="n"/>
      <c r="R597" s="18" t="n"/>
      <c r="S597" s="13">
        <f>IF($P597&lt;&gt;"✓","",IF($R597&lt;&gt;"","Done",IF($Q597="","Open — no date",IF($Q597&lt;TODAY(),"Overdue",IF($Q597-TODAY()&lt;=DueSoon,"Due soon","Scheduled")))))</f>
        <v/>
      </c>
      <c r="T597" s="14">
        <f>IF($W597="","",IFERROR(IF(INDEX(FormData,$W597,f_Consent)&amp;""="","",IF(ISNUMBER(SEARCH("yes",INDEX(FormData,$W597,f_Consent))),"Yes","No")),""))</f>
        <v/>
      </c>
      <c r="U597" s="14" t="n"/>
      <c r="V597" s="13">
        <f>IF($U597="","",IF($W597="","not found","✓"))</f>
        <v/>
      </c>
      <c r="W597">
        <f>IF($U597="","",IFERROR(MATCH($U597,INDEX(FormData,0,f_Id),0),IFERROR(MATCH(--$U597,INDEX(FormData,0,f_Id),0),IFERROR(MATCH($U597&amp;"",INDEX(FormData,0,f_Id),0),""))))</f>
        <v/>
      </c>
      <c r="X597">
        <f>IF(AND($B597&lt;&gt;"",$B597='Event Report'!$C$3),ROW(),"")</f>
        <v/>
      </c>
      <c r="Y597">
        <f>IF(AND($P597="✓",$R597=""),IF($Q597="",90000,$Q597)+ROW()/100000,"")</f>
        <v/>
      </c>
      <c r="Z597">
        <f>IF(OR($U597&lt;&gt;"",$D597&lt;&gt;"",$E597&lt;&gt;"",$N597&lt;&gt;""),1,"")</f>
        <v/>
      </c>
    </row>
    <row r="598">
      <c r="A598" s="13" t="inlineStr">
        <is>
          <t>P-0594</t>
        </is>
      </c>
      <c r="B598" s="14">
        <f>IF(AND($U598="",$C598=""),"",IFERROR(INDEX(EvID,MATCH(INDEX(FormData,$W598,f_Event),EvID,0)),IFERROR(INDEX(EvID,MATCH(INDEX(FormData,$W598,f_Event),EvName,0)),IFERROR(INDEX(EvID,MATCH(INT($C598),EvDate,0)),""))))</f>
        <v/>
      </c>
      <c r="C598" s="15">
        <f>IF($W598="","",INDEX(FormData,$W598,f_Time))</f>
        <v/>
      </c>
      <c r="D598" s="14">
        <f>IF($W598="","",IFERROR(UPPER(LEFT(TRIM(INDEX(FormData,$W598,f_Name)),1)&amp;IFERROR(MID(TRIM(INDEX(FormData,$W598,f_Name)),FIND("^",SUBSTITUTE(TRIM(INDEX(FormData,$W598,f_Name))," ","^",LEN(TRIM(INDEX(FormData,$W598,f_Name)))-LEN(SUBSTITUTE(TRIM(INDEX(FormData,$W598,f_Name))," ",""))))+1,1),"")),""))</f>
        <v/>
      </c>
      <c r="E598" s="16">
        <f>IF($W598="","",IFERROR(IF(SUMPRODUCT(MAX((WhoKW&lt;&gt;"")*ISNUMBER(SEARCH(WhoKW,INDEX(FormData,$W598,f_Who)&amp;""))*(ROW(WhoKW)-MIN(ROW(WhoKW))+1)))=0,"",INDEX(WhoVal,SUMPRODUCT(MAX((WhoKW&lt;&gt;"")*ISNUMBER(SEARCH(WhoKW,INDEX(FormData,$W598,f_Who)&amp;""))*(ROW(WhoKW)-MIN(ROW(WhoKW))+1))))),""))</f>
        <v/>
      </c>
      <c r="F598" s="17">
        <f>IF($W598="","",TRIM(IFERROR(INDEX(FormData,$W598,f_Org1)&amp;"","")&amp;" "&amp;IFERROR(INDEX(FormData,$W598,f_Org2)&amp;"","")))</f>
        <v/>
      </c>
      <c r="G598" s="16">
        <f>IF($W598="","",IFERROR(INDEX(FormData,$W598,f_Region)&amp;"",""))</f>
        <v/>
      </c>
      <c r="H598" s="16">
        <f>IF($W598="","",IFERROR(IF(SUMPRODUCT(MAX((SitKW&lt;&gt;"")*ISNUMBER(SEARCH(SitKW,INDEX(FormData,$W598,f_Sit)&amp;""))*(ROW(SitKW)-MIN(ROW(SitKW))+1)))=0,"",INDEX(SitVal,SUMPRODUCT(MAX((SitKW&lt;&gt;"")*ISNUMBER(SEARCH(SitKW,INDEX(FormData,$W598,f_Sit)&amp;""))*(ROW(SitKW)-MIN(ROW(SitKW))+1))))),""))</f>
        <v/>
      </c>
      <c r="I598" s="14">
        <f>IF($W598="","",IFERROR(INDEX(FormData,$W598,f_Appr)&amp;"",""))</f>
        <v/>
      </c>
      <c r="J598" s="16">
        <f>IF($W598="","",IFERROR(INDEX(FormData,$W598,f_Trade)&amp;"",""))</f>
        <v/>
      </c>
      <c r="K598" s="16" t="n"/>
      <c r="L598" s="17" t="n"/>
      <c r="M598" s="16" t="n"/>
      <c r="N598" s="17" t="n"/>
      <c r="O598" s="14" t="n"/>
      <c r="P598" s="14" t="n"/>
      <c r="Q598" s="18" t="n"/>
      <c r="R598" s="18" t="n"/>
      <c r="S598" s="13">
        <f>IF($P598&lt;&gt;"✓","",IF($R598&lt;&gt;"","Done",IF($Q598="","Open — no date",IF($Q598&lt;TODAY(),"Overdue",IF($Q598-TODAY()&lt;=DueSoon,"Due soon","Scheduled")))))</f>
        <v/>
      </c>
      <c r="T598" s="14">
        <f>IF($W598="","",IFERROR(IF(INDEX(FormData,$W598,f_Consent)&amp;""="","",IF(ISNUMBER(SEARCH("yes",INDEX(FormData,$W598,f_Consent))),"Yes","No")),""))</f>
        <v/>
      </c>
      <c r="U598" s="14" t="n"/>
      <c r="V598" s="13">
        <f>IF($U598="","",IF($W598="","not found","✓"))</f>
        <v/>
      </c>
      <c r="W598">
        <f>IF($U598="","",IFERROR(MATCH($U598,INDEX(FormData,0,f_Id),0),IFERROR(MATCH(--$U598,INDEX(FormData,0,f_Id),0),IFERROR(MATCH($U598&amp;"",INDEX(FormData,0,f_Id),0),""))))</f>
        <v/>
      </c>
      <c r="X598">
        <f>IF(AND($B598&lt;&gt;"",$B598='Event Report'!$C$3),ROW(),"")</f>
        <v/>
      </c>
      <c r="Y598">
        <f>IF(AND($P598="✓",$R598=""),IF($Q598="",90000,$Q598)+ROW()/100000,"")</f>
        <v/>
      </c>
      <c r="Z598">
        <f>IF(OR($U598&lt;&gt;"",$D598&lt;&gt;"",$E598&lt;&gt;"",$N598&lt;&gt;""),1,"")</f>
        <v/>
      </c>
    </row>
    <row r="599">
      <c r="A599" s="13" t="inlineStr">
        <is>
          <t>P-0595</t>
        </is>
      </c>
      <c r="B599" s="14">
        <f>IF(AND($U599="",$C599=""),"",IFERROR(INDEX(EvID,MATCH(INDEX(FormData,$W599,f_Event),EvID,0)),IFERROR(INDEX(EvID,MATCH(INDEX(FormData,$W599,f_Event),EvName,0)),IFERROR(INDEX(EvID,MATCH(INT($C599),EvDate,0)),""))))</f>
        <v/>
      </c>
      <c r="C599" s="15">
        <f>IF($W599="","",INDEX(FormData,$W599,f_Time))</f>
        <v/>
      </c>
      <c r="D599" s="14">
        <f>IF($W599="","",IFERROR(UPPER(LEFT(TRIM(INDEX(FormData,$W599,f_Name)),1)&amp;IFERROR(MID(TRIM(INDEX(FormData,$W599,f_Name)),FIND("^",SUBSTITUTE(TRIM(INDEX(FormData,$W599,f_Name))," ","^",LEN(TRIM(INDEX(FormData,$W599,f_Name)))-LEN(SUBSTITUTE(TRIM(INDEX(FormData,$W599,f_Name))," ",""))))+1,1),"")),""))</f>
        <v/>
      </c>
      <c r="E599" s="16">
        <f>IF($W599="","",IFERROR(IF(SUMPRODUCT(MAX((WhoKW&lt;&gt;"")*ISNUMBER(SEARCH(WhoKW,INDEX(FormData,$W599,f_Who)&amp;""))*(ROW(WhoKW)-MIN(ROW(WhoKW))+1)))=0,"",INDEX(WhoVal,SUMPRODUCT(MAX((WhoKW&lt;&gt;"")*ISNUMBER(SEARCH(WhoKW,INDEX(FormData,$W599,f_Who)&amp;""))*(ROW(WhoKW)-MIN(ROW(WhoKW))+1))))),""))</f>
        <v/>
      </c>
      <c r="F599" s="17">
        <f>IF($W599="","",TRIM(IFERROR(INDEX(FormData,$W599,f_Org1)&amp;"","")&amp;" "&amp;IFERROR(INDEX(FormData,$W599,f_Org2)&amp;"","")))</f>
        <v/>
      </c>
      <c r="G599" s="16">
        <f>IF($W599="","",IFERROR(INDEX(FormData,$W599,f_Region)&amp;"",""))</f>
        <v/>
      </c>
      <c r="H599" s="16">
        <f>IF($W599="","",IFERROR(IF(SUMPRODUCT(MAX((SitKW&lt;&gt;"")*ISNUMBER(SEARCH(SitKW,INDEX(FormData,$W599,f_Sit)&amp;""))*(ROW(SitKW)-MIN(ROW(SitKW))+1)))=0,"",INDEX(SitVal,SUMPRODUCT(MAX((SitKW&lt;&gt;"")*ISNUMBER(SEARCH(SitKW,INDEX(FormData,$W599,f_Sit)&amp;""))*(ROW(SitKW)-MIN(ROW(SitKW))+1))))),""))</f>
        <v/>
      </c>
      <c r="I599" s="14">
        <f>IF($W599="","",IFERROR(INDEX(FormData,$W599,f_Appr)&amp;"",""))</f>
        <v/>
      </c>
      <c r="J599" s="16">
        <f>IF($W599="","",IFERROR(INDEX(FormData,$W599,f_Trade)&amp;"",""))</f>
        <v/>
      </c>
      <c r="K599" s="16" t="n"/>
      <c r="L599" s="17" t="n"/>
      <c r="M599" s="16" t="n"/>
      <c r="N599" s="17" t="n"/>
      <c r="O599" s="14" t="n"/>
      <c r="P599" s="14" t="n"/>
      <c r="Q599" s="18" t="n"/>
      <c r="R599" s="18" t="n"/>
      <c r="S599" s="13">
        <f>IF($P599&lt;&gt;"✓","",IF($R599&lt;&gt;"","Done",IF($Q599="","Open — no date",IF($Q599&lt;TODAY(),"Overdue",IF($Q599-TODAY()&lt;=DueSoon,"Due soon","Scheduled")))))</f>
        <v/>
      </c>
      <c r="T599" s="14">
        <f>IF($W599="","",IFERROR(IF(INDEX(FormData,$W599,f_Consent)&amp;""="","",IF(ISNUMBER(SEARCH("yes",INDEX(FormData,$W599,f_Consent))),"Yes","No")),""))</f>
        <v/>
      </c>
      <c r="U599" s="14" t="n"/>
      <c r="V599" s="13">
        <f>IF($U599="","",IF($W599="","not found","✓"))</f>
        <v/>
      </c>
      <c r="W599">
        <f>IF($U599="","",IFERROR(MATCH($U599,INDEX(FormData,0,f_Id),0),IFERROR(MATCH(--$U599,INDEX(FormData,0,f_Id),0),IFERROR(MATCH($U599&amp;"",INDEX(FormData,0,f_Id),0),""))))</f>
        <v/>
      </c>
      <c r="X599">
        <f>IF(AND($B599&lt;&gt;"",$B599='Event Report'!$C$3),ROW(),"")</f>
        <v/>
      </c>
      <c r="Y599">
        <f>IF(AND($P599="✓",$R599=""),IF($Q599="",90000,$Q599)+ROW()/100000,"")</f>
        <v/>
      </c>
      <c r="Z599">
        <f>IF(OR($U599&lt;&gt;"",$D599&lt;&gt;"",$E599&lt;&gt;"",$N599&lt;&gt;""),1,"")</f>
        <v/>
      </c>
    </row>
    <row r="600">
      <c r="A600" s="13" t="inlineStr">
        <is>
          <t>P-0596</t>
        </is>
      </c>
      <c r="B600" s="14">
        <f>IF(AND($U600="",$C600=""),"",IFERROR(INDEX(EvID,MATCH(INDEX(FormData,$W600,f_Event),EvID,0)),IFERROR(INDEX(EvID,MATCH(INDEX(FormData,$W600,f_Event),EvName,0)),IFERROR(INDEX(EvID,MATCH(INT($C600),EvDate,0)),""))))</f>
        <v/>
      </c>
      <c r="C600" s="15">
        <f>IF($W600="","",INDEX(FormData,$W600,f_Time))</f>
        <v/>
      </c>
      <c r="D600" s="14">
        <f>IF($W600="","",IFERROR(UPPER(LEFT(TRIM(INDEX(FormData,$W600,f_Name)),1)&amp;IFERROR(MID(TRIM(INDEX(FormData,$W600,f_Name)),FIND("^",SUBSTITUTE(TRIM(INDEX(FormData,$W600,f_Name))," ","^",LEN(TRIM(INDEX(FormData,$W600,f_Name)))-LEN(SUBSTITUTE(TRIM(INDEX(FormData,$W600,f_Name))," ",""))))+1,1),"")),""))</f>
        <v/>
      </c>
      <c r="E600" s="16">
        <f>IF($W600="","",IFERROR(IF(SUMPRODUCT(MAX((WhoKW&lt;&gt;"")*ISNUMBER(SEARCH(WhoKW,INDEX(FormData,$W600,f_Who)&amp;""))*(ROW(WhoKW)-MIN(ROW(WhoKW))+1)))=0,"",INDEX(WhoVal,SUMPRODUCT(MAX((WhoKW&lt;&gt;"")*ISNUMBER(SEARCH(WhoKW,INDEX(FormData,$W600,f_Who)&amp;""))*(ROW(WhoKW)-MIN(ROW(WhoKW))+1))))),""))</f>
        <v/>
      </c>
      <c r="F600" s="17">
        <f>IF($W600="","",TRIM(IFERROR(INDEX(FormData,$W600,f_Org1)&amp;"","")&amp;" "&amp;IFERROR(INDEX(FormData,$W600,f_Org2)&amp;"","")))</f>
        <v/>
      </c>
      <c r="G600" s="16">
        <f>IF($W600="","",IFERROR(INDEX(FormData,$W600,f_Region)&amp;"",""))</f>
        <v/>
      </c>
      <c r="H600" s="16">
        <f>IF($W600="","",IFERROR(IF(SUMPRODUCT(MAX((SitKW&lt;&gt;"")*ISNUMBER(SEARCH(SitKW,INDEX(FormData,$W600,f_Sit)&amp;""))*(ROW(SitKW)-MIN(ROW(SitKW))+1)))=0,"",INDEX(SitVal,SUMPRODUCT(MAX((SitKW&lt;&gt;"")*ISNUMBER(SEARCH(SitKW,INDEX(FormData,$W600,f_Sit)&amp;""))*(ROW(SitKW)-MIN(ROW(SitKW))+1))))),""))</f>
        <v/>
      </c>
      <c r="I600" s="14">
        <f>IF($W600="","",IFERROR(INDEX(FormData,$W600,f_Appr)&amp;"",""))</f>
        <v/>
      </c>
      <c r="J600" s="16">
        <f>IF($W600="","",IFERROR(INDEX(FormData,$W600,f_Trade)&amp;"",""))</f>
        <v/>
      </c>
      <c r="K600" s="16" t="n"/>
      <c r="L600" s="17" t="n"/>
      <c r="M600" s="16" t="n"/>
      <c r="N600" s="17" t="n"/>
      <c r="O600" s="14" t="n"/>
      <c r="P600" s="14" t="n"/>
      <c r="Q600" s="18" t="n"/>
      <c r="R600" s="18" t="n"/>
      <c r="S600" s="13">
        <f>IF($P600&lt;&gt;"✓","",IF($R600&lt;&gt;"","Done",IF($Q600="","Open — no date",IF($Q600&lt;TODAY(),"Overdue",IF($Q600-TODAY()&lt;=DueSoon,"Due soon","Scheduled")))))</f>
        <v/>
      </c>
      <c r="T600" s="14">
        <f>IF($W600="","",IFERROR(IF(INDEX(FormData,$W600,f_Consent)&amp;""="","",IF(ISNUMBER(SEARCH("yes",INDEX(FormData,$W600,f_Consent))),"Yes","No")),""))</f>
        <v/>
      </c>
      <c r="U600" s="14" t="n"/>
      <c r="V600" s="13">
        <f>IF($U600="","",IF($W600="","not found","✓"))</f>
        <v/>
      </c>
      <c r="W600">
        <f>IF($U600="","",IFERROR(MATCH($U600,INDEX(FormData,0,f_Id),0),IFERROR(MATCH(--$U600,INDEX(FormData,0,f_Id),0),IFERROR(MATCH($U600&amp;"",INDEX(FormData,0,f_Id),0),""))))</f>
        <v/>
      </c>
      <c r="X600">
        <f>IF(AND($B600&lt;&gt;"",$B600='Event Report'!$C$3),ROW(),"")</f>
        <v/>
      </c>
      <c r="Y600">
        <f>IF(AND($P600="✓",$R600=""),IF($Q600="",90000,$Q600)+ROW()/100000,"")</f>
        <v/>
      </c>
      <c r="Z600">
        <f>IF(OR($U600&lt;&gt;"",$D600&lt;&gt;"",$E600&lt;&gt;"",$N600&lt;&gt;""),1,"")</f>
        <v/>
      </c>
    </row>
    <row r="601">
      <c r="A601" s="13" t="inlineStr">
        <is>
          <t>P-0597</t>
        </is>
      </c>
      <c r="B601" s="14">
        <f>IF(AND($U601="",$C601=""),"",IFERROR(INDEX(EvID,MATCH(INDEX(FormData,$W601,f_Event),EvID,0)),IFERROR(INDEX(EvID,MATCH(INDEX(FormData,$W601,f_Event),EvName,0)),IFERROR(INDEX(EvID,MATCH(INT($C601),EvDate,0)),""))))</f>
        <v/>
      </c>
      <c r="C601" s="15">
        <f>IF($W601="","",INDEX(FormData,$W601,f_Time))</f>
        <v/>
      </c>
      <c r="D601" s="14">
        <f>IF($W601="","",IFERROR(UPPER(LEFT(TRIM(INDEX(FormData,$W601,f_Name)),1)&amp;IFERROR(MID(TRIM(INDEX(FormData,$W601,f_Name)),FIND("^",SUBSTITUTE(TRIM(INDEX(FormData,$W601,f_Name))," ","^",LEN(TRIM(INDEX(FormData,$W601,f_Name)))-LEN(SUBSTITUTE(TRIM(INDEX(FormData,$W601,f_Name))," ",""))))+1,1),"")),""))</f>
        <v/>
      </c>
      <c r="E601" s="16">
        <f>IF($W601="","",IFERROR(IF(SUMPRODUCT(MAX((WhoKW&lt;&gt;"")*ISNUMBER(SEARCH(WhoKW,INDEX(FormData,$W601,f_Who)&amp;""))*(ROW(WhoKW)-MIN(ROW(WhoKW))+1)))=0,"",INDEX(WhoVal,SUMPRODUCT(MAX((WhoKW&lt;&gt;"")*ISNUMBER(SEARCH(WhoKW,INDEX(FormData,$W601,f_Who)&amp;""))*(ROW(WhoKW)-MIN(ROW(WhoKW))+1))))),""))</f>
        <v/>
      </c>
      <c r="F601" s="17">
        <f>IF($W601="","",TRIM(IFERROR(INDEX(FormData,$W601,f_Org1)&amp;"","")&amp;" "&amp;IFERROR(INDEX(FormData,$W601,f_Org2)&amp;"","")))</f>
        <v/>
      </c>
      <c r="G601" s="16">
        <f>IF($W601="","",IFERROR(INDEX(FormData,$W601,f_Region)&amp;"",""))</f>
        <v/>
      </c>
      <c r="H601" s="16">
        <f>IF($W601="","",IFERROR(IF(SUMPRODUCT(MAX((SitKW&lt;&gt;"")*ISNUMBER(SEARCH(SitKW,INDEX(FormData,$W601,f_Sit)&amp;""))*(ROW(SitKW)-MIN(ROW(SitKW))+1)))=0,"",INDEX(SitVal,SUMPRODUCT(MAX((SitKW&lt;&gt;"")*ISNUMBER(SEARCH(SitKW,INDEX(FormData,$W601,f_Sit)&amp;""))*(ROW(SitKW)-MIN(ROW(SitKW))+1))))),""))</f>
        <v/>
      </c>
      <c r="I601" s="14">
        <f>IF($W601="","",IFERROR(INDEX(FormData,$W601,f_Appr)&amp;"",""))</f>
        <v/>
      </c>
      <c r="J601" s="16">
        <f>IF($W601="","",IFERROR(INDEX(FormData,$W601,f_Trade)&amp;"",""))</f>
        <v/>
      </c>
      <c r="K601" s="16" t="n"/>
      <c r="L601" s="17" t="n"/>
      <c r="M601" s="16" t="n"/>
      <c r="N601" s="17" t="n"/>
      <c r="O601" s="14" t="n"/>
      <c r="P601" s="14" t="n"/>
      <c r="Q601" s="18" t="n"/>
      <c r="R601" s="18" t="n"/>
      <c r="S601" s="13">
        <f>IF($P601&lt;&gt;"✓","",IF($R601&lt;&gt;"","Done",IF($Q601="","Open — no date",IF($Q601&lt;TODAY(),"Overdue",IF($Q601-TODAY()&lt;=DueSoon,"Due soon","Scheduled")))))</f>
        <v/>
      </c>
      <c r="T601" s="14">
        <f>IF($W601="","",IFERROR(IF(INDEX(FormData,$W601,f_Consent)&amp;""="","",IF(ISNUMBER(SEARCH("yes",INDEX(FormData,$W601,f_Consent))),"Yes","No")),""))</f>
        <v/>
      </c>
      <c r="U601" s="14" t="n"/>
      <c r="V601" s="13">
        <f>IF($U601="","",IF($W601="","not found","✓"))</f>
        <v/>
      </c>
      <c r="W601">
        <f>IF($U601="","",IFERROR(MATCH($U601,INDEX(FormData,0,f_Id),0),IFERROR(MATCH(--$U601,INDEX(FormData,0,f_Id),0),IFERROR(MATCH($U601&amp;"",INDEX(FormData,0,f_Id),0),""))))</f>
        <v/>
      </c>
      <c r="X601">
        <f>IF(AND($B601&lt;&gt;"",$B601='Event Report'!$C$3),ROW(),"")</f>
        <v/>
      </c>
      <c r="Y601">
        <f>IF(AND($P601="✓",$R601=""),IF($Q601="",90000,$Q601)+ROW()/100000,"")</f>
        <v/>
      </c>
      <c r="Z601">
        <f>IF(OR($U601&lt;&gt;"",$D601&lt;&gt;"",$E601&lt;&gt;"",$N601&lt;&gt;""),1,"")</f>
        <v/>
      </c>
    </row>
    <row r="602">
      <c r="A602" s="13" t="inlineStr">
        <is>
          <t>P-0598</t>
        </is>
      </c>
      <c r="B602" s="14">
        <f>IF(AND($U602="",$C602=""),"",IFERROR(INDEX(EvID,MATCH(INDEX(FormData,$W602,f_Event),EvID,0)),IFERROR(INDEX(EvID,MATCH(INDEX(FormData,$W602,f_Event),EvName,0)),IFERROR(INDEX(EvID,MATCH(INT($C602),EvDate,0)),""))))</f>
        <v/>
      </c>
      <c r="C602" s="15">
        <f>IF($W602="","",INDEX(FormData,$W602,f_Time))</f>
        <v/>
      </c>
      <c r="D602" s="14">
        <f>IF($W602="","",IFERROR(UPPER(LEFT(TRIM(INDEX(FormData,$W602,f_Name)),1)&amp;IFERROR(MID(TRIM(INDEX(FormData,$W602,f_Name)),FIND("^",SUBSTITUTE(TRIM(INDEX(FormData,$W602,f_Name))," ","^",LEN(TRIM(INDEX(FormData,$W602,f_Name)))-LEN(SUBSTITUTE(TRIM(INDEX(FormData,$W602,f_Name))," ",""))))+1,1),"")),""))</f>
        <v/>
      </c>
      <c r="E602" s="16">
        <f>IF($W602="","",IFERROR(IF(SUMPRODUCT(MAX((WhoKW&lt;&gt;"")*ISNUMBER(SEARCH(WhoKW,INDEX(FormData,$W602,f_Who)&amp;""))*(ROW(WhoKW)-MIN(ROW(WhoKW))+1)))=0,"",INDEX(WhoVal,SUMPRODUCT(MAX((WhoKW&lt;&gt;"")*ISNUMBER(SEARCH(WhoKW,INDEX(FormData,$W602,f_Who)&amp;""))*(ROW(WhoKW)-MIN(ROW(WhoKW))+1))))),""))</f>
        <v/>
      </c>
      <c r="F602" s="17">
        <f>IF($W602="","",TRIM(IFERROR(INDEX(FormData,$W602,f_Org1)&amp;"","")&amp;" "&amp;IFERROR(INDEX(FormData,$W602,f_Org2)&amp;"","")))</f>
        <v/>
      </c>
      <c r="G602" s="16">
        <f>IF($W602="","",IFERROR(INDEX(FormData,$W602,f_Region)&amp;"",""))</f>
        <v/>
      </c>
      <c r="H602" s="16">
        <f>IF($W602="","",IFERROR(IF(SUMPRODUCT(MAX((SitKW&lt;&gt;"")*ISNUMBER(SEARCH(SitKW,INDEX(FormData,$W602,f_Sit)&amp;""))*(ROW(SitKW)-MIN(ROW(SitKW))+1)))=0,"",INDEX(SitVal,SUMPRODUCT(MAX((SitKW&lt;&gt;"")*ISNUMBER(SEARCH(SitKW,INDEX(FormData,$W602,f_Sit)&amp;""))*(ROW(SitKW)-MIN(ROW(SitKW))+1))))),""))</f>
        <v/>
      </c>
      <c r="I602" s="14">
        <f>IF($W602="","",IFERROR(INDEX(FormData,$W602,f_Appr)&amp;"",""))</f>
        <v/>
      </c>
      <c r="J602" s="16">
        <f>IF($W602="","",IFERROR(INDEX(FormData,$W602,f_Trade)&amp;"",""))</f>
        <v/>
      </c>
      <c r="K602" s="16" t="n"/>
      <c r="L602" s="17" t="n"/>
      <c r="M602" s="16" t="n"/>
      <c r="N602" s="17" t="n"/>
      <c r="O602" s="14" t="n"/>
      <c r="P602" s="14" t="n"/>
      <c r="Q602" s="18" t="n"/>
      <c r="R602" s="18" t="n"/>
      <c r="S602" s="13">
        <f>IF($P602&lt;&gt;"✓","",IF($R602&lt;&gt;"","Done",IF($Q602="","Open — no date",IF($Q602&lt;TODAY(),"Overdue",IF($Q602-TODAY()&lt;=DueSoon,"Due soon","Scheduled")))))</f>
        <v/>
      </c>
      <c r="T602" s="14">
        <f>IF($W602="","",IFERROR(IF(INDEX(FormData,$W602,f_Consent)&amp;""="","",IF(ISNUMBER(SEARCH("yes",INDEX(FormData,$W602,f_Consent))),"Yes","No")),""))</f>
        <v/>
      </c>
      <c r="U602" s="14" t="n"/>
      <c r="V602" s="13">
        <f>IF($U602="","",IF($W602="","not found","✓"))</f>
        <v/>
      </c>
      <c r="W602">
        <f>IF($U602="","",IFERROR(MATCH($U602,INDEX(FormData,0,f_Id),0),IFERROR(MATCH(--$U602,INDEX(FormData,0,f_Id),0),IFERROR(MATCH($U602&amp;"",INDEX(FormData,0,f_Id),0),""))))</f>
        <v/>
      </c>
      <c r="X602">
        <f>IF(AND($B602&lt;&gt;"",$B602='Event Report'!$C$3),ROW(),"")</f>
        <v/>
      </c>
      <c r="Y602">
        <f>IF(AND($P602="✓",$R602=""),IF($Q602="",90000,$Q602)+ROW()/100000,"")</f>
        <v/>
      </c>
      <c r="Z602">
        <f>IF(OR($U602&lt;&gt;"",$D602&lt;&gt;"",$E602&lt;&gt;"",$N602&lt;&gt;""),1,"")</f>
        <v/>
      </c>
    </row>
    <row r="603">
      <c r="A603" s="13" t="inlineStr">
        <is>
          <t>P-0599</t>
        </is>
      </c>
      <c r="B603" s="14">
        <f>IF(AND($U603="",$C603=""),"",IFERROR(INDEX(EvID,MATCH(INDEX(FormData,$W603,f_Event),EvID,0)),IFERROR(INDEX(EvID,MATCH(INDEX(FormData,$W603,f_Event),EvName,0)),IFERROR(INDEX(EvID,MATCH(INT($C603),EvDate,0)),""))))</f>
        <v/>
      </c>
      <c r="C603" s="15">
        <f>IF($W603="","",INDEX(FormData,$W603,f_Time))</f>
        <v/>
      </c>
      <c r="D603" s="14">
        <f>IF($W603="","",IFERROR(UPPER(LEFT(TRIM(INDEX(FormData,$W603,f_Name)),1)&amp;IFERROR(MID(TRIM(INDEX(FormData,$W603,f_Name)),FIND("^",SUBSTITUTE(TRIM(INDEX(FormData,$W603,f_Name))," ","^",LEN(TRIM(INDEX(FormData,$W603,f_Name)))-LEN(SUBSTITUTE(TRIM(INDEX(FormData,$W603,f_Name))," ",""))))+1,1),"")),""))</f>
        <v/>
      </c>
      <c r="E603" s="16">
        <f>IF($W603="","",IFERROR(IF(SUMPRODUCT(MAX((WhoKW&lt;&gt;"")*ISNUMBER(SEARCH(WhoKW,INDEX(FormData,$W603,f_Who)&amp;""))*(ROW(WhoKW)-MIN(ROW(WhoKW))+1)))=0,"",INDEX(WhoVal,SUMPRODUCT(MAX((WhoKW&lt;&gt;"")*ISNUMBER(SEARCH(WhoKW,INDEX(FormData,$W603,f_Who)&amp;""))*(ROW(WhoKW)-MIN(ROW(WhoKW))+1))))),""))</f>
        <v/>
      </c>
      <c r="F603" s="17">
        <f>IF($W603="","",TRIM(IFERROR(INDEX(FormData,$W603,f_Org1)&amp;"","")&amp;" "&amp;IFERROR(INDEX(FormData,$W603,f_Org2)&amp;"","")))</f>
        <v/>
      </c>
      <c r="G603" s="16">
        <f>IF($W603="","",IFERROR(INDEX(FormData,$W603,f_Region)&amp;"",""))</f>
        <v/>
      </c>
      <c r="H603" s="16">
        <f>IF($W603="","",IFERROR(IF(SUMPRODUCT(MAX((SitKW&lt;&gt;"")*ISNUMBER(SEARCH(SitKW,INDEX(FormData,$W603,f_Sit)&amp;""))*(ROW(SitKW)-MIN(ROW(SitKW))+1)))=0,"",INDEX(SitVal,SUMPRODUCT(MAX((SitKW&lt;&gt;"")*ISNUMBER(SEARCH(SitKW,INDEX(FormData,$W603,f_Sit)&amp;""))*(ROW(SitKW)-MIN(ROW(SitKW))+1))))),""))</f>
        <v/>
      </c>
      <c r="I603" s="14">
        <f>IF($W603="","",IFERROR(INDEX(FormData,$W603,f_Appr)&amp;"",""))</f>
        <v/>
      </c>
      <c r="J603" s="16">
        <f>IF($W603="","",IFERROR(INDEX(FormData,$W603,f_Trade)&amp;"",""))</f>
        <v/>
      </c>
      <c r="K603" s="16" t="n"/>
      <c r="L603" s="17" t="n"/>
      <c r="M603" s="16" t="n"/>
      <c r="N603" s="17" t="n"/>
      <c r="O603" s="14" t="n"/>
      <c r="P603" s="14" t="n"/>
      <c r="Q603" s="18" t="n"/>
      <c r="R603" s="18" t="n"/>
      <c r="S603" s="13">
        <f>IF($P603&lt;&gt;"✓","",IF($R603&lt;&gt;"","Done",IF($Q603="","Open — no date",IF($Q603&lt;TODAY(),"Overdue",IF($Q603-TODAY()&lt;=DueSoon,"Due soon","Scheduled")))))</f>
        <v/>
      </c>
      <c r="T603" s="14">
        <f>IF($W603="","",IFERROR(IF(INDEX(FormData,$W603,f_Consent)&amp;""="","",IF(ISNUMBER(SEARCH("yes",INDEX(FormData,$W603,f_Consent))),"Yes","No")),""))</f>
        <v/>
      </c>
      <c r="U603" s="14" t="n"/>
      <c r="V603" s="13">
        <f>IF($U603="","",IF($W603="","not found","✓"))</f>
        <v/>
      </c>
      <c r="W603">
        <f>IF($U603="","",IFERROR(MATCH($U603,INDEX(FormData,0,f_Id),0),IFERROR(MATCH(--$U603,INDEX(FormData,0,f_Id),0),IFERROR(MATCH($U603&amp;"",INDEX(FormData,0,f_Id),0),""))))</f>
        <v/>
      </c>
      <c r="X603">
        <f>IF(AND($B603&lt;&gt;"",$B603='Event Report'!$C$3),ROW(),"")</f>
        <v/>
      </c>
      <c r="Y603">
        <f>IF(AND($P603="✓",$R603=""),IF($Q603="",90000,$Q603)+ROW()/100000,"")</f>
        <v/>
      </c>
      <c r="Z603">
        <f>IF(OR($U603&lt;&gt;"",$D603&lt;&gt;"",$E603&lt;&gt;"",$N603&lt;&gt;""),1,"")</f>
        <v/>
      </c>
    </row>
    <row r="604">
      <c r="A604" s="13" t="inlineStr">
        <is>
          <t>P-0600</t>
        </is>
      </c>
      <c r="B604" s="14">
        <f>IF(AND($U604="",$C604=""),"",IFERROR(INDEX(EvID,MATCH(INDEX(FormData,$W604,f_Event),EvID,0)),IFERROR(INDEX(EvID,MATCH(INDEX(FormData,$W604,f_Event),EvName,0)),IFERROR(INDEX(EvID,MATCH(INT($C604),EvDate,0)),""))))</f>
        <v/>
      </c>
      <c r="C604" s="15">
        <f>IF($W604="","",INDEX(FormData,$W604,f_Time))</f>
        <v/>
      </c>
      <c r="D604" s="14">
        <f>IF($W604="","",IFERROR(UPPER(LEFT(TRIM(INDEX(FormData,$W604,f_Name)),1)&amp;IFERROR(MID(TRIM(INDEX(FormData,$W604,f_Name)),FIND("^",SUBSTITUTE(TRIM(INDEX(FormData,$W604,f_Name))," ","^",LEN(TRIM(INDEX(FormData,$W604,f_Name)))-LEN(SUBSTITUTE(TRIM(INDEX(FormData,$W604,f_Name))," ",""))))+1,1),"")),""))</f>
        <v/>
      </c>
      <c r="E604" s="16">
        <f>IF($W604="","",IFERROR(IF(SUMPRODUCT(MAX((WhoKW&lt;&gt;"")*ISNUMBER(SEARCH(WhoKW,INDEX(FormData,$W604,f_Who)&amp;""))*(ROW(WhoKW)-MIN(ROW(WhoKW))+1)))=0,"",INDEX(WhoVal,SUMPRODUCT(MAX((WhoKW&lt;&gt;"")*ISNUMBER(SEARCH(WhoKW,INDEX(FormData,$W604,f_Who)&amp;""))*(ROW(WhoKW)-MIN(ROW(WhoKW))+1))))),""))</f>
        <v/>
      </c>
      <c r="F604" s="17">
        <f>IF($W604="","",TRIM(IFERROR(INDEX(FormData,$W604,f_Org1)&amp;"","")&amp;" "&amp;IFERROR(INDEX(FormData,$W604,f_Org2)&amp;"","")))</f>
        <v/>
      </c>
      <c r="G604" s="16">
        <f>IF($W604="","",IFERROR(INDEX(FormData,$W604,f_Region)&amp;"",""))</f>
        <v/>
      </c>
      <c r="H604" s="16">
        <f>IF($W604="","",IFERROR(IF(SUMPRODUCT(MAX((SitKW&lt;&gt;"")*ISNUMBER(SEARCH(SitKW,INDEX(FormData,$W604,f_Sit)&amp;""))*(ROW(SitKW)-MIN(ROW(SitKW))+1)))=0,"",INDEX(SitVal,SUMPRODUCT(MAX((SitKW&lt;&gt;"")*ISNUMBER(SEARCH(SitKW,INDEX(FormData,$W604,f_Sit)&amp;""))*(ROW(SitKW)-MIN(ROW(SitKW))+1))))),""))</f>
        <v/>
      </c>
      <c r="I604" s="14">
        <f>IF($W604="","",IFERROR(INDEX(FormData,$W604,f_Appr)&amp;"",""))</f>
        <v/>
      </c>
      <c r="J604" s="16">
        <f>IF($W604="","",IFERROR(INDEX(FormData,$W604,f_Trade)&amp;"",""))</f>
        <v/>
      </c>
      <c r="K604" s="16" t="n"/>
      <c r="L604" s="17" t="n"/>
      <c r="M604" s="16" t="n"/>
      <c r="N604" s="17" t="n"/>
      <c r="O604" s="14" t="n"/>
      <c r="P604" s="14" t="n"/>
      <c r="Q604" s="18" t="n"/>
      <c r="R604" s="18" t="n"/>
      <c r="S604" s="13">
        <f>IF($P604&lt;&gt;"✓","",IF($R604&lt;&gt;"","Done",IF($Q604="","Open — no date",IF($Q604&lt;TODAY(),"Overdue",IF($Q604-TODAY()&lt;=DueSoon,"Due soon","Scheduled")))))</f>
        <v/>
      </c>
      <c r="T604" s="14">
        <f>IF($W604="","",IFERROR(IF(INDEX(FormData,$W604,f_Consent)&amp;""="","",IF(ISNUMBER(SEARCH("yes",INDEX(FormData,$W604,f_Consent))),"Yes","No")),""))</f>
        <v/>
      </c>
      <c r="U604" s="14" t="n"/>
      <c r="V604" s="13">
        <f>IF($U604="","",IF($W604="","not found","✓"))</f>
        <v/>
      </c>
      <c r="W604">
        <f>IF($U604="","",IFERROR(MATCH($U604,INDEX(FormData,0,f_Id),0),IFERROR(MATCH(--$U604,INDEX(FormData,0,f_Id),0),IFERROR(MATCH($U604&amp;"",INDEX(FormData,0,f_Id),0),""))))</f>
        <v/>
      </c>
      <c r="X604">
        <f>IF(AND($B604&lt;&gt;"",$B604='Event Report'!$C$3),ROW(),"")</f>
        <v/>
      </c>
      <c r="Y604">
        <f>IF(AND($P604="✓",$R604=""),IF($Q604="",90000,$Q604)+ROW()/100000,"")</f>
        <v/>
      </c>
      <c r="Z604">
        <f>IF(OR($U604&lt;&gt;"",$D604&lt;&gt;"",$E604&lt;&gt;"",$N604&lt;&gt;""),1,"")</f>
        <v/>
      </c>
    </row>
  </sheetData>
  <autoFilter ref="A4:V604"/>
  <conditionalFormatting sqref="B5:B604">
    <cfRule type="expression" priority="1" dxfId="0">
      <formula>AND($Z5=1,$B5="")</formula>
    </cfRule>
    <cfRule type="expression" priority="2" dxfId="1">
      <formula>AND(ISNUMBER($C5),COUNTIF(EvDate,INT(N($C5)))&gt;1)</formula>
    </cfRule>
  </conditionalFormatting>
  <conditionalFormatting sqref="S5:S604">
    <cfRule type="expression" priority="3" dxfId="2">
      <formula>$S5="Overdue"</formula>
    </cfRule>
    <cfRule type="expression" priority="4" dxfId="3">
      <formula>$S5="Due soon"</formula>
    </cfRule>
    <cfRule type="expression" priority="5" dxfId="4">
      <formula>$S5="Done"</formula>
    </cfRule>
  </conditionalFormatting>
  <conditionalFormatting sqref="V5:V604">
    <cfRule type="expression" priority="6" dxfId="5">
      <formula>$V5="not found"</formula>
    </cfRule>
  </conditionalFormatting>
  <conditionalFormatting sqref="T5:T604">
    <cfRule type="expression" priority="7" dxfId="6">
      <formula>$T5="No"</formula>
    </cfRule>
  </conditionalFormatting>
  <conditionalFormatting sqref="F5:F604">
    <cfRule type="expression" priority="8" dxfId="7">
      <formula>OR($E5="Trade",$E5="Other")</formula>
    </cfRule>
  </conditionalFormatting>
  <conditionalFormatting sqref="H5:K604">
    <cfRule type="expression" priority="9" dxfId="7">
      <formula>OR($E5="Employer &amp; Union",$E5="College &amp; Agency")</formula>
    </cfRule>
  </conditionalFormatting>
  <conditionalFormatting sqref="A5:A604">
    <cfRule type="expression" priority="10" dxfId="8">
      <formula>$Z5=1</formula>
    </cfRule>
  </conditionalFormatting>
  <dataValidations count="11">
    <dataValidation sqref="B5:B604" showDropDown="0" showInputMessage="0" showErrorMessage="1" allowBlank="1" errorTitle="Pick from the list" error="Use the dropdown so the counts stay consistent. New values go at the bottom of the Lists tab." type="list">
      <formula1>EvID</formula1>
    </dataValidation>
    <dataValidation sqref="E5:E604" showDropDown="0" showInputMessage="0" showErrorMessage="1" allowBlank="1" errorTitle="Pick from the list" error="Use the dropdown so the counts stay consistent. New values go at the bottom of the Lists tab." type="list">
      <formula1>L_Type</formula1>
    </dataValidation>
    <dataValidation sqref="G5:G604" showDropDown="0" showInputMessage="0" showErrorMessage="1" allowBlank="1" errorTitle="Pick from the list" error="Use the dropdown so the counts stay consistent. New values go at the bottom of the Lists tab." type="list">
      <formula1>L_Region</formula1>
    </dataValidation>
    <dataValidation sqref="H5:H604" showDropDown="0" showInputMessage="0" showErrorMessage="1" allowBlank="1" errorTitle="Pick from the list" error="Use the dropdown so the counts stay consistent. New values go at the bottom of the Lists tab." type="list">
      <formula1>L_Situation</formula1>
    </dataValidation>
    <dataValidation sqref="I5:I604" showDropDown="0" showInputMessage="0" showErrorMessage="1" allowBlank="1" errorTitle="Pick from the list" error="Use the dropdown so the counts stay consistent. New values go at the bottom of the Lists tab." type="list">
      <formula1>L_YNU</formula1>
    </dataValidation>
    <dataValidation sqref="K5:K604" showDropDown="0" showInputMessage="0" showErrorMessage="1" allowBlank="1" errorTitle="Pick from the list" error="Use the dropdown so the counts stay consistent. New values go at the bottom of the Lists tab." type="list">
      <formula1>L_Service</formula1>
    </dataValidation>
    <dataValidation sqref="L5:L604" showDropDown="0" showInputMessage="0" showErrorMessage="1" allowBlank="1" errorTitle="Pick from the list" error="Use the dropdown so the counts stay consistent. New values go at the bottom of the Lists tab." type="list">
      <formula1>L_Need</formula1>
    </dataValidation>
    <dataValidation sqref="M5:M604" showDropDown="0" showInputMessage="0" showErrorMessage="1" allowBlank="1" errorTitle="Pick from the list" error="Use the dropdown so the counts stay consistent. New values go at the bottom of the Lists tab." type="list">
      <formula1>L_Stage</formula1>
    </dataValidation>
    <dataValidation sqref="O5:P604" showDropDown="0" showInputMessage="0" showErrorMessage="1" allowBlank="1" errorTitle="Pick from the list" error="Use the dropdown so the counts stay consistent. New values go at the bottom of the Lists tab." type="list">
      <formula1>L_Tick</formula1>
    </dataValidation>
    <dataValidation sqref="T5:T604" showDropDown="0" showInputMessage="0" showErrorMessage="1" allowBlank="1" errorTitle="Pick from the list" error="Use the dropdown so the counts stay consistent. New values go at the bottom of the Lists tab." type="list">
      <formula1>L_YesNo</formula1>
    </dataValidation>
    <dataValidation sqref="Q5:R604" showDropDown="0" showInputMessage="0" showErrorMessage="0" allowBlank="1" error="Type a date, e.g. 2026-10-15" type="date" operator="greaterThan">
      <formula1>DATE(2024,1,1)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I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8" customWidth="1" min="4" max="4"/>
    <col width="16" customWidth="1" min="5" max="5"/>
    <col width="18" customWidth="1" min="6" max="6"/>
    <col width="12" customWidth="1" min="7" max="7"/>
    <col hidden="1" width="6" customWidth="1" min="8" max="8"/>
    <col width="46" customWidth="1" min="9" max="9"/>
  </cols>
  <sheetData>
    <row r="1" ht="26" customHeight="1">
      <c r="A1" s="7" t="inlineStr">
        <is>
          <t>New Sign-Ups</t>
        </is>
      </c>
    </row>
    <row r="2">
      <c r="A2" s="2" t="inlineStr">
        <is>
          <t>Everyone who has filled in the form, newest at the bottom. Anyone marked → add isn't on People yet.</t>
        </is>
      </c>
    </row>
    <row r="3">
      <c r="A3" s="19" t="inlineStr">
        <is>
          <t>Not yet on People:</t>
        </is>
      </c>
      <c r="C3" s="20">
        <f>COUNTIF(G5:G1004,"→ add")</f>
        <v/>
      </c>
      <c r="D3" s="2" t="inlineStr">
        <is>
          <t>→ Filter column G to “→ add”, then type each Response ID into a blank row on People (column U).</t>
        </is>
      </c>
    </row>
    <row r="4" ht="32" customHeight="1">
      <c r="A4" s="9" t="inlineStr">
        <is>
          <t>#</t>
        </is>
      </c>
      <c r="B4" s="11" t="inlineStr">
        <is>
          <t>Response ID</t>
        </is>
      </c>
      <c r="C4" s="11" t="inlineStr">
        <is>
          <t>Submitted</t>
        </is>
      </c>
      <c r="D4" s="11" t="inlineStr">
        <is>
          <t>Initials</t>
        </is>
      </c>
      <c r="E4" s="11" t="inlineStr">
        <is>
          <t>Event (by date)</t>
        </is>
      </c>
      <c r="F4" s="11" t="inlineStr">
        <is>
          <t>Contact Type (from form)</t>
        </is>
      </c>
      <c r="G4" s="11" t="inlineStr">
        <is>
          <t>On People?</t>
        </is>
      </c>
      <c r="H4" s="9" t="inlineStr">
        <is>
          <t>_row</t>
        </is>
      </c>
      <c r="I4" s="11" t="inlineStr">
        <is>
          <t>Wants help with (from form)</t>
        </is>
      </c>
    </row>
    <row r="5">
      <c r="A5" s="14" t="n">
        <v>1</v>
      </c>
      <c r="B5" s="14">
        <f>IF($H5="","",INDEX(FormData,$H5,f_Id))</f>
        <v/>
      </c>
      <c r="C5" s="15">
        <f>IF($H5="","",IFERROR(INDEX(FormData,$H5,f_Time),""))</f>
        <v/>
      </c>
      <c r="D5" s="14">
        <f>IF($H5="","",IFERROR(UPPER(LEFT(TRIM(INDEX(FormData,$H5,f_Name)),1)&amp;IFERROR(MID(TRIM(INDEX(FormData,$H5,f_Name)),FIND("^",SUBSTITUTE(TRIM(INDEX(FormData,$H5,f_Name))," ","^",LEN(TRIM(INDEX(FormData,$H5,f_Name)))-LEN(SUBSTITUTE(TRIM(INDEX(FormData,$H5,f_Name))," ",""))))+1,1),"")),""))</f>
        <v/>
      </c>
      <c r="E5" s="16">
        <f>IF($H5="","",IFERROR(INDEX(EvID,MATCH(INDEX(FormData,$H5,f_Event),EvID,0)),IFERROR(INDEX(EvID,MATCH(INDEX(FormData,$H5,f_Event),EvName,0)),IFERROR(INDEX(EvID,MATCH(INT($C5),EvDate,0)),"(no event that day)"))))</f>
        <v/>
      </c>
      <c r="F5" s="16">
        <f>IF($H5="","",IFERROR(IF(SUMPRODUCT(MAX((WhoKW&lt;&gt;"")*ISNUMBER(SEARCH(WhoKW,INDEX(FormData,$H5,f_Who)&amp;""))*(ROW(WhoKW)-MIN(ROW(WhoKW))+1)))=0,"",INDEX(WhoVal,SUMPRODUCT(MAX((WhoKW&lt;&gt;"")*ISNUMBER(SEARCH(WhoKW,INDEX(FormData,$H5,f_Who)&amp;""))*(ROW(WhoKW)-MIN(ROW(WhoKW))+1))))),""))</f>
        <v/>
      </c>
      <c r="G5" s="14">
        <f>IF($H5="","",IF(COUNTIF(People!$U$5:$U$604,$B5)+COUNTIF(People!$U$5:$U$604,$B5&amp;"")&gt;0,"✓ logged","→ add"))</f>
        <v/>
      </c>
      <c r="H5">
        <f>IFERROR(IF(INDEX(FormData,2,f_Id)&amp;""="","",2),"")</f>
        <v/>
      </c>
      <c r="I5" s="16">
        <f>IF($H5="","",IFERROR(INDEX(FormData,$H5,f_Need)&amp;"",""))</f>
        <v/>
      </c>
    </row>
    <row r="6">
      <c r="A6" s="14" t="n">
        <v>2</v>
      </c>
      <c r="B6" s="14">
        <f>IF($H6="","",INDEX(FormData,$H6,f_Id))</f>
        <v/>
      </c>
      <c r="C6" s="15">
        <f>IF($H6="","",IFERROR(INDEX(FormData,$H6,f_Time),""))</f>
        <v/>
      </c>
      <c r="D6" s="14">
        <f>IF($H6="","",IFERROR(UPPER(LEFT(TRIM(INDEX(FormData,$H6,f_Name)),1)&amp;IFERROR(MID(TRIM(INDEX(FormData,$H6,f_Name)),FIND("^",SUBSTITUTE(TRIM(INDEX(FormData,$H6,f_Name))," ","^",LEN(TRIM(INDEX(FormData,$H6,f_Name)))-LEN(SUBSTITUTE(TRIM(INDEX(FormData,$H6,f_Name))," ",""))))+1,1),"")),""))</f>
        <v/>
      </c>
      <c r="E6" s="16">
        <f>IF($H6="","",IFERROR(INDEX(EvID,MATCH(INDEX(FormData,$H6,f_Event),EvID,0)),IFERROR(INDEX(EvID,MATCH(INDEX(FormData,$H6,f_Event),EvName,0)),IFERROR(INDEX(EvID,MATCH(INT($C6),EvDate,0)),"(no event that day)"))))</f>
        <v/>
      </c>
      <c r="F6" s="16">
        <f>IF($H6="","",IFERROR(IF(SUMPRODUCT(MAX((WhoKW&lt;&gt;"")*ISNUMBER(SEARCH(WhoKW,INDEX(FormData,$H6,f_Who)&amp;""))*(ROW(WhoKW)-MIN(ROW(WhoKW))+1)))=0,"",INDEX(WhoVal,SUMPRODUCT(MAX((WhoKW&lt;&gt;"")*ISNUMBER(SEARCH(WhoKW,INDEX(FormData,$H6,f_Who)&amp;""))*(ROW(WhoKW)-MIN(ROW(WhoKW))+1))))),""))</f>
        <v/>
      </c>
      <c r="G6" s="14">
        <f>IF($H6="","",IF(COUNTIF(People!$U$5:$U$604,$B6)+COUNTIF(People!$U$5:$U$604,$B6&amp;"")&gt;0,"✓ logged","→ add"))</f>
        <v/>
      </c>
      <c r="H6">
        <f>IFERROR(IF(INDEX(FormData,3,f_Id)&amp;""="","",3),"")</f>
        <v/>
      </c>
      <c r="I6" s="16">
        <f>IF($H6="","",IFERROR(INDEX(FormData,$H6,f_Need)&amp;"",""))</f>
        <v/>
      </c>
    </row>
    <row r="7">
      <c r="A7" s="14" t="n">
        <v>3</v>
      </c>
      <c r="B7" s="14">
        <f>IF($H7="","",INDEX(FormData,$H7,f_Id))</f>
        <v/>
      </c>
      <c r="C7" s="15">
        <f>IF($H7="","",IFERROR(INDEX(FormData,$H7,f_Time),""))</f>
        <v/>
      </c>
      <c r="D7" s="14">
        <f>IF($H7="","",IFERROR(UPPER(LEFT(TRIM(INDEX(FormData,$H7,f_Name)),1)&amp;IFERROR(MID(TRIM(INDEX(FormData,$H7,f_Name)),FIND("^",SUBSTITUTE(TRIM(INDEX(FormData,$H7,f_Name))," ","^",LEN(TRIM(INDEX(FormData,$H7,f_Name)))-LEN(SUBSTITUTE(TRIM(INDEX(FormData,$H7,f_Name))," ",""))))+1,1),"")),""))</f>
        <v/>
      </c>
      <c r="E7" s="16">
        <f>IF($H7="","",IFERROR(INDEX(EvID,MATCH(INDEX(FormData,$H7,f_Event),EvID,0)),IFERROR(INDEX(EvID,MATCH(INDEX(FormData,$H7,f_Event),EvName,0)),IFERROR(INDEX(EvID,MATCH(INT($C7),EvDate,0)),"(no event that day)"))))</f>
        <v/>
      </c>
      <c r="F7" s="16">
        <f>IF($H7="","",IFERROR(IF(SUMPRODUCT(MAX((WhoKW&lt;&gt;"")*ISNUMBER(SEARCH(WhoKW,INDEX(FormData,$H7,f_Who)&amp;""))*(ROW(WhoKW)-MIN(ROW(WhoKW))+1)))=0,"",INDEX(WhoVal,SUMPRODUCT(MAX((WhoKW&lt;&gt;"")*ISNUMBER(SEARCH(WhoKW,INDEX(FormData,$H7,f_Who)&amp;""))*(ROW(WhoKW)-MIN(ROW(WhoKW))+1))))),""))</f>
        <v/>
      </c>
      <c r="G7" s="14">
        <f>IF($H7="","",IF(COUNTIF(People!$U$5:$U$604,$B7)+COUNTIF(People!$U$5:$U$604,$B7&amp;"")&gt;0,"✓ logged","→ add"))</f>
        <v/>
      </c>
      <c r="H7">
        <f>IFERROR(IF(INDEX(FormData,4,f_Id)&amp;""="","",4),"")</f>
        <v/>
      </c>
      <c r="I7" s="16">
        <f>IF($H7="","",IFERROR(INDEX(FormData,$H7,f_Need)&amp;"",""))</f>
        <v/>
      </c>
    </row>
    <row r="8">
      <c r="A8" s="14" t="n">
        <v>4</v>
      </c>
      <c r="B8" s="14">
        <f>IF($H8="","",INDEX(FormData,$H8,f_Id))</f>
        <v/>
      </c>
      <c r="C8" s="15">
        <f>IF($H8="","",IFERROR(INDEX(FormData,$H8,f_Time),""))</f>
        <v/>
      </c>
      <c r="D8" s="14">
        <f>IF($H8="","",IFERROR(UPPER(LEFT(TRIM(INDEX(FormData,$H8,f_Name)),1)&amp;IFERROR(MID(TRIM(INDEX(FormData,$H8,f_Name)),FIND("^",SUBSTITUTE(TRIM(INDEX(FormData,$H8,f_Name))," ","^",LEN(TRIM(INDEX(FormData,$H8,f_Name)))-LEN(SUBSTITUTE(TRIM(INDEX(FormData,$H8,f_Name))," ",""))))+1,1),"")),""))</f>
        <v/>
      </c>
      <c r="E8" s="16">
        <f>IF($H8="","",IFERROR(INDEX(EvID,MATCH(INDEX(FormData,$H8,f_Event),EvID,0)),IFERROR(INDEX(EvID,MATCH(INDEX(FormData,$H8,f_Event),EvName,0)),IFERROR(INDEX(EvID,MATCH(INT($C8),EvDate,0)),"(no event that day)"))))</f>
        <v/>
      </c>
      <c r="F8" s="16">
        <f>IF($H8="","",IFERROR(IF(SUMPRODUCT(MAX((WhoKW&lt;&gt;"")*ISNUMBER(SEARCH(WhoKW,INDEX(FormData,$H8,f_Who)&amp;""))*(ROW(WhoKW)-MIN(ROW(WhoKW))+1)))=0,"",INDEX(WhoVal,SUMPRODUCT(MAX((WhoKW&lt;&gt;"")*ISNUMBER(SEARCH(WhoKW,INDEX(FormData,$H8,f_Who)&amp;""))*(ROW(WhoKW)-MIN(ROW(WhoKW))+1))))),""))</f>
        <v/>
      </c>
      <c r="G8" s="14">
        <f>IF($H8="","",IF(COUNTIF(People!$U$5:$U$604,$B8)+COUNTIF(People!$U$5:$U$604,$B8&amp;"")&gt;0,"✓ logged","→ add"))</f>
        <v/>
      </c>
      <c r="H8">
        <f>IFERROR(IF(INDEX(FormData,5,f_Id)&amp;""="","",5),"")</f>
        <v/>
      </c>
      <c r="I8" s="16">
        <f>IF($H8="","",IFERROR(INDEX(FormData,$H8,f_Need)&amp;"",""))</f>
        <v/>
      </c>
    </row>
    <row r="9">
      <c r="A9" s="14" t="n">
        <v>5</v>
      </c>
      <c r="B9" s="14">
        <f>IF($H9="","",INDEX(FormData,$H9,f_Id))</f>
        <v/>
      </c>
      <c r="C9" s="15">
        <f>IF($H9="","",IFERROR(INDEX(FormData,$H9,f_Time),""))</f>
        <v/>
      </c>
      <c r="D9" s="14">
        <f>IF($H9="","",IFERROR(UPPER(LEFT(TRIM(INDEX(FormData,$H9,f_Name)),1)&amp;IFERROR(MID(TRIM(INDEX(FormData,$H9,f_Name)),FIND("^",SUBSTITUTE(TRIM(INDEX(FormData,$H9,f_Name))," ","^",LEN(TRIM(INDEX(FormData,$H9,f_Name)))-LEN(SUBSTITUTE(TRIM(INDEX(FormData,$H9,f_Name))," ",""))))+1,1),"")),""))</f>
        <v/>
      </c>
      <c r="E9" s="16">
        <f>IF($H9="","",IFERROR(INDEX(EvID,MATCH(INDEX(FormData,$H9,f_Event),EvID,0)),IFERROR(INDEX(EvID,MATCH(INDEX(FormData,$H9,f_Event),EvName,0)),IFERROR(INDEX(EvID,MATCH(INT($C9),EvDate,0)),"(no event that day)"))))</f>
        <v/>
      </c>
      <c r="F9" s="16">
        <f>IF($H9="","",IFERROR(IF(SUMPRODUCT(MAX((WhoKW&lt;&gt;"")*ISNUMBER(SEARCH(WhoKW,INDEX(FormData,$H9,f_Who)&amp;""))*(ROW(WhoKW)-MIN(ROW(WhoKW))+1)))=0,"",INDEX(WhoVal,SUMPRODUCT(MAX((WhoKW&lt;&gt;"")*ISNUMBER(SEARCH(WhoKW,INDEX(FormData,$H9,f_Who)&amp;""))*(ROW(WhoKW)-MIN(ROW(WhoKW))+1))))),""))</f>
        <v/>
      </c>
      <c r="G9" s="14">
        <f>IF($H9="","",IF(COUNTIF(People!$U$5:$U$604,$B9)+COUNTIF(People!$U$5:$U$604,$B9&amp;"")&gt;0,"✓ logged","→ add"))</f>
        <v/>
      </c>
      <c r="H9">
        <f>IFERROR(IF(INDEX(FormData,6,f_Id)&amp;""="","",6),"")</f>
        <v/>
      </c>
      <c r="I9" s="16">
        <f>IF($H9="","",IFERROR(INDEX(FormData,$H9,f_Need)&amp;"",""))</f>
        <v/>
      </c>
    </row>
    <row r="10">
      <c r="A10" s="14" t="n">
        <v>6</v>
      </c>
      <c r="B10" s="14">
        <f>IF($H10="","",INDEX(FormData,$H10,f_Id))</f>
        <v/>
      </c>
      <c r="C10" s="15">
        <f>IF($H10="","",IFERROR(INDEX(FormData,$H10,f_Time),""))</f>
        <v/>
      </c>
      <c r="D10" s="14">
        <f>IF($H10="","",IFERROR(UPPER(LEFT(TRIM(INDEX(FormData,$H10,f_Name)),1)&amp;IFERROR(MID(TRIM(INDEX(FormData,$H10,f_Name)),FIND("^",SUBSTITUTE(TRIM(INDEX(FormData,$H10,f_Name))," ","^",LEN(TRIM(INDEX(FormData,$H10,f_Name)))-LEN(SUBSTITUTE(TRIM(INDEX(FormData,$H10,f_Name))," ",""))))+1,1),"")),""))</f>
        <v/>
      </c>
      <c r="E10" s="16">
        <f>IF($H10="","",IFERROR(INDEX(EvID,MATCH(INDEX(FormData,$H10,f_Event),EvID,0)),IFERROR(INDEX(EvID,MATCH(INDEX(FormData,$H10,f_Event),EvName,0)),IFERROR(INDEX(EvID,MATCH(INT($C10),EvDate,0)),"(no event that day)"))))</f>
        <v/>
      </c>
      <c r="F10" s="16">
        <f>IF($H10="","",IFERROR(IF(SUMPRODUCT(MAX((WhoKW&lt;&gt;"")*ISNUMBER(SEARCH(WhoKW,INDEX(FormData,$H10,f_Who)&amp;""))*(ROW(WhoKW)-MIN(ROW(WhoKW))+1)))=0,"",INDEX(WhoVal,SUMPRODUCT(MAX((WhoKW&lt;&gt;"")*ISNUMBER(SEARCH(WhoKW,INDEX(FormData,$H10,f_Who)&amp;""))*(ROW(WhoKW)-MIN(ROW(WhoKW))+1))))),""))</f>
        <v/>
      </c>
      <c r="G10" s="14">
        <f>IF($H10="","",IF(COUNTIF(People!$U$5:$U$604,$B10)+COUNTIF(People!$U$5:$U$604,$B10&amp;"")&gt;0,"✓ logged","→ add"))</f>
        <v/>
      </c>
      <c r="H10">
        <f>IFERROR(IF(INDEX(FormData,7,f_Id)&amp;""="","",7),"")</f>
        <v/>
      </c>
      <c r="I10" s="16">
        <f>IF($H10="","",IFERROR(INDEX(FormData,$H10,f_Need)&amp;"",""))</f>
        <v/>
      </c>
    </row>
    <row r="11">
      <c r="A11" s="14" t="n">
        <v>7</v>
      </c>
      <c r="B11" s="14">
        <f>IF($H11="","",INDEX(FormData,$H11,f_Id))</f>
        <v/>
      </c>
      <c r="C11" s="15">
        <f>IF($H11="","",IFERROR(INDEX(FormData,$H11,f_Time),""))</f>
        <v/>
      </c>
      <c r="D11" s="14">
        <f>IF($H11="","",IFERROR(UPPER(LEFT(TRIM(INDEX(FormData,$H11,f_Name)),1)&amp;IFERROR(MID(TRIM(INDEX(FormData,$H11,f_Name)),FIND("^",SUBSTITUTE(TRIM(INDEX(FormData,$H11,f_Name))," ","^",LEN(TRIM(INDEX(FormData,$H11,f_Name)))-LEN(SUBSTITUTE(TRIM(INDEX(FormData,$H11,f_Name))," ",""))))+1,1),"")),""))</f>
        <v/>
      </c>
      <c r="E11" s="16">
        <f>IF($H11="","",IFERROR(INDEX(EvID,MATCH(INDEX(FormData,$H11,f_Event),EvID,0)),IFERROR(INDEX(EvID,MATCH(INDEX(FormData,$H11,f_Event),EvName,0)),IFERROR(INDEX(EvID,MATCH(INT($C11),EvDate,0)),"(no event that day)"))))</f>
        <v/>
      </c>
      <c r="F11" s="16">
        <f>IF($H11="","",IFERROR(IF(SUMPRODUCT(MAX((WhoKW&lt;&gt;"")*ISNUMBER(SEARCH(WhoKW,INDEX(FormData,$H11,f_Who)&amp;""))*(ROW(WhoKW)-MIN(ROW(WhoKW))+1)))=0,"",INDEX(WhoVal,SUMPRODUCT(MAX((WhoKW&lt;&gt;"")*ISNUMBER(SEARCH(WhoKW,INDEX(FormData,$H11,f_Who)&amp;""))*(ROW(WhoKW)-MIN(ROW(WhoKW))+1))))),""))</f>
        <v/>
      </c>
      <c r="G11" s="14">
        <f>IF($H11="","",IF(COUNTIF(People!$U$5:$U$604,$B11)+COUNTIF(People!$U$5:$U$604,$B11&amp;"")&gt;0,"✓ logged","→ add"))</f>
        <v/>
      </c>
      <c r="H11">
        <f>IFERROR(IF(INDEX(FormData,8,f_Id)&amp;""="","",8),"")</f>
        <v/>
      </c>
      <c r="I11" s="16">
        <f>IF($H11="","",IFERROR(INDEX(FormData,$H11,f_Need)&amp;"",""))</f>
        <v/>
      </c>
    </row>
    <row r="12">
      <c r="A12" s="14" t="n">
        <v>8</v>
      </c>
      <c r="B12" s="14">
        <f>IF($H12="","",INDEX(FormData,$H12,f_Id))</f>
        <v/>
      </c>
      <c r="C12" s="15">
        <f>IF($H12="","",IFERROR(INDEX(FormData,$H12,f_Time),""))</f>
        <v/>
      </c>
      <c r="D12" s="14">
        <f>IF($H12="","",IFERROR(UPPER(LEFT(TRIM(INDEX(FormData,$H12,f_Name)),1)&amp;IFERROR(MID(TRIM(INDEX(FormData,$H12,f_Name)),FIND("^",SUBSTITUTE(TRIM(INDEX(FormData,$H12,f_Name))," ","^",LEN(TRIM(INDEX(FormData,$H12,f_Name)))-LEN(SUBSTITUTE(TRIM(INDEX(FormData,$H12,f_Name))," ",""))))+1,1),"")),""))</f>
        <v/>
      </c>
      <c r="E12" s="16">
        <f>IF($H12="","",IFERROR(INDEX(EvID,MATCH(INDEX(FormData,$H12,f_Event),EvID,0)),IFERROR(INDEX(EvID,MATCH(INDEX(FormData,$H12,f_Event),EvName,0)),IFERROR(INDEX(EvID,MATCH(INT($C12),EvDate,0)),"(no event that day)"))))</f>
        <v/>
      </c>
      <c r="F12" s="16">
        <f>IF($H12="","",IFERROR(IF(SUMPRODUCT(MAX((WhoKW&lt;&gt;"")*ISNUMBER(SEARCH(WhoKW,INDEX(FormData,$H12,f_Who)&amp;""))*(ROW(WhoKW)-MIN(ROW(WhoKW))+1)))=0,"",INDEX(WhoVal,SUMPRODUCT(MAX((WhoKW&lt;&gt;"")*ISNUMBER(SEARCH(WhoKW,INDEX(FormData,$H12,f_Who)&amp;""))*(ROW(WhoKW)-MIN(ROW(WhoKW))+1))))),""))</f>
        <v/>
      </c>
      <c r="G12" s="14">
        <f>IF($H12="","",IF(COUNTIF(People!$U$5:$U$604,$B12)+COUNTIF(People!$U$5:$U$604,$B12&amp;"")&gt;0,"✓ logged","→ add"))</f>
        <v/>
      </c>
      <c r="H12">
        <f>IFERROR(IF(INDEX(FormData,9,f_Id)&amp;""="","",9),"")</f>
        <v/>
      </c>
      <c r="I12" s="16">
        <f>IF($H12="","",IFERROR(INDEX(FormData,$H12,f_Need)&amp;"",""))</f>
        <v/>
      </c>
    </row>
    <row r="13">
      <c r="A13" s="14" t="n">
        <v>9</v>
      </c>
      <c r="B13" s="14">
        <f>IF($H13="","",INDEX(FormData,$H13,f_Id))</f>
        <v/>
      </c>
      <c r="C13" s="15">
        <f>IF($H13="","",IFERROR(INDEX(FormData,$H13,f_Time),""))</f>
        <v/>
      </c>
      <c r="D13" s="14">
        <f>IF($H13="","",IFERROR(UPPER(LEFT(TRIM(INDEX(FormData,$H13,f_Name)),1)&amp;IFERROR(MID(TRIM(INDEX(FormData,$H13,f_Name)),FIND("^",SUBSTITUTE(TRIM(INDEX(FormData,$H13,f_Name))," ","^",LEN(TRIM(INDEX(FormData,$H13,f_Name)))-LEN(SUBSTITUTE(TRIM(INDEX(FormData,$H13,f_Name))," ",""))))+1,1),"")),""))</f>
        <v/>
      </c>
      <c r="E13" s="16">
        <f>IF($H13="","",IFERROR(INDEX(EvID,MATCH(INDEX(FormData,$H13,f_Event),EvID,0)),IFERROR(INDEX(EvID,MATCH(INDEX(FormData,$H13,f_Event),EvName,0)),IFERROR(INDEX(EvID,MATCH(INT($C13),EvDate,0)),"(no event that day)"))))</f>
        <v/>
      </c>
      <c r="F13" s="16">
        <f>IF($H13="","",IFERROR(IF(SUMPRODUCT(MAX((WhoKW&lt;&gt;"")*ISNUMBER(SEARCH(WhoKW,INDEX(FormData,$H13,f_Who)&amp;""))*(ROW(WhoKW)-MIN(ROW(WhoKW))+1)))=0,"",INDEX(WhoVal,SUMPRODUCT(MAX((WhoKW&lt;&gt;"")*ISNUMBER(SEARCH(WhoKW,INDEX(FormData,$H13,f_Who)&amp;""))*(ROW(WhoKW)-MIN(ROW(WhoKW))+1))))),""))</f>
        <v/>
      </c>
      <c r="G13" s="14">
        <f>IF($H13="","",IF(COUNTIF(People!$U$5:$U$604,$B13)+COUNTIF(People!$U$5:$U$604,$B13&amp;"")&gt;0,"✓ logged","→ add"))</f>
        <v/>
      </c>
      <c r="H13">
        <f>IFERROR(IF(INDEX(FormData,10,f_Id)&amp;""="","",10),"")</f>
        <v/>
      </c>
      <c r="I13" s="16">
        <f>IF($H13="","",IFERROR(INDEX(FormData,$H13,f_Need)&amp;"",""))</f>
        <v/>
      </c>
    </row>
    <row r="14">
      <c r="A14" s="14" t="n">
        <v>10</v>
      </c>
      <c r="B14" s="14">
        <f>IF($H14="","",INDEX(FormData,$H14,f_Id))</f>
        <v/>
      </c>
      <c r="C14" s="15">
        <f>IF($H14="","",IFERROR(INDEX(FormData,$H14,f_Time),""))</f>
        <v/>
      </c>
      <c r="D14" s="14">
        <f>IF($H14="","",IFERROR(UPPER(LEFT(TRIM(INDEX(FormData,$H14,f_Name)),1)&amp;IFERROR(MID(TRIM(INDEX(FormData,$H14,f_Name)),FIND("^",SUBSTITUTE(TRIM(INDEX(FormData,$H14,f_Name))," ","^",LEN(TRIM(INDEX(FormData,$H14,f_Name)))-LEN(SUBSTITUTE(TRIM(INDEX(FormData,$H14,f_Name))," ",""))))+1,1),"")),""))</f>
        <v/>
      </c>
      <c r="E14" s="16">
        <f>IF($H14="","",IFERROR(INDEX(EvID,MATCH(INDEX(FormData,$H14,f_Event),EvID,0)),IFERROR(INDEX(EvID,MATCH(INDEX(FormData,$H14,f_Event),EvName,0)),IFERROR(INDEX(EvID,MATCH(INT($C14),EvDate,0)),"(no event that day)"))))</f>
        <v/>
      </c>
      <c r="F14" s="16">
        <f>IF($H14="","",IFERROR(IF(SUMPRODUCT(MAX((WhoKW&lt;&gt;"")*ISNUMBER(SEARCH(WhoKW,INDEX(FormData,$H14,f_Who)&amp;""))*(ROW(WhoKW)-MIN(ROW(WhoKW))+1)))=0,"",INDEX(WhoVal,SUMPRODUCT(MAX((WhoKW&lt;&gt;"")*ISNUMBER(SEARCH(WhoKW,INDEX(FormData,$H14,f_Who)&amp;""))*(ROW(WhoKW)-MIN(ROW(WhoKW))+1))))),""))</f>
        <v/>
      </c>
      <c r="G14" s="14">
        <f>IF($H14="","",IF(COUNTIF(People!$U$5:$U$604,$B14)+COUNTIF(People!$U$5:$U$604,$B14&amp;"")&gt;0,"✓ logged","→ add"))</f>
        <v/>
      </c>
      <c r="H14">
        <f>IFERROR(IF(INDEX(FormData,11,f_Id)&amp;""="","",11),"")</f>
        <v/>
      </c>
      <c r="I14" s="16">
        <f>IF($H14="","",IFERROR(INDEX(FormData,$H14,f_Need)&amp;"",""))</f>
        <v/>
      </c>
    </row>
    <row r="15">
      <c r="A15" s="14" t="n">
        <v>11</v>
      </c>
      <c r="B15" s="14">
        <f>IF($H15="","",INDEX(FormData,$H15,f_Id))</f>
        <v/>
      </c>
      <c r="C15" s="15">
        <f>IF($H15="","",IFERROR(INDEX(FormData,$H15,f_Time),""))</f>
        <v/>
      </c>
      <c r="D15" s="14">
        <f>IF($H15="","",IFERROR(UPPER(LEFT(TRIM(INDEX(FormData,$H15,f_Name)),1)&amp;IFERROR(MID(TRIM(INDEX(FormData,$H15,f_Name)),FIND("^",SUBSTITUTE(TRIM(INDEX(FormData,$H15,f_Name))," ","^",LEN(TRIM(INDEX(FormData,$H15,f_Name)))-LEN(SUBSTITUTE(TRIM(INDEX(FormData,$H15,f_Name))," ",""))))+1,1),"")),""))</f>
        <v/>
      </c>
      <c r="E15" s="16">
        <f>IF($H15="","",IFERROR(INDEX(EvID,MATCH(INDEX(FormData,$H15,f_Event),EvID,0)),IFERROR(INDEX(EvID,MATCH(INDEX(FormData,$H15,f_Event),EvName,0)),IFERROR(INDEX(EvID,MATCH(INT($C15),EvDate,0)),"(no event that day)"))))</f>
        <v/>
      </c>
      <c r="F15" s="16">
        <f>IF($H15="","",IFERROR(IF(SUMPRODUCT(MAX((WhoKW&lt;&gt;"")*ISNUMBER(SEARCH(WhoKW,INDEX(FormData,$H15,f_Who)&amp;""))*(ROW(WhoKW)-MIN(ROW(WhoKW))+1)))=0,"",INDEX(WhoVal,SUMPRODUCT(MAX((WhoKW&lt;&gt;"")*ISNUMBER(SEARCH(WhoKW,INDEX(FormData,$H15,f_Who)&amp;""))*(ROW(WhoKW)-MIN(ROW(WhoKW))+1))))),""))</f>
        <v/>
      </c>
      <c r="G15" s="14">
        <f>IF($H15="","",IF(COUNTIF(People!$U$5:$U$604,$B15)+COUNTIF(People!$U$5:$U$604,$B15&amp;"")&gt;0,"✓ logged","→ add"))</f>
        <v/>
      </c>
      <c r="H15">
        <f>IFERROR(IF(INDEX(FormData,12,f_Id)&amp;""="","",12),"")</f>
        <v/>
      </c>
      <c r="I15" s="16">
        <f>IF($H15="","",IFERROR(INDEX(FormData,$H15,f_Need)&amp;"",""))</f>
        <v/>
      </c>
    </row>
    <row r="16">
      <c r="A16" s="14" t="n">
        <v>12</v>
      </c>
      <c r="B16" s="14">
        <f>IF($H16="","",INDEX(FormData,$H16,f_Id))</f>
        <v/>
      </c>
      <c r="C16" s="15">
        <f>IF($H16="","",IFERROR(INDEX(FormData,$H16,f_Time),""))</f>
        <v/>
      </c>
      <c r="D16" s="14">
        <f>IF($H16="","",IFERROR(UPPER(LEFT(TRIM(INDEX(FormData,$H16,f_Name)),1)&amp;IFERROR(MID(TRIM(INDEX(FormData,$H16,f_Name)),FIND("^",SUBSTITUTE(TRIM(INDEX(FormData,$H16,f_Name))," ","^",LEN(TRIM(INDEX(FormData,$H16,f_Name)))-LEN(SUBSTITUTE(TRIM(INDEX(FormData,$H16,f_Name))," ",""))))+1,1),"")),""))</f>
        <v/>
      </c>
      <c r="E16" s="16">
        <f>IF($H16="","",IFERROR(INDEX(EvID,MATCH(INDEX(FormData,$H16,f_Event),EvID,0)),IFERROR(INDEX(EvID,MATCH(INDEX(FormData,$H16,f_Event),EvName,0)),IFERROR(INDEX(EvID,MATCH(INT($C16),EvDate,0)),"(no event that day)"))))</f>
        <v/>
      </c>
      <c r="F16" s="16">
        <f>IF($H16="","",IFERROR(IF(SUMPRODUCT(MAX((WhoKW&lt;&gt;"")*ISNUMBER(SEARCH(WhoKW,INDEX(FormData,$H16,f_Who)&amp;""))*(ROW(WhoKW)-MIN(ROW(WhoKW))+1)))=0,"",INDEX(WhoVal,SUMPRODUCT(MAX((WhoKW&lt;&gt;"")*ISNUMBER(SEARCH(WhoKW,INDEX(FormData,$H16,f_Who)&amp;""))*(ROW(WhoKW)-MIN(ROW(WhoKW))+1))))),""))</f>
        <v/>
      </c>
      <c r="G16" s="14">
        <f>IF($H16="","",IF(COUNTIF(People!$U$5:$U$604,$B16)+COUNTIF(People!$U$5:$U$604,$B16&amp;"")&gt;0,"✓ logged","→ add"))</f>
        <v/>
      </c>
      <c r="H16">
        <f>IFERROR(IF(INDEX(FormData,13,f_Id)&amp;""="","",13),"")</f>
        <v/>
      </c>
      <c r="I16" s="16">
        <f>IF($H16="","",IFERROR(INDEX(FormData,$H16,f_Need)&amp;"",""))</f>
        <v/>
      </c>
    </row>
    <row r="17">
      <c r="A17" s="14" t="n">
        <v>13</v>
      </c>
      <c r="B17" s="14">
        <f>IF($H17="","",INDEX(FormData,$H17,f_Id))</f>
        <v/>
      </c>
      <c r="C17" s="15">
        <f>IF($H17="","",IFERROR(INDEX(FormData,$H17,f_Time),""))</f>
        <v/>
      </c>
      <c r="D17" s="14">
        <f>IF($H17="","",IFERROR(UPPER(LEFT(TRIM(INDEX(FormData,$H17,f_Name)),1)&amp;IFERROR(MID(TRIM(INDEX(FormData,$H17,f_Name)),FIND("^",SUBSTITUTE(TRIM(INDEX(FormData,$H17,f_Name))," ","^",LEN(TRIM(INDEX(FormData,$H17,f_Name)))-LEN(SUBSTITUTE(TRIM(INDEX(FormData,$H17,f_Name))," ",""))))+1,1),"")),""))</f>
        <v/>
      </c>
      <c r="E17" s="16">
        <f>IF($H17="","",IFERROR(INDEX(EvID,MATCH(INDEX(FormData,$H17,f_Event),EvID,0)),IFERROR(INDEX(EvID,MATCH(INDEX(FormData,$H17,f_Event),EvName,0)),IFERROR(INDEX(EvID,MATCH(INT($C17),EvDate,0)),"(no event that day)"))))</f>
        <v/>
      </c>
      <c r="F17" s="16">
        <f>IF($H17="","",IFERROR(IF(SUMPRODUCT(MAX((WhoKW&lt;&gt;"")*ISNUMBER(SEARCH(WhoKW,INDEX(FormData,$H17,f_Who)&amp;""))*(ROW(WhoKW)-MIN(ROW(WhoKW))+1)))=0,"",INDEX(WhoVal,SUMPRODUCT(MAX((WhoKW&lt;&gt;"")*ISNUMBER(SEARCH(WhoKW,INDEX(FormData,$H17,f_Who)&amp;""))*(ROW(WhoKW)-MIN(ROW(WhoKW))+1))))),""))</f>
        <v/>
      </c>
      <c r="G17" s="14">
        <f>IF($H17="","",IF(COUNTIF(People!$U$5:$U$604,$B17)+COUNTIF(People!$U$5:$U$604,$B17&amp;"")&gt;0,"✓ logged","→ add"))</f>
        <v/>
      </c>
      <c r="H17">
        <f>IFERROR(IF(INDEX(FormData,14,f_Id)&amp;""="","",14),"")</f>
        <v/>
      </c>
      <c r="I17" s="16">
        <f>IF($H17="","",IFERROR(INDEX(FormData,$H17,f_Need)&amp;"",""))</f>
        <v/>
      </c>
    </row>
    <row r="18">
      <c r="A18" s="14" t="n">
        <v>14</v>
      </c>
      <c r="B18" s="14">
        <f>IF($H18="","",INDEX(FormData,$H18,f_Id))</f>
        <v/>
      </c>
      <c r="C18" s="15">
        <f>IF($H18="","",IFERROR(INDEX(FormData,$H18,f_Time),""))</f>
        <v/>
      </c>
      <c r="D18" s="14">
        <f>IF($H18="","",IFERROR(UPPER(LEFT(TRIM(INDEX(FormData,$H18,f_Name)),1)&amp;IFERROR(MID(TRIM(INDEX(FormData,$H18,f_Name)),FIND("^",SUBSTITUTE(TRIM(INDEX(FormData,$H18,f_Name))," ","^",LEN(TRIM(INDEX(FormData,$H18,f_Name)))-LEN(SUBSTITUTE(TRIM(INDEX(FormData,$H18,f_Name))," ",""))))+1,1),"")),""))</f>
        <v/>
      </c>
      <c r="E18" s="16">
        <f>IF($H18="","",IFERROR(INDEX(EvID,MATCH(INDEX(FormData,$H18,f_Event),EvID,0)),IFERROR(INDEX(EvID,MATCH(INDEX(FormData,$H18,f_Event),EvName,0)),IFERROR(INDEX(EvID,MATCH(INT($C18),EvDate,0)),"(no event that day)"))))</f>
        <v/>
      </c>
      <c r="F18" s="16">
        <f>IF($H18="","",IFERROR(IF(SUMPRODUCT(MAX((WhoKW&lt;&gt;"")*ISNUMBER(SEARCH(WhoKW,INDEX(FormData,$H18,f_Who)&amp;""))*(ROW(WhoKW)-MIN(ROW(WhoKW))+1)))=0,"",INDEX(WhoVal,SUMPRODUCT(MAX((WhoKW&lt;&gt;"")*ISNUMBER(SEARCH(WhoKW,INDEX(FormData,$H18,f_Who)&amp;""))*(ROW(WhoKW)-MIN(ROW(WhoKW))+1))))),""))</f>
        <v/>
      </c>
      <c r="G18" s="14">
        <f>IF($H18="","",IF(COUNTIF(People!$U$5:$U$604,$B18)+COUNTIF(People!$U$5:$U$604,$B18&amp;"")&gt;0,"✓ logged","→ add"))</f>
        <v/>
      </c>
      <c r="H18">
        <f>IFERROR(IF(INDEX(FormData,15,f_Id)&amp;""="","",15),"")</f>
        <v/>
      </c>
      <c r="I18" s="16">
        <f>IF($H18="","",IFERROR(INDEX(FormData,$H18,f_Need)&amp;"",""))</f>
        <v/>
      </c>
    </row>
    <row r="19">
      <c r="A19" s="14" t="n">
        <v>15</v>
      </c>
      <c r="B19" s="14">
        <f>IF($H19="","",INDEX(FormData,$H19,f_Id))</f>
        <v/>
      </c>
      <c r="C19" s="15">
        <f>IF($H19="","",IFERROR(INDEX(FormData,$H19,f_Time),""))</f>
        <v/>
      </c>
      <c r="D19" s="14">
        <f>IF($H19="","",IFERROR(UPPER(LEFT(TRIM(INDEX(FormData,$H19,f_Name)),1)&amp;IFERROR(MID(TRIM(INDEX(FormData,$H19,f_Name)),FIND("^",SUBSTITUTE(TRIM(INDEX(FormData,$H19,f_Name))," ","^",LEN(TRIM(INDEX(FormData,$H19,f_Name)))-LEN(SUBSTITUTE(TRIM(INDEX(FormData,$H19,f_Name))," ",""))))+1,1),"")),""))</f>
        <v/>
      </c>
      <c r="E19" s="16">
        <f>IF($H19="","",IFERROR(INDEX(EvID,MATCH(INDEX(FormData,$H19,f_Event),EvID,0)),IFERROR(INDEX(EvID,MATCH(INDEX(FormData,$H19,f_Event),EvName,0)),IFERROR(INDEX(EvID,MATCH(INT($C19),EvDate,0)),"(no event that day)"))))</f>
        <v/>
      </c>
      <c r="F19" s="16">
        <f>IF($H19="","",IFERROR(IF(SUMPRODUCT(MAX((WhoKW&lt;&gt;"")*ISNUMBER(SEARCH(WhoKW,INDEX(FormData,$H19,f_Who)&amp;""))*(ROW(WhoKW)-MIN(ROW(WhoKW))+1)))=0,"",INDEX(WhoVal,SUMPRODUCT(MAX((WhoKW&lt;&gt;"")*ISNUMBER(SEARCH(WhoKW,INDEX(FormData,$H19,f_Who)&amp;""))*(ROW(WhoKW)-MIN(ROW(WhoKW))+1))))),""))</f>
        <v/>
      </c>
      <c r="G19" s="14">
        <f>IF($H19="","",IF(COUNTIF(People!$U$5:$U$604,$B19)+COUNTIF(People!$U$5:$U$604,$B19&amp;"")&gt;0,"✓ logged","→ add"))</f>
        <v/>
      </c>
      <c r="H19">
        <f>IFERROR(IF(INDEX(FormData,16,f_Id)&amp;""="","",16),"")</f>
        <v/>
      </c>
      <c r="I19" s="16">
        <f>IF($H19="","",IFERROR(INDEX(FormData,$H19,f_Need)&amp;"",""))</f>
        <v/>
      </c>
    </row>
    <row r="20">
      <c r="A20" s="14" t="n">
        <v>16</v>
      </c>
      <c r="B20" s="14">
        <f>IF($H20="","",INDEX(FormData,$H20,f_Id))</f>
        <v/>
      </c>
      <c r="C20" s="15">
        <f>IF($H20="","",IFERROR(INDEX(FormData,$H20,f_Time),""))</f>
        <v/>
      </c>
      <c r="D20" s="14">
        <f>IF($H20="","",IFERROR(UPPER(LEFT(TRIM(INDEX(FormData,$H20,f_Name)),1)&amp;IFERROR(MID(TRIM(INDEX(FormData,$H20,f_Name)),FIND("^",SUBSTITUTE(TRIM(INDEX(FormData,$H20,f_Name))," ","^",LEN(TRIM(INDEX(FormData,$H20,f_Name)))-LEN(SUBSTITUTE(TRIM(INDEX(FormData,$H20,f_Name))," ",""))))+1,1),"")),""))</f>
        <v/>
      </c>
      <c r="E20" s="16">
        <f>IF($H20="","",IFERROR(INDEX(EvID,MATCH(INDEX(FormData,$H20,f_Event),EvID,0)),IFERROR(INDEX(EvID,MATCH(INDEX(FormData,$H20,f_Event),EvName,0)),IFERROR(INDEX(EvID,MATCH(INT($C20),EvDate,0)),"(no event that day)"))))</f>
        <v/>
      </c>
      <c r="F20" s="16">
        <f>IF($H20="","",IFERROR(IF(SUMPRODUCT(MAX((WhoKW&lt;&gt;"")*ISNUMBER(SEARCH(WhoKW,INDEX(FormData,$H20,f_Who)&amp;""))*(ROW(WhoKW)-MIN(ROW(WhoKW))+1)))=0,"",INDEX(WhoVal,SUMPRODUCT(MAX((WhoKW&lt;&gt;"")*ISNUMBER(SEARCH(WhoKW,INDEX(FormData,$H20,f_Who)&amp;""))*(ROW(WhoKW)-MIN(ROW(WhoKW))+1))))),""))</f>
        <v/>
      </c>
      <c r="G20" s="14">
        <f>IF($H20="","",IF(COUNTIF(People!$U$5:$U$604,$B20)+COUNTIF(People!$U$5:$U$604,$B20&amp;"")&gt;0,"✓ logged","→ add"))</f>
        <v/>
      </c>
      <c r="H20">
        <f>IFERROR(IF(INDEX(FormData,17,f_Id)&amp;""="","",17),"")</f>
        <v/>
      </c>
      <c r="I20" s="16">
        <f>IF($H20="","",IFERROR(INDEX(FormData,$H20,f_Need)&amp;"",""))</f>
        <v/>
      </c>
    </row>
    <row r="21">
      <c r="A21" s="14" t="n">
        <v>17</v>
      </c>
      <c r="B21" s="14">
        <f>IF($H21="","",INDEX(FormData,$H21,f_Id))</f>
        <v/>
      </c>
      <c r="C21" s="15">
        <f>IF($H21="","",IFERROR(INDEX(FormData,$H21,f_Time),""))</f>
        <v/>
      </c>
      <c r="D21" s="14">
        <f>IF($H21="","",IFERROR(UPPER(LEFT(TRIM(INDEX(FormData,$H21,f_Name)),1)&amp;IFERROR(MID(TRIM(INDEX(FormData,$H21,f_Name)),FIND("^",SUBSTITUTE(TRIM(INDEX(FormData,$H21,f_Name))," ","^",LEN(TRIM(INDEX(FormData,$H21,f_Name)))-LEN(SUBSTITUTE(TRIM(INDEX(FormData,$H21,f_Name))," ",""))))+1,1),"")),""))</f>
        <v/>
      </c>
      <c r="E21" s="16">
        <f>IF($H21="","",IFERROR(INDEX(EvID,MATCH(INDEX(FormData,$H21,f_Event),EvID,0)),IFERROR(INDEX(EvID,MATCH(INDEX(FormData,$H21,f_Event),EvName,0)),IFERROR(INDEX(EvID,MATCH(INT($C21),EvDate,0)),"(no event that day)"))))</f>
        <v/>
      </c>
      <c r="F21" s="16">
        <f>IF($H21="","",IFERROR(IF(SUMPRODUCT(MAX((WhoKW&lt;&gt;"")*ISNUMBER(SEARCH(WhoKW,INDEX(FormData,$H21,f_Who)&amp;""))*(ROW(WhoKW)-MIN(ROW(WhoKW))+1)))=0,"",INDEX(WhoVal,SUMPRODUCT(MAX((WhoKW&lt;&gt;"")*ISNUMBER(SEARCH(WhoKW,INDEX(FormData,$H21,f_Who)&amp;""))*(ROW(WhoKW)-MIN(ROW(WhoKW))+1))))),""))</f>
        <v/>
      </c>
      <c r="G21" s="14">
        <f>IF($H21="","",IF(COUNTIF(People!$U$5:$U$604,$B21)+COUNTIF(People!$U$5:$U$604,$B21&amp;"")&gt;0,"✓ logged","→ add"))</f>
        <v/>
      </c>
      <c r="H21">
        <f>IFERROR(IF(INDEX(FormData,18,f_Id)&amp;""="","",18),"")</f>
        <v/>
      </c>
      <c r="I21" s="16">
        <f>IF($H21="","",IFERROR(INDEX(FormData,$H21,f_Need)&amp;"",""))</f>
        <v/>
      </c>
    </row>
    <row r="22">
      <c r="A22" s="14" t="n">
        <v>18</v>
      </c>
      <c r="B22" s="14">
        <f>IF($H22="","",INDEX(FormData,$H22,f_Id))</f>
        <v/>
      </c>
      <c r="C22" s="15">
        <f>IF($H22="","",IFERROR(INDEX(FormData,$H22,f_Time),""))</f>
        <v/>
      </c>
      <c r="D22" s="14">
        <f>IF($H22="","",IFERROR(UPPER(LEFT(TRIM(INDEX(FormData,$H22,f_Name)),1)&amp;IFERROR(MID(TRIM(INDEX(FormData,$H22,f_Name)),FIND("^",SUBSTITUTE(TRIM(INDEX(FormData,$H22,f_Name))," ","^",LEN(TRIM(INDEX(FormData,$H22,f_Name)))-LEN(SUBSTITUTE(TRIM(INDEX(FormData,$H22,f_Name))," ",""))))+1,1),"")),""))</f>
        <v/>
      </c>
      <c r="E22" s="16">
        <f>IF($H22="","",IFERROR(INDEX(EvID,MATCH(INDEX(FormData,$H22,f_Event),EvID,0)),IFERROR(INDEX(EvID,MATCH(INDEX(FormData,$H22,f_Event),EvName,0)),IFERROR(INDEX(EvID,MATCH(INT($C22),EvDate,0)),"(no event that day)"))))</f>
        <v/>
      </c>
      <c r="F22" s="16">
        <f>IF($H22="","",IFERROR(IF(SUMPRODUCT(MAX((WhoKW&lt;&gt;"")*ISNUMBER(SEARCH(WhoKW,INDEX(FormData,$H22,f_Who)&amp;""))*(ROW(WhoKW)-MIN(ROW(WhoKW))+1)))=0,"",INDEX(WhoVal,SUMPRODUCT(MAX((WhoKW&lt;&gt;"")*ISNUMBER(SEARCH(WhoKW,INDEX(FormData,$H22,f_Who)&amp;""))*(ROW(WhoKW)-MIN(ROW(WhoKW))+1))))),""))</f>
        <v/>
      </c>
      <c r="G22" s="14">
        <f>IF($H22="","",IF(COUNTIF(People!$U$5:$U$604,$B22)+COUNTIF(People!$U$5:$U$604,$B22&amp;"")&gt;0,"✓ logged","→ add"))</f>
        <v/>
      </c>
      <c r="H22">
        <f>IFERROR(IF(INDEX(FormData,19,f_Id)&amp;""="","",19),"")</f>
        <v/>
      </c>
      <c r="I22" s="16">
        <f>IF($H22="","",IFERROR(INDEX(FormData,$H22,f_Need)&amp;"",""))</f>
        <v/>
      </c>
    </row>
    <row r="23">
      <c r="A23" s="14" t="n">
        <v>19</v>
      </c>
      <c r="B23" s="14">
        <f>IF($H23="","",INDEX(FormData,$H23,f_Id))</f>
        <v/>
      </c>
      <c r="C23" s="15">
        <f>IF($H23="","",IFERROR(INDEX(FormData,$H23,f_Time),""))</f>
        <v/>
      </c>
      <c r="D23" s="14">
        <f>IF($H23="","",IFERROR(UPPER(LEFT(TRIM(INDEX(FormData,$H23,f_Name)),1)&amp;IFERROR(MID(TRIM(INDEX(FormData,$H23,f_Name)),FIND("^",SUBSTITUTE(TRIM(INDEX(FormData,$H23,f_Name))," ","^",LEN(TRIM(INDEX(FormData,$H23,f_Name)))-LEN(SUBSTITUTE(TRIM(INDEX(FormData,$H23,f_Name))," ",""))))+1,1),"")),""))</f>
        <v/>
      </c>
      <c r="E23" s="16">
        <f>IF($H23="","",IFERROR(INDEX(EvID,MATCH(INDEX(FormData,$H23,f_Event),EvID,0)),IFERROR(INDEX(EvID,MATCH(INDEX(FormData,$H23,f_Event),EvName,0)),IFERROR(INDEX(EvID,MATCH(INT($C23),EvDate,0)),"(no event that day)"))))</f>
        <v/>
      </c>
      <c r="F23" s="16">
        <f>IF($H23="","",IFERROR(IF(SUMPRODUCT(MAX((WhoKW&lt;&gt;"")*ISNUMBER(SEARCH(WhoKW,INDEX(FormData,$H23,f_Who)&amp;""))*(ROW(WhoKW)-MIN(ROW(WhoKW))+1)))=0,"",INDEX(WhoVal,SUMPRODUCT(MAX((WhoKW&lt;&gt;"")*ISNUMBER(SEARCH(WhoKW,INDEX(FormData,$H23,f_Who)&amp;""))*(ROW(WhoKW)-MIN(ROW(WhoKW))+1))))),""))</f>
        <v/>
      </c>
      <c r="G23" s="14">
        <f>IF($H23="","",IF(COUNTIF(People!$U$5:$U$604,$B23)+COUNTIF(People!$U$5:$U$604,$B23&amp;"")&gt;0,"✓ logged","→ add"))</f>
        <v/>
      </c>
      <c r="H23">
        <f>IFERROR(IF(INDEX(FormData,20,f_Id)&amp;""="","",20),"")</f>
        <v/>
      </c>
      <c r="I23" s="16">
        <f>IF($H23="","",IFERROR(INDEX(FormData,$H23,f_Need)&amp;"",""))</f>
        <v/>
      </c>
    </row>
    <row r="24">
      <c r="A24" s="14" t="n">
        <v>20</v>
      </c>
      <c r="B24" s="14">
        <f>IF($H24="","",INDEX(FormData,$H24,f_Id))</f>
        <v/>
      </c>
      <c r="C24" s="15">
        <f>IF($H24="","",IFERROR(INDEX(FormData,$H24,f_Time),""))</f>
        <v/>
      </c>
      <c r="D24" s="14">
        <f>IF($H24="","",IFERROR(UPPER(LEFT(TRIM(INDEX(FormData,$H24,f_Name)),1)&amp;IFERROR(MID(TRIM(INDEX(FormData,$H24,f_Name)),FIND("^",SUBSTITUTE(TRIM(INDEX(FormData,$H24,f_Name))," ","^",LEN(TRIM(INDEX(FormData,$H24,f_Name)))-LEN(SUBSTITUTE(TRIM(INDEX(FormData,$H24,f_Name))," ",""))))+1,1),"")),""))</f>
        <v/>
      </c>
      <c r="E24" s="16">
        <f>IF($H24="","",IFERROR(INDEX(EvID,MATCH(INDEX(FormData,$H24,f_Event),EvID,0)),IFERROR(INDEX(EvID,MATCH(INDEX(FormData,$H24,f_Event),EvName,0)),IFERROR(INDEX(EvID,MATCH(INT($C24),EvDate,0)),"(no event that day)"))))</f>
        <v/>
      </c>
      <c r="F24" s="16">
        <f>IF($H24="","",IFERROR(IF(SUMPRODUCT(MAX((WhoKW&lt;&gt;"")*ISNUMBER(SEARCH(WhoKW,INDEX(FormData,$H24,f_Who)&amp;""))*(ROW(WhoKW)-MIN(ROW(WhoKW))+1)))=0,"",INDEX(WhoVal,SUMPRODUCT(MAX((WhoKW&lt;&gt;"")*ISNUMBER(SEARCH(WhoKW,INDEX(FormData,$H24,f_Who)&amp;""))*(ROW(WhoKW)-MIN(ROW(WhoKW))+1))))),""))</f>
        <v/>
      </c>
      <c r="G24" s="14">
        <f>IF($H24="","",IF(COUNTIF(People!$U$5:$U$604,$B24)+COUNTIF(People!$U$5:$U$604,$B24&amp;"")&gt;0,"✓ logged","→ add"))</f>
        <v/>
      </c>
      <c r="H24">
        <f>IFERROR(IF(INDEX(FormData,21,f_Id)&amp;""="","",21),"")</f>
        <v/>
      </c>
      <c r="I24" s="16">
        <f>IF($H24="","",IFERROR(INDEX(FormData,$H24,f_Need)&amp;"",""))</f>
        <v/>
      </c>
    </row>
    <row r="25">
      <c r="A25" s="14" t="n">
        <v>21</v>
      </c>
      <c r="B25" s="14">
        <f>IF($H25="","",INDEX(FormData,$H25,f_Id))</f>
        <v/>
      </c>
      <c r="C25" s="15">
        <f>IF($H25="","",IFERROR(INDEX(FormData,$H25,f_Time),""))</f>
        <v/>
      </c>
      <c r="D25" s="14">
        <f>IF($H25="","",IFERROR(UPPER(LEFT(TRIM(INDEX(FormData,$H25,f_Name)),1)&amp;IFERROR(MID(TRIM(INDEX(FormData,$H25,f_Name)),FIND("^",SUBSTITUTE(TRIM(INDEX(FormData,$H25,f_Name))," ","^",LEN(TRIM(INDEX(FormData,$H25,f_Name)))-LEN(SUBSTITUTE(TRIM(INDEX(FormData,$H25,f_Name))," ",""))))+1,1),"")),""))</f>
        <v/>
      </c>
      <c r="E25" s="16">
        <f>IF($H25="","",IFERROR(INDEX(EvID,MATCH(INDEX(FormData,$H25,f_Event),EvID,0)),IFERROR(INDEX(EvID,MATCH(INDEX(FormData,$H25,f_Event),EvName,0)),IFERROR(INDEX(EvID,MATCH(INT($C25),EvDate,0)),"(no event that day)"))))</f>
        <v/>
      </c>
      <c r="F25" s="16">
        <f>IF($H25="","",IFERROR(IF(SUMPRODUCT(MAX((WhoKW&lt;&gt;"")*ISNUMBER(SEARCH(WhoKW,INDEX(FormData,$H25,f_Who)&amp;""))*(ROW(WhoKW)-MIN(ROW(WhoKW))+1)))=0,"",INDEX(WhoVal,SUMPRODUCT(MAX((WhoKW&lt;&gt;"")*ISNUMBER(SEARCH(WhoKW,INDEX(FormData,$H25,f_Who)&amp;""))*(ROW(WhoKW)-MIN(ROW(WhoKW))+1))))),""))</f>
        <v/>
      </c>
      <c r="G25" s="14">
        <f>IF($H25="","",IF(COUNTIF(People!$U$5:$U$604,$B25)+COUNTIF(People!$U$5:$U$604,$B25&amp;"")&gt;0,"✓ logged","→ add"))</f>
        <v/>
      </c>
      <c r="H25">
        <f>IFERROR(IF(INDEX(FormData,22,f_Id)&amp;""="","",22),"")</f>
        <v/>
      </c>
      <c r="I25" s="16">
        <f>IF($H25="","",IFERROR(INDEX(FormData,$H25,f_Need)&amp;"",""))</f>
        <v/>
      </c>
    </row>
    <row r="26">
      <c r="A26" s="14" t="n">
        <v>22</v>
      </c>
      <c r="B26" s="14">
        <f>IF($H26="","",INDEX(FormData,$H26,f_Id))</f>
        <v/>
      </c>
      <c r="C26" s="15">
        <f>IF($H26="","",IFERROR(INDEX(FormData,$H26,f_Time),""))</f>
        <v/>
      </c>
      <c r="D26" s="14">
        <f>IF($H26="","",IFERROR(UPPER(LEFT(TRIM(INDEX(FormData,$H26,f_Name)),1)&amp;IFERROR(MID(TRIM(INDEX(FormData,$H26,f_Name)),FIND("^",SUBSTITUTE(TRIM(INDEX(FormData,$H26,f_Name))," ","^",LEN(TRIM(INDEX(FormData,$H26,f_Name)))-LEN(SUBSTITUTE(TRIM(INDEX(FormData,$H26,f_Name))," ",""))))+1,1),"")),""))</f>
        <v/>
      </c>
      <c r="E26" s="16">
        <f>IF($H26="","",IFERROR(INDEX(EvID,MATCH(INDEX(FormData,$H26,f_Event),EvID,0)),IFERROR(INDEX(EvID,MATCH(INDEX(FormData,$H26,f_Event),EvName,0)),IFERROR(INDEX(EvID,MATCH(INT($C26),EvDate,0)),"(no event that day)"))))</f>
        <v/>
      </c>
      <c r="F26" s="16">
        <f>IF($H26="","",IFERROR(IF(SUMPRODUCT(MAX((WhoKW&lt;&gt;"")*ISNUMBER(SEARCH(WhoKW,INDEX(FormData,$H26,f_Who)&amp;""))*(ROW(WhoKW)-MIN(ROW(WhoKW))+1)))=0,"",INDEX(WhoVal,SUMPRODUCT(MAX((WhoKW&lt;&gt;"")*ISNUMBER(SEARCH(WhoKW,INDEX(FormData,$H26,f_Who)&amp;""))*(ROW(WhoKW)-MIN(ROW(WhoKW))+1))))),""))</f>
        <v/>
      </c>
      <c r="G26" s="14">
        <f>IF($H26="","",IF(COUNTIF(People!$U$5:$U$604,$B26)+COUNTIF(People!$U$5:$U$604,$B26&amp;"")&gt;0,"✓ logged","→ add"))</f>
        <v/>
      </c>
      <c r="H26">
        <f>IFERROR(IF(INDEX(FormData,23,f_Id)&amp;""="","",23),"")</f>
        <v/>
      </c>
      <c r="I26" s="16">
        <f>IF($H26="","",IFERROR(INDEX(FormData,$H26,f_Need)&amp;"",""))</f>
        <v/>
      </c>
    </row>
    <row r="27">
      <c r="A27" s="14" t="n">
        <v>23</v>
      </c>
      <c r="B27" s="14">
        <f>IF($H27="","",INDEX(FormData,$H27,f_Id))</f>
        <v/>
      </c>
      <c r="C27" s="15">
        <f>IF($H27="","",IFERROR(INDEX(FormData,$H27,f_Time),""))</f>
        <v/>
      </c>
      <c r="D27" s="14">
        <f>IF($H27="","",IFERROR(UPPER(LEFT(TRIM(INDEX(FormData,$H27,f_Name)),1)&amp;IFERROR(MID(TRIM(INDEX(FormData,$H27,f_Name)),FIND("^",SUBSTITUTE(TRIM(INDEX(FormData,$H27,f_Name))," ","^",LEN(TRIM(INDEX(FormData,$H27,f_Name)))-LEN(SUBSTITUTE(TRIM(INDEX(FormData,$H27,f_Name))," ",""))))+1,1),"")),""))</f>
        <v/>
      </c>
      <c r="E27" s="16">
        <f>IF($H27="","",IFERROR(INDEX(EvID,MATCH(INDEX(FormData,$H27,f_Event),EvID,0)),IFERROR(INDEX(EvID,MATCH(INDEX(FormData,$H27,f_Event),EvName,0)),IFERROR(INDEX(EvID,MATCH(INT($C27),EvDate,0)),"(no event that day)"))))</f>
        <v/>
      </c>
      <c r="F27" s="16">
        <f>IF($H27="","",IFERROR(IF(SUMPRODUCT(MAX((WhoKW&lt;&gt;"")*ISNUMBER(SEARCH(WhoKW,INDEX(FormData,$H27,f_Who)&amp;""))*(ROW(WhoKW)-MIN(ROW(WhoKW))+1)))=0,"",INDEX(WhoVal,SUMPRODUCT(MAX((WhoKW&lt;&gt;"")*ISNUMBER(SEARCH(WhoKW,INDEX(FormData,$H27,f_Who)&amp;""))*(ROW(WhoKW)-MIN(ROW(WhoKW))+1))))),""))</f>
        <v/>
      </c>
      <c r="G27" s="14">
        <f>IF($H27="","",IF(COUNTIF(People!$U$5:$U$604,$B27)+COUNTIF(People!$U$5:$U$604,$B27&amp;"")&gt;0,"✓ logged","→ add"))</f>
        <v/>
      </c>
      <c r="H27">
        <f>IFERROR(IF(INDEX(FormData,24,f_Id)&amp;""="","",24),"")</f>
        <v/>
      </c>
      <c r="I27" s="16">
        <f>IF($H27="","",IFERROR(INDEX(FormData,$H27,f_Need)&amp;"",""))</f>
        <v/>
      </c>
    </row>
    <row r="28">
      <c r="A28" s="14" t="n">
        <v>24</v>
      </c>
      <c r="B28" s="14">
        <f>IF($H28="","",INDEX(FormData,$H28,f_Id))</f>
        <v/>
      </c>
      <c r="C28" s="15">
        <f>IF($H28="","",IFERROR(INDEX(FormData,$H28,f_Time),""))</f>
        <v/>
      </c>
      <c r="D28" s="14">
        <f>IF($H28="","",IFERROR(UPPER(LEFT(TRIM(INDEX(FormData,$H28,f_Name)),1)&amp;IFERROR(MID(TRIM(INDEX(FormData,$H28,f_Name)),FIND("^",SUBSTITUTE(TRIM(INDEX(FormData,$H28,f_Name))," ","^",LEN(TRIM(INDEX(FormData,$H28,f_Name)))-LEN(SUBSTITUTE(TRIM(INDEX(FormData,$H28,f_Name))," ",""))))+1,1),"")),""))</f>
        <v/>
      </c>
      <c r="E28" s="16">
        <f>IF($H28="","",IFERROR(INDEX(EvID,MATCH(INDEX(FormData,$H28,f_Event),EvID,0)),IFERROR(INDEX(EvID,MATCH(INDEX(FormData,$H28,f_Event),EvName,0)),IFERROR(INDEX(EvID,MATCH(INT($C28),EvDate,0)),"(no event that day)"))))</f>
        <v/>
      </c>
      <c r="F28" s="16">
        <f>IF($H28="","",IFERROR(IF(SUMPRODUCT(MAX((WhoKW&lt;&gt;"")*ISNUMBER(SEARCH(WhoKW,INDEX(FormData,$H28,f_Who)&amp;""))*(ROW(WhoKW)-MIN(ROW(WhoKW))+1)))=0,"",INDEX(WhoVal,SUMPRODUCT(MAX((WhoKW&lt;&gt;"")*ISNUMBER(SEARCH(WhoKW,INDEX(FormData,$H28,f_Who)&amp;""))*(ROW(WhoKW)-MIN(ROW(WhoKW))+1))))),""))</f>
        <v/>
      </c>
      <c r="G28" s="14">
        <f>IF($H28="","",IF(COUNTIF(People!$U$5:$U$604,$B28)+COUNTIF(People!$U$5:$U$604,$B28&amp;"")&gt;0,"✓ logged","→ add"))</f>
        <v/>
      </c>
      <c r="H28">
        <f>IFERROR(IF(INDEX(FormData,25,f_Id)&amp;""="","",25),"")</f>
        <v/>
      </c>
      <c r="I28" s="16">
        <f>IF($H28="","",IFERROR(INDEX(FormData,$H28,f_Need)&amp;"",""))</f>
        <v/>
      </c>
    </row>
    <row r="29">
      <c r="A29" s="14" t="n">
        <v>25</v>
      </c>
      <c r="B29" s="14">
        <f>IF($H29="","",INDEX(FormData,$H29,f_Id))</f>
        <v/>
      </c>
      <c r="C29" s="15">
        <f>IF($H29="","",IFERROR(INDEX(FormData,$H29,f_Time),""))</f>
        <v/>
      </c>
      <c r="D29" s="14">
        <f>IF($H29="","",IFERROR(UPPER(LEFT(TRIM(INDEX(FormData,$H29,f_Name)),1)&amp;IFERROR(MID(TRIM(INDEX(FormData,$H29,f_Name)),FIND("^",SUBSTITUTE(TRIM(INDEX(FormData,$H29,f_Name))," ","^",LEN(TRIM(INDEX(FormData,$H29,f_Name)))-LEN(SUBSTITUTE(TRIM(INDEX(FormData,$H29,f_Name))," ",""))))+1,1),"")),""))</f>
        <v/>
      </c>
      <c r="E29" s="16">
        <f>IF($H29="","",IFERROR(INDEX(EvID,MATCH(INDEX(FormData,$H29,f_Event),EvID,0)),IFERROR(INDEX(EvID,MATCH(INDEX(FormData,$H29,f_Event),EvName,0)),IFERROR(INDEX(EvID,MATCH(INT($C29),EvDate,0)),"(no event that day)"))))</f>
        <v/>
      </c>
      <c r="F29" s="16">
        <f>IF($H29="","",IFERROR(IF(SUMPRODUCT(MAX((WhoKW&lt;&gt;"")*ISNUMBER(SEARCH(WhoKW,INDEX(FormData,$H29,f_Who)&amp;""))*(ROW(WhoKW)-MIN(ROW(WhoKW))+1)))=0,"",INDEX(WhoVal,SUMPRODUCT(MAX((WhoKW&lt;&gt;"")*ISNUMBER(SEARCH(WhoKW,INDEX(FormData,$H29,f_Who)&amp;""))*(ROW(WhoKW)-MIN(ROW(WhoKW))+1))))),""))</f>
        <v/>
      </c>
      <c r="G29" s="14">
        <f>IF($H29="","",IF(COUNTIF(People!$U$5:$U$604,$B29)+COUNTIF(People!$U$5:$U$604,$B29&amp;"")&gt;0,"✓ logged","→ add"))</f>
        <v/>
      </c>
      <c r="H29">
        <f>IFERROR(IF(INDEX(FormData,26,f_Id)&amp;""="","",26),"")</f>
        <v/>
      </c>
      <c r="I29" s="16">
        <f>IF($H29="","",IFERROR(INDEX(FormData,$H29,f_Need)&amp;"",""))</f>
        <v/>
      </c>
    </row>
    <row r="30">
      <c r="A30" s="14" t="n">
        <v>26</v>
      </c>
      <c r="B30" s="14">
        <f>IF($H30="","",INDEX(FormData,$H30,f_Id))</f>
        <v/>
      </c>
      <c r="C30" s="15">
        <f>IF($H30="","",IFERROR(INDEX(FormData,$H30,f_Time),""))</f>
        <v/>
      </c>
      <c r="D30" s="14">
        <f>IF($H30="","",IFERROR(UPPER(LEFT(TRIM(INDEX(FormData,$H30,f_Name)),1)&amp;IFERROR(MID(TRIM(INDEX(FormData,$H30,f_Name)),FIND("^",SUBSTITUTE(TRIM(INDEX(FormData,$H30,f_Name))," ","^",LEN(TRIM(INDEX(FormData,$H30,f_Name)))-LEN(SUBSTITUTE(TRIM(INDEX(FormData,$H30,f_Name))," ",""))))+1,1),"")),""))</f>
        <v/>
      </c>
      <c r="E30" s="16">
        <f>IF($H30="","",IFERROR(INDEX(EvID,MATCH(INDEX(FormData,$H30,f_Event),EvID,0)),IFERROR(INDEX(EvID,MATCH(INDEX(FormData,$H30,f_Event),EvName,0)),IFERROR(INDEX(EvID,MATCH(INT($C30),EvDate,0)),"(no event that day)"))))</f>
        <v/>
      </c>
      <c r="F30" s="16">
        <f>IF($H30="","",IFERROR(IF(SUMPRODUCT(MAX((WhoKW&lt;&gt;"")*ISNUMBER(SEARCH(WhoKW,INDEX(FormData,$H30,f_Who)&amp;""))*(ROW(WhoKW)-MIN(ROW(WhoKW))+1)))=0,"",INDEX(WhoVal,SUMPRODUCT(MAX((WhoKW&lt;&gt;"")*ISNUMBER(SEARCH(WhoKW,INDEX(FormData,$H30,f_Who)&amp;""))*(ROW(WhoKW)-MIN(ROW(WhoKW))+1))))),""))</f>
        <v/>
      </c>
      <c r="G30" s="14">
        <f>IF($H30="","",IF(COUNTIF(People!$U$5:$U$604,$B30)+COUNTIF(People!$U$5:$U$604,$B30&amp;"")&gt;0,"✓ logged","→ add"))</f>
        <v/>
      </c>
      <c r="H30">
        <f>IFERROR(IF(INDEX(FormData,27,f_Id)&amp;""="","",27),"")</f>
        <v/>
      </c>
      <c r="I30" s="16">
        <f>IF($H30="","",IFERROR(INDEX(FormData,$H30,f_Need)&amp;"",""))</f>
        <v/>
      </c>
    </row>
    <row r="31">
      <c r="A31" s="14" t="n">
        <v>27</v>
      </c>
      <c r="B31" s="14">
        <f>IF($H31="","",INDEX(FormData,$H31,f_Id))</f>
        <v/>
      </c>
      <c r="C31" s="15">
        <f>IF($H31="","",IFERROR(INDEX(FormData,$H31,f_Time),""))</f>
        <v/>
      </c>
      <c r="D31" s="14">
        <f>IF($H31="","",IFERROR(UPPER(LEFT(TRIM(INDEX(FormData,$H31,f_Name)),1)&amp;IFERROR(MID(TRIM(INDEX(FormData,$H31,f_Name)),FIND("^",SUBSTITUTE(TRIM(INDEX(FormData,$H31,f_Name))," ","^",LEN(TRIM(INDEX(FormData,$H31,f_Name)))-LEN(SUBSTITUTE(TRIM(INDEX(FormData,$H31,f_Name))," ",""))))+1,1),"")),""))</f>
        <v/>
      </c>
      <c r="E31" s="16">
        <f>IF($H31="","",IFERROR(INDEX(EvID,MATCH(INDEX(FormData,$H31,f_Event),EvID,0)),IFERROR(INDEX(EvID,MATCH(INDEX(FormData,$H31,f_Event),EvName,0)),IFERROR(INDEX(EvID,MATCH(INT($C31),EvDate,0)),"(no event that day)"))))</f>
        <v/>
      </c>
      <c r="F31" s="16">
        <f>IF($H31="","",IFERROR(IF(SUMPRODUCT(MAX((WhoKW&lt;&gt;"")*ISNUMBER(SEARCH(WhoKW,INDEX(FormData,$H31,f_Who)&amp;""))*(ROW(WhoKW)-MIN(ROW(WhoKW))+1)))=0,"",INDEX(WhoVal,SUMPRODUCT(MAX((WhoKW&lt;&gt;"")*ISNUMBER(SEARCH(WhoKW,INDEX(FormData,$H31,f_Who)&amp;""))*(ROW(WhoKW)-MIN(ROW(WhoKW))+1))))),""))</f>
        <v/>
      </c>
      <c r="G31" s="14">
        <f>IF($H31="","",IF(COUNTIF(People!$U$5:$U$604,$B31)+COUNTIF(People!$U$5:$U$604,$B31&amp;"")&gt;0,"✓ logged","→ add"))</f>
        <v/>
      </c>
      <c r="H31">
        <f>IFERROR(IF(INDEX(FormData,28,f_Id)&amp;""="","",28),"")</f>
        <v/>
      </c>
      <c r="I31" s="16">
        <f>IF($H31="","",IFERROR(INDEX(FormData,$H31,f_Need)&amp;"",""))</f>
        <v/>
      </c>
    </row>
    <row r="32">
      <c r="A32" s="14" t="n">
        <v>28</v>
      </c>
      <c r="B32" s="14">
        <f>IF($H32="","",INDEX(FormData,$H32,f_Id))</f>
        <v/>
      </c>
      <c r="C32" s="15">
        <f>IF($H32="","",IFERROR(INDEX(FormData,$H32,f_Time),""))</f>
        <v/>
      </c>
      <c r="D32" s="14">
        <f>IF($H32="","",IFERROR(UPPER(LEFT(TRIM(INDEX(FormData,$H32,f_Name)),1)&amp;IFERROR(MID(TRIM(INDEX(FormData,$H32,f_Name)),FIND("^",SUBSTITUTE(TRIM(INDEX(FormData,$H32,f_Name))," ","^",LEN(TRIM(INDEX(FormData,$H32,f_Name)))-LEN(SUBSTITUTE(TRIM(INDEX(FormData,$H32,f_Name))," ",""))))+1,1),"")),""))</f>
        <v/>
      </c>
      <c r="E32" s="16">
        <f>IF($H32="","",IFERROR(INDEX(EvID,MATCH(INDEX(FormData,$H32,f_Event),EvID,0)),IFERROR(INDEX(EvID,MATCH(INDEX(FormData,$H32,f_Event),EvName,0)),IFERROR(INDEX(EvID,MATCH(INT($C32),EvDate,0)),"(no event that day)"))))</f>
        <v/>
      </c>
      <c r="F32" s="16">
        <f>IF($H32="","",IFERROR(IF(SUMPRODUCT(MAX((WhoKW&lt;&gt;"")*ISNUMBER(SEARCH(WhoKW,INDEX(FormData,$H32,f_Who)&amp;""))*(ROW(WhoKW)-MIN(ROW(WhoKW))+1)))=0,"",INDEX(WhoVal,SUMPRODUCT(MAX((WhoKW&lt;&gt;"")*ISNUMBER(SEARCH(WhoKW,INDEX(FormData,$H32,f_Who)&amp;""))*(ROW(WhoKW)-MIN(ROW(WhoKW))+1))))),""))</f>
        <v/>
      </c>
      <c r="G32" s="14">
        <f>IF($H32="","",IF(COUNTIF(People!$U$5:$U$604,$B32)+COUNTIF(People!$U$5:$U$604,$B32&amp;"")&gt;0,"✓ logged","→ add"))</f>
        <v/>
      </c>
      <c r="H32">
        <f>IFERROR(IF(INDEX(FormData,29,f_Id)&amp;""="","",29),"")</f>
        <v/>
      </c>
      <c r="I32" s="16">
        <f>IF($H32="","",IFERROR(INDEX(FormData,$H32,f_Need)&amp;"",""))</f>
        <v/>
      </c>
    </row>
    <row r="33">
      <c r="A33" s="14" t="n">
        <v>29</v>
      </c>
      <c r="B33" s="14">
        <f>IF($H33="","",INDEX(FormData,$H33,f_Id))</f>
        <v/>
      </c>
      <c r="C33" s="15">
        <f>IF($H33="","",IFERROR(INDEX(FormData,$H33,f_Time),""))</f>
        <v/>
      </c>
      <c r="D33" s="14">
        <f>IF($H33="","",IFERROR(UPPER(LEFT(TRIM(INDEX(FormData,$H33,f_Name)),1)&amp;IFERROR(MID(TRIM(INDEX(FormData,$H33,f_Name)),FIND("^",SUBSTITUTE(TRIM(INDEX(FormData,$H33,f_Name))," ","^",LEN(TRIM(INDEX(FormData,$H33,f_Name)))-LEN(SUBSTITUTE(TRIM(INDEX(FormData,$H33,f_Name))," ",""))))+1,1),"")),""))</f>
        <v/>
      </c>
      <c r="E33" s="16">
        <f>IF($H33="","",IFERROR(INDEX(EvID,MATCH(INDEX(FormData,$H33,f_Event),EvID,0)),IFERROR(INDEX(EvID,MATCH(INDEX(FormData,$H33,f_Event),EvName,0)),IFERROR(INDEX(EvID,MATCH(INT($C33),EvDate,0)),"(no event that day)"))))</f>
        <v/>
      </c>
      <c r="F33" s="16">
        <f>IF($H33="","",IFERROR(IF(SUMPRODUCT(MAX((WhoKW&lt;&gt;"")*ISNUMBER(SEARCH(WhoKW,INDEX(FormData,$H33,f_Who)&amp;""))*(ROW(WhoKW)-MIN(ROW(WhoKW))+1)))=0,"",INDEX(WhoVal,SUMPRODUCT(MAX((WhoKW&lt;&gt;"")*ISNUMBER(SEARCH(WhoKW,INDEX(FormData,$H33,f_Who)&amp;""))*(ROW(WhoKW)-MIN(ROW(WhoKW))+1))))),""))</f>
        <v/>
      </c>
      <c r="G33" s="14">
        <f>IF($H33="","",IF(COUNTIF(People!$U$5:$U$604,$B33)+COUNTIF(People!$U$5:$U$604,$B33&amp;"")&gt;0,"✓ logged","→ add"))</f>
        <v/>
      </c>
      <c r="H33">
        <f>IFERROR(IF(INDEX(FormData,30,f_Id)&amp;""="","",30),"")</f>
        <v/>
      </c>
      <c r="I33" s="16">
        <f>IF($H33="","",IFERROR(INDEX(FormData,$H33,f_Need)&amp;"",""))</f>
        <v/>
      </c>
    </row>
    <row r="34">
      <c r="A34" s="14" t="n">
        <v>30</v>
      </c>
      <c r="B34" s="14">
        <f>IF($H34="","",INDEX(FormData,$H34,f_Id))</f>
        <v/>
      </c>
      <c r="C34" s="15">
        <f>IF($H34="","",IFERROR(INDEX(FormData,$H34,f_Time),""))</f>
        <v/>
      </c>
      <c r="D34" s="14">
        <f>IF($H34="","",IFERROR(UPPER(LEFT(TRIM(INDEX(FormData,$H34,f_Name)),1)&amp;IFERROR(MID(TRIM(INDEX(FormData,$H34,f_Name)),FIND("^",SUBSTITUTE(TRIM(INDEX(FormData,$H34,f_Name))," ","^",LEN(TRIM(INDEX(FormData,$H34,f_Name)))-LEN(SUBSTITUTE(TRIM(INDEX(FormData,$H34,f_Name))," ",""))))+1,1),"")),""))</f>
        <v/>
      </c>
      <c r="E34" s="16">
        <f>IF($H34="","",IFERROR(INDEX(EvID,MATCH(INDEX(FormData,$H34,f_Event),EvID,0)),IFERROR(INDEX(EvID,MATCH(INDEX(FormData,$H34,f_Event),EvName,0)),IFERROR(INDEX(EvID,MATCH(INT($C34),EvDate,0)),"(no event that day)"))))</f>
        <v/>
      </c>
      <c r="F34" s="16">
        <f>IF($H34="","",IFERROR(IF(SUMPRODUCT(MAX((WhoKW&lt;&gt;"")*ISNUMBER(SEARCH(WhoKW,INDEX(FormData,$H34,f_Who)&amp;""))*(ROW(WhoKW)-MIN(ROW(WhoKW))+1)))=0,"",INDEX(WhoVal,SUMPRODUCT(MAX((WhoKW&lt;&gt;"")*ISNUMBER(SEARCH(WhoKW,INDEX(FormData,$H34,f_Who)&amp;""))*(ROW(WhoKW)-MIN(ROW(WhoKW))+1))))),""))</f>
        <v/>
      </c>
      <c r="G34" s="14">
        <f>IF($H34="","",IF(COUNTIF(People!$U$5:$U$604,$B34)+COUNTIF(People!$U$5:$U$604,$B34&amp;"")&gt;0,"✓ logged","→ add"))</f>
        <v/>
      </c>
      <c r="H34">
        <f>IFERROR(IF(INDEX(FormData,31,f_Id)&amp;""="","",31),"")</f>
        <v/>
      </c>
      <c r="I34" s="16">
        <f>IF($H34="","",IFERROR(INDEX(FormData,$H34,f_Need)&amp;"",""))</f>
        <v/>
      </c>
    </row>
    <row r="35">
      <c r="A35" s="14" t="n">
        <v>31</v>
      </c>
      <c r="B35" s="14">
        <f>IF($H35="","",INDEX(FormData,$H35,f_Id))</f>
        <v/>
      </c>
      <c r="C35" s="15">
        <f>IF($H35="","",IFERROR(INDEX(FormData,$H35,f_Time),""))</f>
        <v/>
      </c>
      <c r="D35" s="14">
        <f>IF($H35="","",IFERROR(UPPER(LEFT(TRIM(INDEX(FormData,$H35,f_Name)),1)&amp;IFERROR(MID(TRIM(INDEX(FormData,$H35,f_Name)),FIND("^",SUBSTITUTE(TRIM(INDEX(FormData,$H35,f_Name))," ","^",LEN(TRIM(INDEX(FormData,$H35,f_Name)))-LEN(SUBSTITUTE(TRIM(INDEX(FormData,$H35,f_Name))," ",""))))+1,1),"")),""))</f>
        <v/>
      </c>
      <c r="E35" s="16">
        <f>IF($H35="","",IFERROR(INDEX(EvID,MATCH(INDEX(FormData,$H35,f_Event),EvID,0)),IFERROR(INDEX(EvID,MATCH(INDEX(FormData,$H35,f_Event),EvName,0)),IFERROR(INDEX(EvID,MATCH(INT($C35),EvDate,0)),"(no event that day)"))))</f>
        <v/>
      </c>
      <c r="F35" s="16">
        <f>IF($H35="","",IFERROR(IF(SUMPRODUCT(MAX((WhoKW&lt;&gt;"")*ISNUMBER(SEARCH(WhoKW,INDEX(FormData,$H35,f_Who)&amp;""))*(ROW(WhoKW)-MIN(ROW(WhoKW))+1)))=0,"",INDEX(WhoVal,SUMPRODUCT(MAX((WhoKW&lt;&gt;"")*ISNUMBER(SEARCH(WhoKW,INDEX(FormData,$H35,f_Who)&amp;""))*(ROW(WhoKW)-MIN(ROW(WhoKW))+1))))),""))</f>
        <v/>
      </c>
      <c r="G35" s="14">
        <f>IF($H35="","",IF(COUNTIF(People!$U$5:$U$604,$B35)+COUNTIF(People!$U$5:$U$604,$B35&amp;"")&gt;0,"✓ logged","→ add"))</f>
        <v/>
      </c>
      <c r="H35">
        <f>IFERROR(IF(INDEX(FormData,32,f_Id)&amp;""="","",32),"")</f>
        <v/>
      </c>
      <c r="I35" s="16">
        <f>IF($H35="","",IFERROR(INDEX(FormData,$H35,f_Need)&amp;"",""))</f>
        <v/>
      </c>
    </row>
    <row r="36">
      <c r="A36" s="14" t="n">
        <v>32</v>
      </c>
      <c r="B36" s="14">
        <f>IF($H36="","",INDEX(FormData,$H36,f_Id))</f>
        <v/>
      </c>
      <c r="C36" s="15">
        <f>IF($H36="","",IFERROR(INDEX(FormData,$H36,f_Time),""))</f>
        <v/>
      </c>
      <c r="D36" s="14">
        <f>IF($H36="","",IFERROR(UPPER(LEFT(TRIM(INDEX(FormData,$H36,f_Name)),1)&amp;IFERROR(MID(TRIM(INDEX(FormData,$H36,f_Name)),FIND("^",SUBSTITUTE(TRIM(INDEX(FormData,$H36,f_Name))," ","^",LEN(TRIM(INDEX(FormData,$H36,f_Name)))-LEN(SUBSTITUTE(TRIM(INDEX(FormData,$H36,f_Name))," ",""))))+1,1),"")),""))</f>
        <v/>
      </c>
      <c r="E36" s="16">
        <f>IF($H36="","",IFERROR(INDEX(EvID,MATCH(INDEX(FormData,$H36,f_Event),EvID,0)),IFERROR(INDEX(EvID,MATCH(INDEX(FormData,$H36,f_Event),EvName,0)),IFERROR(INDEX(EvID,MATCH(INT($C36),EvDate,0)),"(no event that day)"))))</f>
        <v/>
      </c>
      <c r="F36" s="16">
        <f>IF($H36="","",IFERROR(IF(SUMPRODUCT(MAX((WhoKW&lt;&gt;"")*ISNUMBER(SEARCH(WhoKW,INDEX(FormData,$H36,f_Who)&amp;""))*(ROW(WhoKW)-MIN(ROW(WhoKW))+1)))=0,"",INDEX(WhoVal,SUMPRODUCT(MAX((WhoKW&lt;&gt;"")*ISNUMBER(SEARCH(WhoKW,INDEX(FormData,$H36,f_Who)&amp;""))*(ROW(WhoKW)-MIN(ROW(WhoKW))+1))))),""))</f>
        <v/>
      </c>
      <c r="G36" s="14">
        <f>IF($H36="","",IF(COUNTIF(People!$U$5:$U$604,$B36)+COUNTIF(People!$U$5:$U$604,$B36&amp;"")&gt;0,"✓ logged","→ add"))</f>
        <v/>
      </c>
      <c r="H36">
        <f>IFERROR(IF(INDEX(FormData,33,f_Id)&amp;""="","",33),"")</f>
        <v/>
      </c>
      <c r="I36" s="16">
        <f>IF($H36="","",IFERROR(INDEX(FormData,$H36,f_Need)&amp;"",""))</f>
        <v/>
      </c>
    </row>
    <row r="37">
      <c r="A37" s="14" t="n">
        <v>33</v>
      </c>
      <c r="B37" s="14">
        <f>IF($H37="","",INDEX(FormData,$H37,f_Id))</f>
        <v/>
      </c>
      <c r="C37" s="15">
        <f>IF($H37="","",IFERROR(INDEX(FormData,$H37,f_Time),""))</f>
        <v/>
      </c>
      <c r="D37" s="14">
        <f>IF($H37="","",IFERROR(UPPER(LEFT(TRIM(INDEX(FormData,$H37,f_Name)),1)&amp;IFERROR(MID(TRIM(INDEX(FormData,$H37,f_Name)),FIND("^",SUBSTITUTE(TRIM(INDEX(FormData,$H37,f_Name))," ","^",LEN(TRIM(INDEX(FormData,$H37,f_Name)))-LEN(SUBSTITUTE(TRIM(INDEX(FormData,$H37,f_Name))," ",""))))+1,1),"")),""))</f>
        <v/>
      </c>
      <c r="E37" s="16">
        <f>IF($H37="","",IFERROR(INDEX(EvID,MATCH(INDEX(FormData,$H37,f_Event),EvID,0)),IFERROR(INDEX(EvID,MATCH(INDEX(FormData,$H37,f_Event),EvName,0)),IFERROR(INDEX(EvID,MATCH(INT($C37),EvDate,0)),"(no event that day)"))))</f>
        <v/>
      </c>
      <c r="F37" s="16">
        <f>IF($H37="","",IFERROR(IF(SUMPRODUCT(MAX((WhoKW&lt;&gt;"")*ISNUMBER(SEARCH(WhoKW,INDEX(FormData,$H37,f_Who)&amp;""))*(ROW(WhoKW)-MIN(ROW(WhoKW))+1)))=0,"",INDEX(WhoVal,SUMPRODUCT(MAX((WhoKW&lt;&gt;"")*ISNUMBER(SEARCH(WhoKW,INDEX(FormData,$H37,f_Who)&amp;""))*(ROW(WhoKW)-MIN(ROW(WhoKW))+1))))),""))</f>
        <v/>
      </c>
      <c r="G37" s="14">
        <f>IF($H37="","",IF(COUNTIF(People!$U$5:$U$604,$B37)+COUNTIF(People!$U$5:$U$604,$B37&amp;"")&gt;0,"✓ logged","→ add"))</f>
        <v/>
      </c>
      <c r="H37">
        <f>IFERROR(IF(INDEX(FormData,34,f_Id)&amp;""="","",34),"")</f>
        <v/>
      </c>
      <c r="I37" s="16">
        <f>IF($H37="","",IFERROR(INDEX(FormData,$H37,f_Need)&amp;"",""))</f>
        <v/>
      </c>
    </row>
    <row r="38">
      <c r="A38" s="14" t="n">
        <v>34</v>
      </c>
      <c r="B38" s="14">
        <f>IF($H38="","",INDEX(FormData,$H38,f_Id))</f>
        <v/>
      </c>
      <c r="C38" s="15">
        <f>IF($H38="","",IFERROR(INDEX(FormData,$H38,f_Time),""))</f>
        <v/>
      </c>
      <c r="D38" s="14">
        <f>IF($H38="","",IFERROR(UPPER(LEFT(TRIM(INDEX(FormData,$H38,f_Name)),1)&amp;IFERROR(MID(TRIM(INDEX(FormData,$H38,f_Name)),FIND("^",SUBSTITUTE(TRIM(INDEX(FormData,$H38,f_Name))," ","^",LEN(TRIM(INDEX(FormData,$H38,f_Name)))-LEN(SUBSTITUTE(TRIM(INDEX(FormData,$H38,f_Name))," ",""))))+1,1),"")),""))</f>
        <v/>
      </c>
      <c r="E38" s="16">
        <f>IF($H38="","",IFERROR(INDEX(EvID,MATCH(INDEX(FormData,$H38,f_Event),EvID,0)),IFERROR(INDEX(EvID,MATCH(INDEX(FormData,$H38,f_Event),EvName,0)),IFERROR(INDEX(EvID,MATCH(INT($C38),EvDate,0)),"(no event that day)"))))</f>
        <v/>
      </c>
      <c r="F38" s="16">
        <f>IF($H38="","",IFERROR(IF(SUMPRODUCT(MAX((WhoKW&lt;&gt;"")*ISNUMBER(SEARCH(WhoKW,INDEX(FormData,$H38,f_Who)&amp;""))*(ROW(WhoKW)-MIN(ROW(WhoKW))+1)))=0,"",INDEX(WhoVal,SUMPRODUCT(MAX((WhoKW&lt;&gt;"")*ISNUMBER(SEARCH(WhoKW,INDEX(FormData,$H38,f_Who)&amp;""))*(ROW(WhoKW)-MIN(ROW(WhoKW))+1))))),""))</f>
        <v/>
      </c>
      <c r="G38" s="14">
        <f>IF($H38="","",IF(COUNTIF(People!$U$5:$U$604,$B38)+COUNTIF(People!$U$5:$U$604,$B38&amp;"")&gt;0,"✓ logged","→ add"))</f>
        <v/>
      </c>
      <c r="H38">
        <f>IFERROR(IF(INDEX(FormData,35,f_Id)&amp;""="","",35),"")</f>
        <v/>
      </c>
      <c r="I38" s="16">
        <f>IF($H38="","",IFERROR(INDEX(FormData,$H38,f_Need)&amp;"",""))</f>
        <v/>
      </c>
    </row>
    <row r="39">
      <c r="A39" s="14" t="n">
        <v>35</v>
      </c>
      <c r="B39" s="14">
        <f>IF($H39="","",INDEX(FormData,$H39,f_Id))</f>
        <v/>
      </c>
      <c r="C39" s="15">
        <f>IF($H39="","",IFERROR(INDEX(FormData,$H39,f_Time),""))</f>
        <v/>
      </c>
      <c r="D39" s="14">
        <f>IF($H39="","",IFERROR(UPPER(LEFT(TRIM(INDEX(FormData,$H39,f_Name)),1)&amp;IFERROR(MID(TRIM(INDEX(FormData,$H39,f_Name)),FIND("^",SUBSTITUTE(TRIM(INDEX(FormData,$H39,f_Name))," ","^",LEN(TRIM(INDEX(FormData,$H39,f_Name)))-LEN(SUBSTITUTE(TRIM(INDEX(FormData,$H39,f_Name))," ",""))))+1,1),"")),""))</f>
        <v/>
      </c>
      <c r="E39" s="16">
        <f>IF($H39="","",IFERROR(INDEX(EvID,MATCH(INDEX(FormData,$H39,f_Event),EvID,0)),IFERROR(INDEX(EvID,MATCH(INDEX(FormData,$H39,f_Event),EvName,0)),IFERROR(INDEX(EvID,MATCH(INT($C39),EvDate,0)),"(no event that day)"))))</f>
        <v/>
      </c>
      <c r="F39" s="16">
        <f>IF($H39="","",IFERROR(IF(SUMPRODUCT(MAX((WhoKW&lt;&gt;"")*ISNUMBER(SEARCH(WhoKW,INDEX(FormData,$H39,f_Who)&amp;""))*(ROW(WhoKW)-MIN(ROW(WhoKW))+1)))=0,"",INDEX(WhoVal,SUMPRODUCT(MAX((WhoKW&lt;&gt;"")*ISNUMBER(SEARCH(WhoKW,INDEX(FormData,$H39,f_Who)&amp;""))*(ROW(WhoKW)-MIN(ROW(WhoKW))+1))))),""))</f>
        <v/>
      </c>
      <c r="G39" s="14">
        <f>IF($H39="","",IF(COUNTIF(People!$U$5:$U$604,$B39)+COUNTIF(People!$U$5:$U$604,$B39&amp;"")&gt;0,"✓ logged","→ add"))</f>
        <v/>
      </c>
      <c r="H39">
        <f>IFERROR(IF(INDEX(FormData,36,f_Id)&amp;""="","",36),"")</f>
        <v/>
      </c>
      <c r="I39" s="16">
        <f>IF($H39="","",IFERROR(INDEX(FormData,$H39,f_Need)&amp;"",""))</f>
        <v/>
      </c>
    </row>
    <row r="40">
      <c r="A40" s="14" t="n">
        <v>36</v>
      </c>
      <c r="B40" s="14">
        <f>IF($H40="","",INDEX(FormData,$H40,f_Id))</f>
        <v/>
      </c>
      <c r="C40" s="15">
        <f>IF($H40="","",IFERROR(INDEX(FormData,$H40,f_Time),""))</f>
        <v/>
      </c>
      <c r="D40" s="14">
        <f>IF($H40="","",IFERROR(UPPER(LEFT(TRIM(INDEX(FormData,$H40,f_Name)),1)&amp;IFERROR(MID(TRIM(INDEX(FormData,$H40,f_Name)),FIND("^",SUBSTITUTE(TRIM(INDEX(FormData,$H40,f_Name))," ","^",LEN(TRIM(INDEX(FormData,$H40,f_Name)))-LEN(SUBSTITUTE(TRIM(INDEX(FormData,$H40,f_Name))," ",""))))+1,1),"")),""))</f>
        <v/>
      </c>
      <c r="E40" s="16">
        <f>IF($H40="","",IFERROR(INDEX(EvID,MATCH(INDEX(FormData,$H40,f_Event),EvID,0)),IFERROR(INDEX(EvID,MATCH(INDEX(FormData,$H40,f_Event),EvName,0)),IFERROR(INDEX(EvID,MATCH(INT($C40),EvDate,0)),"(no event that day)"))))</f>
        <v/>
      </c>
      <c r="F40" s="16">
        <f>IF($H40="","",IFERROR(IF(SUMPRODUCT(MAX((WhoKW&lt;&gt;"")*ISNUMBER(SEARCH(WhoKW,INDEX(FormData,$H40,f_Who)&amp;""))*(ROW(WhoKW)-MIN(ROW(WhoKW))+1)))=0,"",INDEX(WhoVal,SUMPRODUCT(MAX((WhoKW&lt;&gt;"")*ISNUMBER(SEARCH(WhoKW,INDEX(FormData,$H40,f_Who)&amp;""))*(ROW(WhoKW)-MIN(ROW(WhoKW))+1))))),""))</f>
        <v/>
      </c>
      <c r="G40" s="14">
        <f>IF($H40="","",IF(COUNTIF(People!$U$5:$U$604,$B40)+COUNTIF(People!$U$5:$U$604,$B40&amp;"")&gt;0,"✓ logged","→ add"))</f>
        <v/>
      </c>
      <c r="H40">
        <f>IFERROR(IF(INDEX(FormData,37,f_Id)&amp;""="","",37),"")</f>
        <v/>
      </c>
      <c r="I40" s="16">
        <f>IF($H40="","",IFERROR(INDEX(FormData,$H40,f_Need)&amp;"",""))</f>
        <v/>
      </c>
    </row>
    <row r="41">
      <c r="A41" s="14" t="n">
        <v>37</v>
      </c>
      <c r="B41" s="14">
        <f>IF($H41="","",INDEX(FormData,$H41,f_Id))</f>
        <v/>
      </c>
      <c r="C41" s="15">
        <f>IF($H41="","",IFERROR(INDEX(FormData,$H41,f_Time),""))</f>
        <v/>
      </c>
      <c r="D41" s="14">
        <f>IF($H41="","",IFERROR(UPPER(LEFT(TRIM(INDEX(FormData,$H41,f_Name)),1)&amp;IFERROR(MID(TRIM(INDEX(FormData,$H41,f_Name)),FIND("^",SUBSTITUTE(TRIM(INDEX(FormData,$H41,f_Name))," ","^",LEN(TRIM(INDEX(FormData,$H41,f_Name)))-LEN(SUBSTITUTE(TRIM(INDEX(FormData,$H41,f_Name))," ",""))))+1,1),"")),""))</f>
        <v/>
      </c>
      <c r="E41" s="16">
        <f>IF($H41="","",IFERROR(INDEX(EvID,MATCH(INDEX(FormData,$H41,f_Event),EvID,0)),IFERROR(INDEX(EvID,MATCH(INDEX(FormData,$H41,f_Event),EvName,0)),IFERROR(INDEX(EvID,MATCH(INT($C41),EvDate,0)),"(no event that day)"))))</f>
        <v/>
      </c>
      <c r="F41" s="16">
        <f>IF($H41="","",IFERROR(IF(SUMPRODUCT(MAX((WhoKW&lt;&gt;"")*ISNUMBER(SEARCH(WhoKW,INDEX(FormData,$H41,f_Who)&amp;""))*(ROW(WhoKW)-MIN(ROW(WhoKW))+1)))=0,"",INDEX(WhoVal,SUMPRODUCT(MAX((WhoKW&lt;&gt;"")*ISNUMBER(SEARCH(WhoKW,INDEX(FormData,$H41,f_Who)&amp;""))*(ROW(WhoKW)-MIN(ROW(WhoKW))+1))))),""))</f>
        <v/>
      </c>
      <c r="G41" s="14">
        <f>IF($H41="","",IF(COUNTIF(People!$U$5:$U$604,$B41)+COUNTIF(People!$U$5:$U$604,$B41&amp;"")&gt;0,"✓ logged","→ add"))</f>
        <v/>
      </c>
      <c r="H41">
        <f>IFERROR(IF(INDEX(FormData,38,f_Id)&amp;""="","",38),"")</f>
        <v/>
      </c>
      <c r="I41" s="16">
        <f>IF($H41="","",IFERROR(INDEX(FormData,$H41,f_Need)&amp;"",""))</f>
        <v/>
      </c>
    </row>
    <row r="42">
      <c r="A42" s="14" t="n">
        <v>38</v>
      </c>
      <c r="B42" s="14">
        <f>IF($H42="","",INDEX(FormData,$H42,f_Id))</f>
        <v/>
      </c>
      <c r="C42" s="15">
        <f>IF($H42="","",IFERROR(INDEX(FormData,$H42,f_Time),""))</f>
        <v/>
      </c>
      <c r="D42" s="14">
        <f>IF($H42="","",IFERROR(UPPER(LEFT(TRIM(INDEX(FormData,$H42,f_Name)),1)&amp;IFERROR(MID(TRIM(INDEX(FormData,$H42,f_Name)),FIND("^",SUBSTITUTE(TRIM(INDEX(FormData,$H42,f_Name))," ","^",LEN(TRIM(INDEX(FormData,$H42,f_Name)))-LEN(SUBSTITUTE(TRIM(INDEX(FormData,$H42,f_Name))," ",""))))+1,1),"")),""))</f>
        <v/>
      </c>
      <c r="E42" s="16">
        <f>IF($H42="","",IFERROR(INDEX(EvID,MATCH(INDEX(FormData,$H42,f_Event),EvID,0)),IFERROR(INDEX(EvID,MATCH(INDEX(FormData,$H42,f_Event),EvName,0)),IFERROR(INDEX(EvID,MATCH(INT($C42),EvDate,0)),"(no event that day)"))))</f>
        <v/>
      </c>
      <c r="F42" s="16">
        <f>IF($H42="","",IFERROR(IF(SUMPRODUCT(MAX((WhoKW&lt;&gt;"")*ISNUMBER(SEARCH(WhoKW,INDEX(FormData,$H42,f_Who)&amp;""))*(ROW(WhoKW)-MIN(ROW(WhoKW))+1)))=0,"",INDEX(WhoVal,SUMPRODUCT(MAX((WhoKW&lt;&gt;"")*ISNUMBER(SEARCH(WhoKW,INDEX(FormData,$H42,f_Who)&amp;""))*(ROW(WhoKW)-MIN(ROW(WhoKW))+1))))),""))</f>
        <v/>
      </c>
      <c r="G42" s="14">
        <f>IF($H42="","",IF(COUNTIF(People!$U$5:$U$604,$B42)+COUNTIF(People!$U$5:$U$604,$B42&amp;"")&gt;0,"✓ logged","→ add"))</f>
        <v/>
      </c>
      <c r="H42">
        <f>IFERROR(IF(INDEX(FormData,39,f_Id)&amp;""="","",39),"")</f>
        <v/>
      </c>
      <c r="I42" s="16">
        <f>IF($H42="","",IFERROR(INDEX(FormData,$H42,f_Need)&amp;"",""))</f>
        <v/>
      </c>
    </row>
    <row r="43">
      <c r="A43" s="14" t="n">
        <v>39</v>
      </c>
      <c r="B43" s="14">
        <f>IF($H43="","",INDEX(FormData,$H43,f_Id))</f>
        <v/>
      </c>
      <c r="C43" s="15">
        <f>IF($H43="","",IFERROR(INDEX(FormData,$H43,f_Time),""))</f>
        <v/>
      </c>
      <c r="D43" s="14">
        <f>IF($H43="","",IFERROR(UPPER(LEFT(TRIM(INDEX(FormData,$H43,f_Name)),1)&amp;IFERROR(MID(TRIM(INDEX(FormData,$H43,f_Name)),FIND("^",SUBSTITUTE(TRIM(INDEX(FormData,$H43,f_Name))," ","^",LEN(TRIM(INDEX(FormData,$H43,f_Name)))-LEN(SUBSTITUTE(TRIM(INDEX(FormData,$H43,f_Name))," ",""))))+1,1),"")),""))</f>
        <v/>
      </c>
      <c r="E43" s="16">
        <f>IF($H43="","",IFERROR(INDEX(EvID,MATCH(INDEX(FormData,$H43,f_Event),EvID,0)),IFERROR(INDEX(EvID,MATCH(INDEX(FormData,$H43,f_Event),EvName,0)),IFERROR(INDEX(EvID,MATCH(INT($C43),EvDate,0)),"(no event that day)"))))</f>
        <v/>
      </c>
      <c r="F43" s="16">
        <f>IF($H43="","",IFERROR(IF(SUMPRODUCT(MAX((WhoKW&lt;&gt;"")*ISNUMBER(SEARCH(WhoKW,INDEX(FormData,$H43,f_Who)&amp;""))*(ROW(WhoKW)-MIN(ROW(WhoKW))+1)))=0,"",INDEX(WhoVal,SUMPRODUCT(MAX((WhoKW&lt;&gt;"")*ISNUMBER(SEARCH(WhoKW,INDEX(FormData,$H43,f_Who)&amp;""))*(ROW(WhoKW)-MIN(ROW(WhoKW))+1))))),""))</f>
        <v/>
      </c>
      <c r="G43" s="14">
        <f>IF($H43="","",IF(COUNTIF(People!$U$5:$U$604,$B43)+COUNTIF(People!$U$5:$U$604,$B43&amp;"")&gt;0,"✓ logged","→ add"))</f>
        <v/>
      </c>
      <c r="H43">
        <f>IFERROR(IF(INDEX(FormData,40,f_Id)&amp;""="","",40),"")</f>
        <v/>
      </c>
      <c r="I43" s="16">
        <f>IF($H43="","",IFERROR(INDEX(FormData,$H43,f_Need)&amp;"",""))</f>
        <v/>
      </c>
    </row>
    <row r="44">
      <c r="A44" s="14" t="n">
        <v>40</v>
      </c>
      <c r="B44" s="14">
        <f>IF($H44="","",INDEX(FormData,$H44,f_Id))</f>
        <v/>
      </c>
      <c r="C44" s="15">
        <f>IF($H44="","",IFERROR(INDEX(FormData,$H44,f_Time),""))</f>
        <v/>
      </c>
      <c r="D44" s="14">
        <f>IF($H44="","",IFERROR(UPPER(LEFT(TRIM(INDEX(FormData,$H44,f_Name)),1)&amp;IFERROR(MID(TRIM(INDEX(FormData,$H44,f_Name)),FIND("^",SUBSTITUTE(TRIM(INDEX(FormData,$H44,f_Name))," ","^",LEN(TRIM(INDEX(FormData,$H44,f_Name)))-LEN(SUBSTITUTE(TRIM(INDEX(FormData,$H44,f_Name))," ",""))))+1,1),"")),""))</f>
        <v/>
      </c>
      <c r="E44" s="16">
        <f>IF($H44="","",IFERROR(INDEX(EvID,MATCH(INDEX(FormData,$H44,f_Event),EvID,0)),IFERROR(INDEX(EvID,MATCH(INDEX(FormData,$H44,f_Event),EvName,0)),IFERROR(INDEX(EvID,MATCH(INT($C44),EvDate,0)),"(no event that day)"))))</f>
        <v/>
      </c>
      <c r="F44" s="16">
        <f>IF($H44="","",IFERROR(IF(SUMPRODUCT(MAX((WhoKW&lt;&gt;"")*ISNUMBER(SEARCH(WhoKW,INDEX(FormData,$H44,f_Who)&amp;""))*(ROW(WhoKW)-MIN(ROW(WhoKW))+1)))=0,"",INDEX(WhoVal,SUMPRODUCT(MAX((WhoKW&lt;&gt;"")*ISNUMBER(SEARCH(WhoKW,INDEX(FormData,$H44,f_Who)&amp;""))*(ROW(WhoKW)-MIN(ROW(WhoKW))+1))))),""))</f>
        <v/>
      </c>
      <c r="G44" s="14">
        <f>IF($H44="","",IF(COUNTIF(People!$U$5:$U$604,$B44)+COUNTIF(People!$U$5:$U$604,$B44&amp;"")&gt;0,"✓ logged","→ add"))</f>
        <v/>
      </c>
      <c r="H44">
        <f>IFERROR(IF(INDEX(FormData,41,f_Id)&amp;""="","",41),"")</f>
        <v/>
      </c>
      <c r="I44" s="16">
        <f>IF($H44="","",IFERROR(INDEX(FormData,$H44,f_Need)&amp;"",""))</f>
        <v/>
      </c>
    </row>
    <row r="45">
      <c r="A45" s="14" t="n">
        <v>41</v>
      </c>
      <c r="B45" s="14">
        <f>IF($H45="","",INDEX(FormData,$H45,f_Id))</f>
        <v/>
      </c>
      <c r="C45" s="15">
        <f>IF($H45="","",IFERROR(INDEX(FormData,$H45,f_Time),""))</f>
        <v/>
      </c>
      <c r="D45" s="14">
        <f>IF($H45="","",IFERROR(UPPER(LEFT(TRIM(INDEX(FormData,$H45,f_Name)),1)&amp;IFERROR(MID(TRIM(INDEX(FormData,$H45,f_Name)),FIND("^",SUBSTITUTE(TRIM(INDEX(FormData,$H45,f_Name))," ","^",LEN(TRIM(INDEX(FormData,$H45,f_Name)))-LEN(SUBSTITUTE(TRIM(INDEX(FormData,$H45,f_Name))," ",""))))+1,1),"")),""))</f>
        <v/>
      </c>
      <c r="E45" s="16">
        <f>IF($H45="","",IFERROR(INDEX(EvID,MATCH(INDEX(FormData,$H45,f_Event),EvID,0)),IFERROR(INDEX(EvID,MATCH(INDEX(FormData,$H45,f_Event),EvName,0)),IFERROR(INDEX(EvID,MATCH(INT($C45),EvDate,0)),"(no event that day)"))))</f>
        <v/>
      </c>
      <c r="F45" s="16">
        <f>IF($H45="","",IFERROR(IF(SUMPRODUCT(MAX((WhoKW&lt;&gt;"")*ISNUMBER(SEARCH(WhoKW,INDEX(FormData,$H45,f_Who)&amp;""))*(ROW(WhoKW)-MIN(ROW(WhoKW))+1)))=0,"",INDEX(WhoVal,SUMPRODUCT(MAX((WhoKW&lt;&gt;"")*ISNUMBER(SEARCH(WhoKW,INDEX(FormData,$H45,f_Who)&amp;""))*(ROW(WhoKW)-MIN(ROW(WhoKW))+1))))),""))</f>
        <v/>
      </c>
      <c r="G45" s="14">
        <f>IF($H45="","",IF(COUNTIF(People!$U$5:$U$604,$B45)+COUNTIF(People!$U$5:$U$604,$B45&amp;"")&gt;0,"✓ logged","→ add"))</f>
        <v/>
      </c>
      <c r="H45">
        <f>IFERROR(IF(INDEX(FormData,42,f_Id)&amp;""="","",42),"")</f>
        <v/>
      </c>
      <c r="I45" s="16">
        <f>IF($H45="","",IFERROR(INDEX(FormData,$H45,f_Need)&amp;"",""))</f>
        <v/>
      </c>
    </row>
    <row r="46">
      <c r="A46" s="14" t="n">
        <v>42</v>
      </c>
      <c r="B46" s="14">
        <f>IF($H46="","",INDEX(FormData,$H46,f_Id))</f>
        <v/>
      </c>
      <c r="C46" s="15">
        <f>IF($H46="","",IFERROR(INDEX(FormData,$H46,f_Time),""))</f>
        <v/>
      </c>
      <c r="D46" s="14">
        <f>IF($H46="","",IFERROR(UPPER(LEFT(TRIM(INDEX(FormData,$H46,f_Name)),1)&amp;IFERROR(MID(TRIM(INDEX(FormData,$H46,f_Name)),FIND("^",SUBSTITUTE(TRIM(INDEX(FormData,$H46,f_Name))," ","^",LEN(TRIM(INDEX(FormData,$H46,f_Name)))-LEN(SUBSTITUTE(TRIM(INDEX(FormData,$H46,f_Name))," ",""))))+1,1),"")),""))</f>
        <v/>
      </c>
      <c r="E46" s="16">
        <f>IF($H46="","",IFERROR(INDEX(EvID,MATCH(INDEX(FormData,$H46,f_Event),EvID,0)),IFERROR(INDEX(EvID,MATCH(INDEX(FormData,$H46,f_Event),EvName,0)),IFERROR(INDEX(EvID,MATCH(INT($C46),EvDate,0)),"(no event that day)"))))</f>
        <v/>
      </c>
      <c r="F46" s="16">
        <f>IF($H46="","",IFERROR(IF(SUMPRODUCT(MAX((WhoKW&lt;&gt;"")*ISNUMBER(SEARCH(WhoKW,INDEX(FormData,$H46,f_Who)&amp;""))*(ROW(WhoKW)-MIN(ROW(WhoKW))+1)))=0,"",INDEX(WhoVal,SUMPRODUCT(MAX((WhoKW&lt;&gt;"")*ISNUMBER(SEARCH(WhoKW,INDEX(FormData,$H46,f_Who)&amp;""))*(ROW(WhoKW)-MIN(ROW(WhoKW))+1))))),""))</f>
        <v/>
      </c>
      <c r="G46" s="14">
        <f>IF($H46="","",IF(COUNTIF(People!$U$5:$U$604,$B46)+COUNTIF(People!$U$5:$U$604,$B46&amp;"")&gt;0,"✓ logged","→ add"))</f>
        <v/>
      </c>
      <c r="H46">
        <f>IFERROR(IF(INDEX(FormData,43,f_Id)&amp;""="","",43),"")</f>
        <v/>
      </c>
      <c r="I46" s="16">
        <f>IF($H46="","",IFERROR(INDEX(FormData,$H46,f_Need)&amp;"",""))</f>
        <v/>
      </c>
    </row>
    <row r="47">
      <c r="A47" s="14" t="n">
        <v>43</v>
      </c>
      <c r="B47" s="14">
        <f>IF($H47="","",INDEX(FormData,$H47,f_Id))</f>
        <v/>
      </c>
      <c r="C47" s="15">
        <f>IF($H47="","",IFERROR(INDEX(FormData,$H47,f_Time),""))</f>
        <v/>
      </c>
      <c r="D47" s="14">
        <f>IF($H47="","",IFERROR(UPPER(LEFT(TRIM(INDEX(FormData,$H47,f_Name)),1)&amp;IFERROR(MID(TRIM(INDEX(FormData,$H47,f_Name)),FIND("^",SUBSTITUTE(TRIM(INDEX(FormData,$H47,f_Name))," ","^",LEN(TRIM(INDEX(FormData,$H47,f_Name)))-LEN(SUBSTITUTE(TRIM(INDEX(FormData,$H47,f_Name))," ",""))))+1,1),"")),""))</f>
        <v/>
      </c>
      <c r="E47" s="16">
        <f>IF($H47="","",IFERROR(INDEX(EvID,MATCH(INDEX(FormData,$H47,f_Event),EvID,0)),IFERROR(INDEX(EvID,MATCH(INDEX(FormData,$H47,f_Event),EvName,0)),IFERROR(INDEX(EvID,MATCH(INT($C47),EvDate,0)),"(no event that day)"))))</f>
        <v/>
      </c>
      <c r="F47" s="16">
        <f>IF($H47="","",IFERROR(IF(SUMPRODUCT(MAX((WhoKW&lt;&gt;"")*ISNUMBER(SEARCH(WhoKW,INDEX(FormData,$H47,f_Who)&amp;""))*(ROW(WhoKW)-MIN(ROW(WhoKW))+1)))=0,"",INDEX(WhoVal,SUMPRODUCT(MAX((WhoKW&lt;&gt;"")*ISNUMBER(SEARCH(WhoKW,INDEX(FormData,$H47,f_Who)&amp;""))*(ROW(WhoKW)-MIN(ROW(WhoKW))+1))))),""))</f>
        <v/>
      </c>
      <c r="G47" s="14">
        <f>IF($H47="","",IF(COUNTIF(People!$U$5:$U$604,$B47)+COUNTIF(People!$U$5:$U$604,$B47&amp;"")&gt;0,"✓ logged","→ add"))</f>
        <v/>
      </c>
      <c r="H47">
        <f>IFERROR(IF(INDEX(FormData,44,f_Id)&amp;""="","",44),"")</f>
        <v/>
      </c>
      <c r="I47" s="16">
        <f>IF($H47="","",IFERROR(INDEX(FormData,$H47,f_Need)&amp;"",""))</f>
        <v/>
      </c>
    </row>
    <row r="48">
      <c r="A48" s="14" t="n">
        <v>44</v>
      </c>
      <c r="B48" s="14">
        <f>IF($H48="","",INDEX(FormData,$H48,f_Id))</f>
        <v/>
      </c>
      <c r="C48" s="15">
        <f>IF($H48="","",IFERROR(INDEX(FormData,$H48,f_Time),""))</f>
        <v/>
      </c>
      <c r="D48" s="14">
        <f>IF($H48="","",IFERROR(UPPER(LEFT(TRIM(INDEX(FormData,$H48,f_Name)),1)&amp;IFERROR(MID(TRIM(INDEX(FormData,$H48,f_Name)),FIND("^",SUBSTITUTE(TRIM(INDEX(FormData,$H48,f_Name))," ","^",LEN(TRIM(INDEX(FormData,$H48,f_Name)))-LEN(SUBSTITUTE(TRIM(INDEX(FormData,$H48,f_Name))," ",""))))+1,1),"")),""))</f>
        <v/>
      </c>
      <c r="E48" s="16">
        <f>IF($H48="","",IFERROR(INDEX(EvID,MATCH(INDEX(FormData,$H48,f_Event),EvID,0)),IFERROR(INDEX(EvID,MATCH(INDEX(FormData,$H48,f_Event),EvName,0)),IFERROR(INDEX(EvID,MATCH(INT($C48),EvDate,0)),"(no event that day)"))))</f>
        <v/>
      </c>
      <c r="F48" s="16">
        <f>IF($H48="","",IFERROR(IF(SUMPRODUCT(MAX((WhoKW&lt;&gt;"")*ISNUMBER(SEARCH(WhoKW,INDEX(FormData,$H48,f_Who)&amp;""))*(ROW(WhoKW)-MIN(ROW(WhoKW))+1)))=0,"",INDEX(WhoVal,SUMPRODUCT(MAX((WhoKW&lt;&gt;"")*ISNUMBER(SEARCH(WhoKW,INDEX(FormData,$H48,f_Who)&amp;""))*(ROW(WhoKW)-MIN(ROW(WhoKW))+1))))),""))</f>
        <v/>
      </c>
      <c r="G48" s="14">
        <f>IF($H48="","",IF(COUNTIF(People!$U$5:$U$604,$B48)+COUNTIF(People!$U$5:$U$604,$B48&amp;"")&gt;0,"✓ logged","→ add"))</f>
        <v/>
      </c>
      <c r="H48">
        <f>IFERROR(IF(INDEX(FormData,45,f_Id)&amp;""="","",45),"")</f>
        <v/>
      </c>
      <c r="I48" s="16">
        <f>IF($H48="","",IFERROR(INDEX(FormData,$H48,f_Need)&amp;"",""))</f>
        <v/>
      </c>
    </row>
    <row r="49">
      <c r="A49" s="14" t="n">
        <v>45</v>
      </c>
      <c r="B49" s="14">
        <f>IF($H49="","",INDEX(FormData,$H49,f_Id))</f>
        <v/>
      </c>
      <c r="C49" s="15">
        <f>IF($H49="","",IFERROR(INDEX(FormData,$H49,f_Time),""))</f>
        <v/>
      </c>
      <c r="D49" s="14">
        <f>IF($H49="","",IFERROR(UPPER(LEFT(TRIM(INDEX(FormData,$H49,f_Name)),1)&amp;IFERROR(MID(TRIM(INDEX(FormData,$H49,f_Name)),FIND("^",SUBSTITUTE(TRIM(INDEX(FormData,$H49,f_Name))," ","^",LEN(TRIM(INDEX(FormData,$H49,f_Name)))-LEN(SUBSTITUTE(TRIM(INDEX(FormData,$H49,f_Name))," ",""))))+1,1),"")),""))</f>
        <v/>
      </c>
      <c r="E49" s="16">
        <f>IF($H49="","",IFERROR(INDEX(EvID,MATCH(INDEX(FormData,$H49,f_Event),EvID,0)),IFERROR(INDEX(EvID,MATCH(INDEX(FormData,$H49,f_Event),EvName,0)),IFERROR(INDEX(EvID,MATCH(INT($C49),EvDate,0)),"(no event that day)"))))</f>
        <v/>
      </c>
      <c r="F49" s="16">
        <f>IF($H49="","",IFERROR(IF(SUMPRODUCT(MAX((WhoKW&lt;&gt;"")*ISNUMBER(SEARCH(WhoKW,INDEX(FormData,$H49,f_Who)&amp;""))*(ROW(WhoKW)-MIN(ROW(WhoKW))+1)))=0,"",INDEX(WhoVal,SUMPRODUCT(MAX((WhoKW&lt;&gt;"")*ISNUMBER(SEARCH(WhoKW,INDEX(FormData,$H49,f_Who)&amp;""))*(ROW(WhoKW)-MIN(ROW(WhoKW))+1))))),""))</f>
        <v/>
      </c>
      <c r="G49" s="14">
        <f>IF($H49="","",IF(COUNTIF(People!$U$5:$U$604,$B49)+COUNTIF(People!$U$5:$U$604,$B49&amp;"")&gt;0,"✓ logged","→ add"))</f>
        <v/>
      </c>
      <c r="H49">
        <f>IFERROR(IF(INDEX(FormData,46,f_Id)&amp;""="","",46),"")</f>
        <v/>
      </c>
      <c r="I49" s="16">
        <f>IF($H49="","",IFERROR(INDEX(FormData,$H49,f_Need)&amp;"",""))</f>
        <v/>
      </c>
    </row>
    <row r="50">
      <c r="A50" s="14" t="n">
        <v>46</v>
      </c>
      <c r="B50" s="14">
        <f>IF($H50="","",INDEX(FormData,$H50,f_Id))</f>
        <v/>
      </c>
      <c r="C50" s="15">
        <f>IF($H50="","",IFERROR(INDEX(FormData,$H50,f_Time),""))</f>
        <v/>
      </c>
      <c r="D50" s="14">
        <f>IF($H50="","",IFERROR(UPPER(LEFT(TRIM(INDEX(FormData,$H50,f_Name)),1)&amp;IFERROR(MID(TRIM(INDEX(FormData,$H50,f_Name)),FIND("^",SUBSTITUTE(TRIM(INDEX(FormData,$H50,f_Name))," ","^",LEN(TRIM(INDEX(FormData,$H50,f_Name)))-LEN(SUBSTITUTE(TRIM(INDEX(FormData,$H50,f_Name))," ",""))))+1,1),"")),""))</f>
        <v/>
      </c>
      <c r="E50" s="16">
        <f>IF($H50="","",IFERROR(INDEX(EvID,MATCH(INDEX(FormData,$H50,f_Event),EvID,0)),IFERROR(INDEX(EvID,MATCH(INDEX(FormData,$H50,f_Event),EvName,0)),IFERROR(INDEX(EvID,MATCH(INT($C50),EvDate,0)),"(no event that day)"))))</f>
        <v/>
      </c>
      <c r="F50" s="16">
        <f>IF($H50="","",IFERROR(IF(SUMPRODUCT(MAX((WhoKW&lt;&gt;"")*ISNUMBER(SEARCH(WhoKW,INDEX(FormData,$H50,f_Who)&amp;""))*(ROW(WhoKW)-MIN(ROW(WhoKW))+1)))=0,"",INDEX(WhoVal,SUMPRODUCT(MAX((WhoKW&lt;&gt;"")*ISNUMBER(SEARCH(WhoKW,INDEX(FormData,$H50,f_Who)&amp;""))*(ROW(WhoKW)-MIN(ROW(WhoKW))+1))))),""))</f>
        <v/>
      </c>
      <c r="G50" s="14">
        <f>IF($H50="","",IF(COUNTIF(People!$U$5:$U$604,$B50)+COUNTIF(People!$U$5:$U$604,$B50&amp;"")&gt;0,"✓ logged","→ add"))</f>
        <v/>
      </c>
      <c r="H50">
        <f>IFERROR(IF(INDEX(FormData,47,f_Id)&amp;""="","",47),"")</f>
        <v/>
      </c>
      <c r="I50" s="16">
        <f>IF($H50="","",IFERROR(INDEX(FormData,$H50,f_Need)&amp;"",""))</f>
        <v/>
      </c>
    </row>
    <row r="51">
      <c r="A51" s="14" t="n">
        <v>47</v>
      </c>
      <c r="B51" s="14">
        <f>IF($H51="","",INDEX(FormData,$H51,f_Id))</f>
        <v/>
      </c>
      <c r="C51" s="15">
        <f>IF($H51="","",IFERROR(INDEX(FormData,$H51,f_Time),""))</f>
        <v/>
      </c>
      <c r="D51" s="14">
        <f>IF($H51="","",IFERROR(UPPER(LEFT(TRIM(INDEX(FormData,$H51,f_Name)),1)&amp;IFERROR(MID(TRIM(INDEX(FormData,$H51,f_Name)),FIND("^",SUBSTITUTE(TRIM(INDEX(FormData,$H51,f_Name))," ","^",LEN(TRIM(INDEX(FormData,$H51,f_Name)))-LEN(SUBSTITUTE(TRIM(INDEX(FormData,$H51,f_Name))," ",""))))+1,1),"")),""))</f>
        <v/>
      </c>
      <c r="E51" s="16">
        <f>IF($H51="","",IFERROR(INDEX(EvID,MATCH(INDEX(FormData,$H51,f_Event),EvID,0)),IFERROR(INDEX(EvID,MATCH(INDEX(FormData,$H51,f_Event),EvName,0)),IFERROR(INDEX(EvID,MATCH(INT($C51),EvDate,0)),"(no event that day)"))))</f>
        <v/>
      </c>
      <c r="F51" s="16">
        <f>IF($H51="","",IFERROR(IF(SUMPRODUCT(MAX((WhoKW&lt;&gt;"")*ISNUMBER(SEARCH(WhoKW,INDEX(FormData,$H51,f_Who)&amp;""))*(ROW(WhoKW)-MIN(ROW(WhoKW))+1)))=0,"",INDEX(WhoVal,SUMPRODUCT(MAX((WhoKW&lt;&gt;"")*ISNUMBER(SEARCH(WhoKW,INDEX(FormData,$H51,f_Who)&amp;""))*(ROW(WhoKW)-MIN(ROW(WhoKW))+1))))),""))</f>
        <v/>
      </c>
      <c r="G51" s="14">
        <f>IF($H51="","",IF(COUNTIF(People!$U$5:$U$604,$B51)+COUNTIF(People!$U$5:$U$604,$B51&amp;"")&gt;0,"✓ logged","→ add"))</f>
        <v/>
      </c>
      <c r="H51">
        <f>IFERROR(IF(INDEX(FormData,48,f_Id)&amp;""="","",48),"")</f>
        <v/>
      </c>
      <c r="I51" s="16">
        <f>IF($H51="","",IFERROR(INDEX(FormData,$H51,f_Need)&amp;"",""))</f>
        <v/>
      </c>
    </row>
    <row r="52">
      <c r="A52" s="14" t="n">
        <v>48</v>
      </c>
      <c r="B52" s="14">
        <f>IF($H52="","",INDEX(FormData,$H52,f_Id))</f>
        <v/>
      </c>
      <c r="C52" s="15">
        <f>IF($H52="","",IFERROR(INDEX(FormData,$H52,f_Time),""))</f>
        <v/>
      </c>
      <c r="D52" s="14">
        <f>IF($H52="","",IFERROR(UPPER(LEFT(TRIM(INDEX(FormData,$H52,f_Name)),1)&amp;IFERROR(MID(TRIM(INDEX(FormData,$H52,f_Name)),FIND("^",SUBSTITUTE(TRIM(INDEX(FormData,$H52,f_Name))," ","^",LEN(TRIM(INDEX(FormData,$H52,f_Name)))-LEN(SUBSTITUTE(TRIM(INDEX(FormData,$H52,f_Name))," ",""))))+1,1),"")),""))</f>
        <v/>
      </c>
      <c r="E52" s="16">
        <f>IF($H52="","",IFERROR(INDEX(EvID,MATCH(INDEX(FormData,$H52,f_Event),EvID,0)),IFERROR(INDEX(EvID,MATCH(INDEX(FormData,$H52,f_Event),EvName,0)),IFERROR(INDEX(EvID,MATCH(INT($C52),EvDate,0)),"(no event that day)"))))</f>
        <v/>
      </c>
      <c r="F52" s="16">
        <f>IF($H52="","",IFERROR(IF(SUMPRODUCT(MAX((WhoKW&lt;&gt;"")*ISNUMBER(SEARCH(WhoKW,INDEX(FormData,$H52,f_Who)&amp;""))*(ROW(WhoKW)-MIN(ROW(WhoKW))+1)))=0,"",INDEX(WhoVal,SUMPRODUCT(MAX((WhoKW&lt;&gt;"")*ISNUMBER(SEARCH(WhoKW,INDEX(FormData,$H52,f_Who)&amp;""))*(ROW(WhoKW)-MIN(ROW(WhoKW))+1))))),""))</f>
        <v/>
      </c>
      <c r="G52" s="14">
        <f>IF($H52="","",IF(COUNTIF(People!$U$5:$U$604,$B52)+COUNTIF(People!$U$5:$U$604,$B52&amp;"")&gt;0,"✓ logged","→ add"))</f>
        <v/>
      </c>
      <c r="H52">
        <f>IFERROR(IF(INDEX(FormData,49,f_Id)&amp;""="","",49),"")</f>
        <v/>
      </c>
      <c r="I52" s="16">
        <f>IF($H52="","",IFERROR(INDEX(FormData,$H52,f_Need)&amp;"",""))</f>
        <v/>
      </c>
    </row>
    <row r="53">
      <c r="A53" s="14" t="n">
        <v>49</v>
      </c>
      <c r="B53" s="14">
        <f>IF($H53="","",INDEX(FormData,$H53,f_Id))</f>
        <v/>
      </c>
      <c r="C53" s="15">
        <f>IF($H53="","",IFERROR(INDEX(FormData,$H53,f_Time),""))</f>
        <v/>
      </c>
      <c r="D53" s="14">
        <f>IF($H53="","",IFERROR(UPPER(LEFT(TRIM(INDEX(FormData,$H53,f_Name)),1)&amp;IFERROR(MID(TRIM(INDEX(FormData,$H53,f_Name)),FIND("^",SUBSTITUTE(TRIM(INDEX(FormData,$H53,f_Name))," ","^",LEN(TRIM(INDEX(FormData,$H53,f_Name)))-LEN(SUBSTITUTE(TRIM(INDEX(FormData,$H53,f_Name))," ",""))))+1,1),"")),""))</f>
        <v/>
      </c>
      <c r="E53" s="16">
        <f>IF($H53="","",IFERROR(INDEX(EvID,MATCH(INDEX(FormData,$H53,f_Event),EvID,0)),IFERROR(INDEX(EvID,MATCH(INDEX(FormData,$H53,f_Event),EvName,0)),IFERROR(INDEX(EvID,MATCH(INT($C53),EvDate,0)),"(no event that day)"))))</f>
        <v/>
      </c>
      <c r="F53" s="16">
        <f>IF($H53="","",IFERROR(IF(SUMPRODUCT(MAX((WhoKW&lt;&gt;"")*ISNUMBER(SEARCH(WhoKW,INDEX(FormData,$H53,f_Who)&amp;""))*(ROW(WhoKW)-MIN(ROW(WhoKW))+1)))=0,"",INDEX(WhoVal,SUMPRODUCT(MAX((WhoKW&lt;&gt;"")*ISNUMBER(SEARCH(WhoKW,INDEX(FormData,$H53,f_Who)&amp;""))*(ROW(WhoKW)-MIN(ROW(WhoKW))+1))))),""))</f>
        <v/>
      </c>
      <c r="G53" s="14">
        <f>IF($H53="","",IF(COUNTIF(People!$U$5:$U$604,$B53)+COUNTIF(People!$U$5:$U$604,$B53&amp;"")&gt;0,"✓ logged","→ add"))</f>
        <v/>
      </c>
      <c r="H53">
        <f>IFERROR(IF(INDEX(FormData,50,f_Id)&amp;""="","",50),"")</f>
        <v/>
      </c>
      <c r="I53" s="16">
        <f>IF($H53="","",IFERROR(INDEX(FormData,$H53,f_Need)&amp;"",""))</f>
        <v/>
      </c>
    </row>
    <row r="54">
      <c r="A54" s="14" t="n">
        <v>50</v>
      </c>
      <c r="B54" s="14">
        <f>IF($H54="","",INDEX(FormData,$H54,f_Id))</f>
        <v/>
      </c>
      <c r="C54" s="15">
        <f>IF($H54="","",IFERROR(INDEX(FormData,$H54,f_Time),""))</f>
        <v/>
      </c>
      <c r="D54" s="14">
        <f>IF($H54="","",IFERROR(UPPER(LEFT(TRIM(INDEX(FormData,$H54,f_Name)),1)&amp;IFERROR(MID(TRIM(INDEX(FormData,$H54,f_Name)),FIND("^",SUBSTITUTE(TRIM(INDEX(FormData,$H54,f_Name))," ","^",LEN(TRIM(INDEX(FormData,$H54,f_Name)))-LEN(SUBSTITUTE(TRIM(INDEX(FormData,$H54,f_Name))," ",""))))+1,1),"")),""))</f>
        <v/>
      </c>
      <c r="E54" s="16">
        <f>IF($H54="","",IFERROR(INDEX(EvID,MATCH(INDEX(FormData,$H54,f_Event),EvID,0)),IFERROR(INDEX(EvID,MATCH(INDEX(FormData,$H54,f_Event),EvName,0)),IFERROR(INDEX(EvID,MATCH(INT($C54),EvDate,0)),"(no event that day)"))))</f>
        <v/>
      </c>
      <c r="F54" s="16">
        <f>IF($H54="","",IFERROR(IF(SUMPRODUCT(MAX((WhoKW&lt;&gt;"")*ISNUMBER(SEARCH(WhoKW,INDEX(FormData,$H54,f_Who)&amp;""))*(ROW(WhoKW)-MIN(ROW(WhoKW))+1)))=0,"",INDEX(WhoVal,SUMPRODUCT(MAX((WhoKW&lt;&gt;"")*ISNUMBER(SEARCH(WhoKW,INDEX(FormData,$H54,f_Who)&amp;""))*(ROW(WhoKW)-MIN(ROW(WhoKW))+1))))),""))</f>
        <v/>
      </c>
      <c r="G54" s="14">
        <f>IF($H54="","",IF(COUNTIF(People!$U$5:$U$604,$B54)+COUNTIF(People!$U$5:$U$604,$B54&amp;"")&gt;0,"✓ logged","→ add"))</f>
        <v/>
      </c>
      <c r="H54">
        <f>IFERROR(IF(INDEX(FormData,51,f_Id)&amp;""="","",51),"")</f>
        <v/>
      </c>
      <c r="I54" s="16">
        <f>IF($H54="","",IFERROR(INDEX(FormData,$H54,f_Need)&amp;"",""))</f>
        <v/>
      </c>
    </row>
    <row r="55">
      <c r="A55" s="14" t="n">
        <v>51</v>
      </c>
      <c r="B55" s="14">
        <f>IF($H55="","",INDEX(FormData,$H55,f_Id))</f>
        <v/>
      </c>
      <c r="C55" s="15">
        <f>IF($H55="","",IFERROR(INDEX(FormData,$H55,f_Time),""))</f>
        <v/>
      </c>
      <c r="D55" s="14">
        <f>IF($H55="","",IFERROR(UPPER(LEFT(TRIM(INDEX(FormData,$H55,f_Name)),1)&amp;IFERROR(MID(TRIM(INDEX(FormData,$H55,f_Name)),FIND("^",SUBSTITUTE(TRIM(INDEX(FormData,$H55,f_Name))," ","^",LEN(TRIM(INDEX(FormData,$H55,f_Name)))-LEN(SUBSTITUTE(TRIM(INDEX(FormData,$H55,f_Name))," ",""))))+1,1),"")),""))</f>
        <v/>
      </c>
      <c r="E55" s="16">
        <f>IF($H55="","",IFERROR(INDEX(EvID,MATCH(INDEX(FormData,$H55,f_Event),EvID,0)),IFERROR(INDEX(EvID,MATCH(INDEX(FormData,$H55,f_Event),EvName,0)),IFERROR(INDEX(EvID,MATCH(INT($C55),EvDate,0)),"(no event that day)"))))</f>
        <v/>
      </c>
      <c r="F55" s="16">
        <f>IF($H55="","",IFERROR(IF(SUMPRODUCT(MAX((WhoKW&lt;&gt;"")*ISNUMBER(SEARCH(WhoKW,INDEX(FormData,$H55,f_Who)&amp;""))*(ROW(WhoKW)-MIN(ROW(WhoKW))+1)))=0,"",INDEX(WhoVal,SUMPRODUCT(MAX((WhoKW&lt;&gt;"")*ISNUMBER(SEARCH(WhoKW,INDEX(FormData,$H55,f_Who)&amp;""))*(ROW(WhoKW)-MIN(ROW(WhoKW))+1))))),""))</f>
        <v/>
      </c>
      <c r="G55" s="14">
        <f>IF($H55="","",IF(COUNTIF(People!$U$5:$U$604,$B55)+COUNTIF(People!$U$5:$U$604,$B55&amp;"")&gt;0,"✓ logged","→ add"))</f>
        <v/>
      </c>
      <c r="H55">
        <f>IFERROR(IF(INDEX(FormData,52,f_Id)&amp;""="","",52),"")</f>
        <v/>
      </c>
      <c r="I55" s="16">
        <f>IF($H55="","",IFERROR(INDEX(FormData,$H55,f_Need)&amp;"",""))</f>
        <v/>
      </c>
    </row>
    <row r="56">
      <c r="A56" s="14" t="n">
        <v>52</v>
      </c>
      <c r="B56" s="14">
        <f>IF($H56="","",INDEX(FormData,$H56,f_Id))</f>
        <v/>
      </c>
      <c r="C56" s="15">
        <f>IF($H56="","",IFERROR(INDEX(FormData,$H56,f_Time),""))</f>
        <v/>
      </c>
      <c r="D56" s="14">
        <f>IF($H56="","",IFERROR(UPPER(LEFT(TRIM(INDEX(FormData,$H56,f_Name)),1)&amp;IFERROR(MID(TRIM(INDEX(FormData,$H56,f_Name)),FIND("^",SUBSTITUTE(TRIM(INDEX(FormData,$H56,f_Name))," ","^",LEN(TRIM(INDEX(FormData,$H56,f_Name)))-LEN(SUBSTITUTE(TRIM(INDEX(FormData,$H56,f_Name))," ",""))))+1,1),"")),""))</f>
        <v/>
      </c>
      <c r="E56" s="16">
        <f>IF($H56="","",IFERROR(INDEX(EvID,MATCH(INDEX(FormData,$H56,f_Event),EvID,0)),IFERROR(INDEX(EvID,MATCH(INDEX(FormData,$H56,f_Event),EvName,0)),IFERROR(INDEX(EvID,MATCH(INT($C56),EvDate,0)),"(no event that day)"))))</f>
        <v/>
      </c>
      <c r="F56" s="16">
        <f>IF($H56="","",IFERROR(IF(SUMPRODUCT(MAX((WhoKW&lt;&gt;"")*ISNUMBER(SEARCH(WhoKW,INDEX(FormData,$H56,f_Who)&amp;""))*(ROW(WhoKW)-MIN(ROW(WhoKW))+1)))=0,"",INDEX(WhoVal,SUMPRODUCT(MAX((WhoKW&lt;&gt;"")*ISNUMBER(SEARCH(WhoKW,INDEX(FormData,$H56,f_Who)&amp;""))*(ROW(WhoKW)-MIN(ROW(WhoKW))+1))))),""))</f>
        <v/>
      </c>
      <c r="G56" s="14">
        <f>IF($H56="","",IF(COUNTIF(People!$U$5:$U$604,$B56)+COUNTIF(People!$U$5:$U$604,$B56&amp;"")&gt;0,"✓ logged","→ add"))</f>
        <v/>
      </c>
      <c r="H56">
        <f>IFERROR(IF(INDEX(FormData,53,f_Id)&amp;""="","",53),"")</f>
        <v/>
      </c>
      <c r="I56" s="16">
        <f>IF($H56="","",IFERROR(INDEX(FormData,$H56,f_Need)&amp;"",""))</f>
        <v/>
      </c>
    </row>
    <row r="57">
      <c r="A57" s="14" t="n">
        <v>53</v>
      </c>
      <c r="B57" s="14">
        <f>IF($H57="","",INDEX(FormData,$H57,f_Id))</f>
        <v/>
      </c>
      <c r="C57" s="15">
        <f>IF($H57="","",IFERROR(INDEX(FormData,$H57,f_Time),""))</f>
        <v/>
      </c>
      <c r="D57" s="14">
        <f>IF($H57="","",IFERROR(UPPER(LEFT(TRIM(INDEX(FormData,$H57,f_Name)),1)&amp;IFERROR(MID(TRIM(INDEX(FormData,$H57,f_Name)),FIND("^",SUBSTITUTE(TRIM(INDEX(FormData,$H57,f_Name))," ","^",LEN(TRIM(INDEX(FormData,$H57,f_Name)))-LEN(SUBSTITUTE(TRIM(INDEX(FormData,$H57,f_Name))," ",""))))+1,1),"")),""))</f>
        <v/>
      </c>
      <c r="E57" s="16">
        <f>IF($H57="","",IFERROR(INDEX(EvID,MATCH(INDEX(FormData,$H57,f_Event),EvID,0)),IFERROR(INDEX(EvID,MATCH(INDEX(FormData,$H57,f_Event),EvName,0)),IFERROR(INDEX(EvID,MATCH(INT($C57),EvDate,0)),"(no event that day)"))))</f>
        <v/>
      </c>
      <c r="F57" s="16">
        <f>IF($H57="","",IFERROR(IF(SUMPRODUCT(MAX((WhoKW&lt;&gt;"")*ISNUMBER(SEARCH(WhoKW,INDEX(FormData,$H57,f_Who)&amp;""))*(ROW(WhoKW)-MIN(ROW(WhoKW))+1)))=0,"",INDEX(WhoVal,SUMPRODUCT(MAX((WhoKW&lt;&gt;"")*ISNUMBER(SEARCH(WhoKW,INDEX(FormData,$H57,f_Who)&amp;""))*(ROW(WhoKW)-MIN(ROW(WhoKW))+1))))),""))</f>
        <v/>
      </c>
      <c r="G57" s="14">
        <f>IF($H57="","",IF(COUNTIF(People!$U$5:$U$604,$B57)+COUNTIF(People!$U$5:$U$604,$B57&amp;"")&gt;0,"✓ logged","→ add"))</f>
        <v/>
      </c>
      <c r="H57">
        <f>IFERROR(IF(INDEX(FormData,54,f_Id)&amp;""="","",54),"")</f>
        <v/>
      </c>
      <c r="I57" s="16">
        <f>IF($H57="","",IFERROR(INDEX(FormData,$H57,f_Need)&amp;"",""))</f>
        <v/>
      </c>
    </row>
    <row r="58">
      <c r="A58" s="14" t="n">
        <v>54</v>
      </c>
      <c r="B58" s="14">
        <f>IF($H58="","",INDEX(FormData,$H58,f_Id))</f>
        <v/>
      </c>
      <c r="C58" s="15">
        <f>IF($H58="","",IFERROR(INDEX(FormData,$H58,f_Time),""))</f>
        <v/>
      </c>
      <c r="D58" s="14">
        <f>IF($H58="","",IFERROR(UPPER(LEFT(TRIM(INDEX(FormData,$H58,f_Name)),1)&amp;IFERROR(MID(TRIM(INDEX(FormData,$H58,f_Name)),FIND("^",SUBSTITUTE(TRIM(INDEX(FormData,$H58,f_Name))," ","^",LEN(TRIM(INDEX(FormData,$H58,f_Name)))-LEN(SUBSTITUTE(TRIM(INDEX(FormData,$H58,f_Name))," ",""))))+1,1),"")),""))</f>
        <v/>
      </c>
      <c r="E58" s="16">
        <f>IF($H58="","",IFERROR(INDEX(EvID,MATCH(INDEX(FormData,$H58,f_Event),EvID,0)),IFERROR(INDEX(EvID,MATCH(INDEX(FormData,$H58,f_Event),EvName,0)),IFERROR(INDEX(EvID,MATCH(INT($C58),EvDate,0)),"(no event that day)"))))</f>
        <v/>
      </c>
      <c r="F58" s="16">
        <f>IF($H58="","",IFERROR(IF(SUMPRODUCT(MAX((WhoKW&lt;&gt;"")*ISNUMBER(SEARCH(WhoKW,INDEX(FormData,$H58,f_Who)&amp;""))*(ROW(WhoKW)-MIN(ROW(WhoKW))+1)))=0,"",INDEX(WhoVal,SUMPRODUCT(MAX((WhoKW&lt;&gt;"")*ISNUMBER(SEARCH(WhoKW,INDEX(FormData,$H58,f_Who)&amp;""))*(ROW(WhoKW)-MIN(ROW(WhoKW))+1))))),""))</f>
        <v/>
      </c>
      <c r="G58" s="14">
        <f>IF($H58="","",IF(COUNTIF(People!$U$5:$U$604,$B58)+COUNTIF(People!$U$5:$U$604,$B58&amp;"")&gt;0,"✓ logged","→ add"))</f>
        <v/>
      </c>
      <c r="H58">
        <f>IFERROR(IF(INDEX(FormData,55,f_Id)&amp;""="","",55),"")</f>
        <v/>
      </c>
      <c r="I58" s="16">
        <f>IF($H58="","",IFERROR(INDEX(FormData,$H58,f_Need)&amp;"",""))</f>
        <v/>
      </c>
    </row>
    <row r="59">
      <c r="A59" s="14" t="n">
        <v>55</v>
      </c>
      <c r="B59" s="14">
        <f>IF($H59="","",INDEX(FormData,$H59,f_Id))</f>
        <v/>
      </c>
      <c r="C59" s="15">
        <f>IF($H59="","",IFERROR(INDEX(FormData,$H59,f_Time),""))</f>
        <v/>
      </c>
      <c r="D59" s="14">
        <f>IF($H59="","",IFERROR(UPPER(LEFT(TRIM(INDEX(FormData,$H59,f_Name)),1)&amp;IFERROR(MID(TRIM(INDEX(FormData,$H59,f_Name)),FIND("^",SUBSTITUTE(TRIM(INDEX(FormData,$H59,f_Name))," ","^",LEN(TRIM(INDEX(FormData,$H59,f_Name)))-LEN(SUBSTITUTE(TRIM(INDEX(FormData,$H59,f_Name))," ",""))))+1,1),"")),""))</f>
        <v/>
      </c>
      <c r="E59" s="16">
        <f>IF($H59="","",IFERROR(INDEX(EvID,MATCH(INDEX(FormData,$H59,f_Event),EvID,0)),IFERROR(INDEX(EvID,MATCH(INDEX(FormData,$H59,f_Event),EvName,0)),IFERROR(INDEX(EvID,MATCH(INT($C59),EvDate,0)),"(no event that day)"))))</f>
        <v/>
      </c>
      <c r="F59" s="16">
        <f>IF($H59="","",IFERROR(IF(SUMPRODUCT(MAX((WhoKW&lt;&gt;"")*ISNUMBER(SEARCH(WhoKW,INDEX(FormData,$H59,f_Who)&amp;""))*(ROW(WhoKW)-MIN(ROW(WhoKW))+1)))=0,"",INDEX(WhoVal,SUMPRODUCT(MAX((WhoKW&lt;&gt;"")*ISNUMBER(SEARCH(WhoKW,INDEX(FormData,$H59,f_Who)&amp;""))*(ROW(WhoKW)-MIN(ROW(WhoKW))+1))))),""))</f>
        <v/>
      </c>
      <c r="G59" s="14">
        <f>IF($H59="","",IF(COUNTIF(People!$U$5:$U$604,$B59)+COUNTIF(People!$U$5:$U$604,$B59&amp;"")&gt;0,"✓ logged","→ add"))</f>
        <v/>
      </c>
      <c r="H59">
        <f>IFERROR(IF(INDEX(FormData,56,f_Id)&amp;""="","",56),"")</f>
        <v/>
      </c>
      <c r="I59" s="16">
        <f>IF($H59="","",IFERROR(INDEX(FormData,$H59,f_Need)&amp;"",""))</f>
        <v/>
      </c>
    </row>
    <row r="60">
      <c r="A60" s="14" t="n">
        <v>56</v>
      </c>
      <c r="B60" s="14">
        <f>IF($H60="","",INDEX(FormData,$H60,f_Id))</f>
        <v/>
      </c>
      <c r="C60" s="15">
        <f>IF($H60="","",IFERROR(INDEX(FormData,$H60,f_Time),""))</f>
        <v/>
      </c>
      <c r="D60" s="14">
        <f>IF($H60="","",IFERROR(UPPER(LEFT(TRIM(INDEX(FormData,$H60,f_Name)),1)&amp;IFERROR(MID(TRIM(INDEX(FormData,$H60,f_Name)),FIND("^",SUBSTITUTE(TRIM(INDEX(FormData,$H60,f_Name))," ","^",LEN(TRIM(INDEX(FormData,$H60,f_Name)))-LEN(SUBSTITUTE(TRIM(INDEX(FormData,$H60,f_Name))," ",""))))+1,1),"")),""))</f>
        <v/>
      </c>
      <c r="E60" s="16">
        <f>IF($H60="","",IFERROR(INDEX(EvID,MATCH(INDEX(FormData,$H60,f_Event),EvID,0)),IFERROR(INDEX(EvID,MATCH(INDEX(FormData,$H60,f_Event),EvName,0)),IFERROR(INDEX(EvID,MATCH(INT($C60),EvDate,0)),"(no event that day)"))))</f>
        <v/>
      </c>
      <c r="F60" s="16">
        <f>IF($H60="","",IFERROR(IF(SUMPRODUCT(MAX((WhoKW&lt;&gt;"")*ISNUMBER(SEARCH(WhoKW,INDEX(FormData,$H60,f_Who)&amp;""))*(ROW(WhoKW)-MIN(ROW(WhoKW))+1)))=0,"",INDEX(WhoVal,SUMPRODUCT(MAX((WhoKW&lt;&gt;"")*ISNUMBER(SEARCH(WhoKW,INDEX(FormData,$H60,f_Who)&amp;""))*(ROW(WhoKW)-MIN(ROW(WhoKW))+1))))),""))</f>
        <v/>
      </c>
      <c r="G60" s="14">
        <f>IF($H60="","",IF(COUNTIF(People!$U$5:$U$604,$B60)+COUNTIF(People!$U$5:$U$604,$B60&amp;"")&gt;0,"✓ logged","→ add"))</f>
        <v/>
      </c>
      <c r="H60">
        <f>IFERROR(IF(INDEX(FormData,57,f_Id)&amp;""="","",57),"")</f>
        <v/>
      </c>
      <c r="I60" s="16">
        <f>IF($H60="","",IFERROR(INDEX(FormData,$H60,f_Need)&amp;"",""))</f>
        <v/>
      </c>
    </row>
    <row r="61">
      <c r="A61" s="14" t="n">
        <v>57</v>
      </c>
      <c r="B61" s="14">
        <f>IF($H61="","",INDEX(FormData,$H61,f_Id))</f>
        <v/>
      </c>
      <c r="C61" s="15">
        <f>IF($H61="","",IFERROR(INDEX(FormData,$H61,f_Time),""))</f>
        <v/>
      </c>
      <c r="D61" s="14">
        <f>IF($H61="","",IFERROR(UPPER(LEFT(TRIM(INDEX(FormData,$H61,f_Name)),1)&amp;IFERROR(MID(TRIM(INDEX(FormData,$H61,f_Name)),FIND("^",SUBSTITUTE(TRIM(INDEX(FormData,$H61,f_Name))," ","^",LEN(TRIM(INDEX(FormData,$H61,f_Name)))-LEN(SUBSTITUTE(TRIM(INDEX(FormData,$H61,f_Name))," ",""))))+1,1),"")),""))</f>
        <v/>
      </c>
      <c r="E61" s="16">
        <f>IF($H61="","",IFERROR(INDEX(EvID,MATCH(INDEX(FormData,$H61,f_Event),EvID,0)),IFERROR(INDEX(EvID,MATCH(INDEX(FormData,$H61,f_Event),EvName,0)),IFERROR(INDEX(EvID,MATCH(INT($C61),EvDate,0)),"(no event that day)"))))</f>
        <v/>
      </c>
      <c r="F61" s="16">
        <f>IF($H61="","",IFERROR(IF(SUMPRODUCT(MAX((WhoKW&lt;&gt;"")*ISNUMBER(SEARCH(WhoKW,INDEX(FormData,$H61,f_Who)&amp;""))*(ROW(WhoKW)-MIN(ROW(WhoKW))+1)))=0,"",INDEX(WhoVal,SUMPRODUCT(MAX((WhoKW&lt;&gt;"")*ISNUMBER(SEARCH(WhoKW,INDEX(FormData,$H61,f_Who)&amp;""))*(ROW(WhoKW)-MIN(ROW(WhoKW))+1))))),""))</f>
        <v/>
      </c>
      <c r="G61" s="14">
        <f>IF($H61="","",IF(COUNTIF(People!$U$5:$U$604,$B61)+COUNTIF(People!$U$5:$U$604,$B61&amp;"")&gt;0,"✓ logged","→ add"))</f>
        <v/>
      </c>
      <c r="H61">
        <f>IFERROR(IF(INDEX(FormData,58,f_Id)&amp;""="","",58),"")</f>
        <v/>
      </c>
      <c r="I61" s="16">
        <f>IF($H61="","",IFERROR(INDEX(FormData,$H61,f_Need)&amp;"",""))</f>
        <v/>
      </c>
    </row>
    <row r="62">
      <c r="A62" s="14" t="n">
        <v>58</v>
      </c>
      <c r="B62" s="14">
        <f>IF($H62="","",INDEX(FormData,$H62,f_Id))</f>
        <v/>
      </c>
      <c r="C62" s="15">
        <f>IF($H62="","",IFERROR(INDEX(FormData,$H62,f_Time),""))</f>
        <v/>
      </c>
      <c r="D62" s="14">
        <f>IF($H62="","",IFERROR(UPPER(LEFT(TRIM(INDEX(FormData,$H62,f_Name)),1)&amp;IFERROR(MID(TRIM(INDEX(FormData,$H62,f_Name)),FIND("^",SUBSTITUTE(TRIM(INDEX(FormData,$H62,f_Name))," ","^",LEN(TRIM(INDEX(FormData,$H62,f_Name)))-LEN(SUBSTITUTE(TRIM(INDEX(FormData,$H62,f_Name))," ",""))))+1,1),"")),""))</f>
        <v/>
      </c>
      <c r="E62" s="16">
        <f>IF($H62="","",IFERROR(INDEX(EvID,MATCH(INDEX(FormData,$H62,f_Event),EvID,0)),IFERROR(INDEX(EvID,MATCH(INDEX(FormData,$H62,f_Event),EvName,0)),IFERROR(INDEX(EvID,MATCH(INT($C62),EvDate,0)),"(no event that day)"))))</f>
        <v/>
      </c>
      <c r="F62" s="16">
        <f>IF($H62="","",IFERROR(IF(SUMPRODUCT(MAX((WhoKW&lt;&gt;"")*ISNUMBER(SEARCH(WhoKW,INDEX(FormData,$H62,f_Who)&amp;""))*(ROW(WhoKW)-MIN(ROW(WhoKW))+1)))=0,"",INDEX(WhoVal,SUMPRODUCT(MAX((WhoKW&lt;&gt;"")*ISNUMBER(SEARCH(WhoKW,INDEX(FormData,$H62,f_Who)&amp;""))*(ROW(WhoKW)-MIN(ROW(WhoKW))+1))))),""))</f>
        <v/>
      </c>
      <c r="G62" s="14">
        <f>IF($H62="","",IF(COUNTIF(People!$U$5:$U$604,$B62)+COUNTIF(People!$U$5:$U$604,$B62&amp;"")&gt;0,"✓ logged","→ add"))</f>
        <v/>
      </c>
      <c r="H62">
        <f>IFERROR(IF(INDEX(FormData,59,f_Id)&amp;""="","",59),"")</f>
        <v/>
      </c>
      <c r="I62" s="16">
        <f>IF($H62="","",IFERROR(INDEX(FormData,$H62,f_Need)&amp;"",""))</f>
        <v/>
      </c>
    </row>
    <row r="63">
      <c r="A63" s="14" t="n">
        <v>59</v>
      </c>
      <c r="B63" s="14">
        <f>IF($H63="","",INDEX(FormData,$H63,f_Id))</f>
        <v/>
      </c>
      <c r="C63" s="15">
        <f>IF($H63="","",IFERROR(INDEX(FormData,$H63,f_Time),""))</f>
        <v/>
      </c>
      <c r="D63" s="14">
        <f>IF($H63="","",IFERROR(UPPER(LEFT(TRIM(INDEX(FormData,$H63,f_Name)),1)&amp;IFERROR(MID(TRIM(INDEX(FormData,$H63,f_Name)),FIND("^",SUBSTITUTE(TRIM(INDEX(FormData,$H63,f_Name))," ","^",LEN(TRIM(INDEX(FormData,$H63,f_Name)))-LEN(SUBSTITUTE(TRIM(INDEX(FormData,$H63,f_Name))," ",""))))+1,1),"")),""))</f>
        <v/>
      </c>
      <c r="E63" s="16">
        <f>IF($H63="","",IFERROR(INDEX(EvID,MATCH(INDEX(FormData,$H63,f_Event),EvID,0)),IFERROR(INDEX(EvID,MATCH(INDEX(FormData,$H63,f_Event),EvName,0)),IFERROR(INDEX(EvID,MATCH(INT($C63),EvDate,0)),"(no event that day)"))))</f>
        <v/>
      </c>
      <c r="F63" s="16">
        <f>IF($H63="","",IFERROR(IF(SUMPRODUCT(MAX((WhoKW&lt;&gt;"")*ISNUMBER(SEARCH(WhoKW,INDEX(FormData,$H63,f_Who)&amp;""))*(ROW(WhoKW)-MIN(ROW(WhoKW))+1)))=0,"",INDEX(WhoVal,SUMPRODUCT(MAX((WhoKW&lt;&gt;"")*ISNUMBER(SEARCH(WhoKW,INDEX(FormData,$H63,f_Who)&amp;""))*(ROW(WhoKW)-MIN(ROW(WhoKW))+1))))),""))</f>
        <v/>
      </c>
      <c r="G63" s="14">
        <f>IF($H63="","",IF(COUNTIF(People!$U$5:$U$604,$B63)+COUNTIF(People!$U$5:$U$604,$B63&amp;"")&gt;0,"✓ logged","→ add"))</f>
        <v/>
      </c>
      <c r="H63">
        <f>IFERROR(IF(INDEX(FormData,60,f_Id)&amp;""="","",60),"")</f>
        <v/>
      </c>
      <c r="I63" s="16">
        <f>IF($H63="","",IFERROR(INDEX(FormData,$H63,f_Need)&amp;"",""))</f>
        <v/>
      </c>
    </row>
    <row r="64">
      <c r="A64" s="14" t="n">
        <v>60</v>
      </c>
      <c r="B64" s="14">
        <f>IF($H64="","",INDEX(FormData,$H64,f_Id))</f>
        <v/>
      </c>
      <c r="C64" s="15">
        <f>IF($H64="","",IFERROR(INDEX(FormData,$H64,f_Time),""))</f>
        <v/>
      </c>
      <c r="D64" s="14">
        <f>IF($H64="","",IFERROR(UPPER(LEFT(TRIM(INDEX(FormData,$H64,f_Name)),1)&amp;IFERROR(MID(TRIM(INDEX(FormData,$H64,f_Name)),FIND("^",SUBSTITUTE(TRIM(INDEX(FormData,$H64,f_Name))," ","^",LEN(TRIM(INDEX(FormData,$H64,f_Name)))-LEN(SUBSTITUTE(TRIM(INDEX(FormData,$H64,f_Name))," ",""))))+1,1),"")),""))</f>
        <v/>
      </c>
      <c r="E64" s="16">
        <f>IF($H64="","",IFERROR(INDEX(EvID,MATCH(INDEX(FormData,$H64,f_Event),EvID,0)),IFERROR(INDEX(EvID,MATCH(INDEX(FormData,$H64,f_Event),EvName,0)),IFERROR(INDEX(EvID,MATCH(INT($C64),EvDate,0)),"(no event that day)"))))</f>
        <v/>
      </c>
      <c r="F64" s="16">
        <f>IF($H64="","",IFERROR(IF(SUMPRODUCT(MAX((WhoKW&lt;&gt;"")*ISNUMBER(SEARCH(WhoKW,INDEX(FormData,$H64,f_Who)&amp;""))*(ROW(WhoKW)-MIN(ROW(WhoKW))+1)))=0,"",INDEX(WhoVal,SUMPRODUCT(MAX((WhoKW&lt;&gt;"")*ISNUMBER(SEARCH(WhoKW,INDEX(FormData,$H64,f_Who)&amp;""))*(ROW(WhoKW)-MIN(ROW(WhoKW))+1))))),""))</f>
        <v/>
      </c>
      <c r="G64" s="14">
        <f>IF($H64="","",IF(COUNTIF(People!$U$5:$U$604,$B64)+COUNTIF(People!$U$5:$U$604,$B64&amp;"")&gt;0,"✓ logged","→ add"))</f>
        <v/>
      </c>
      <c r="H64">
        <f>IFERROR(IF(INDEX(FormData,61,f_Id)&amp;""="","",61),"")</f>
        <v/>
      </c>
      <c r="I64" s="16">
        <f>IF($H64="","",IFERROR(INDEX(FormData,$H64,f_Need)&amp;"",""))</f>
        <v/>
      </c>
    </row>
    <row r="65">
      <c r="A65" s="14" t="n">
        <v>61</v>
      </c>
      <c r="B65" s="14">
        <f>IF($H65="","",INDEX(FormData,$H65,f_Id))</f>
        <v/>
      </c>
      <c r="C65" s="15">
        <f>IF($H65="","",IFERROR(INDEX(FormData,$H65,f_Time),""))</f>
        <v/>
      </c>
      <c r="D65" s="14">
        <f>IF($H65="","",IFERROR(UPPER(LEFT(TRIM(INDEX(FormData,$H65,f_Name)),1)&amp;IFERROR(MID(TRIM(INDEX(FormData,$H65,f_Name)),FIND("^",SUBSTITUTE(TRIM(INDEX(FormData,$H65,f_Name))," ","^",LEN(TRIM(INDEX(FormData,$H65,f_Name)))-LEN(SUBSTITUTE(TRIM(INDEX(FormData,$H65,f_Name))," ",""))))+1,1),"")),""))</f>
        <v/>
      </c>
      <c r="E65" s="16">
        <f>IF($H65="","",IFERROR(INDEX(EvID,MATCH(INDEX(FormData,$H65,f_Event),EvID,0)),IFERROR(INDEX(EvID,MATCH(INDEX(FormData,$H65,f_Event),EvName,0)),IFERROR(INDEX(EvID,MATCH(INT($C65),EvDate,0)),"(no event that day)"))))</f>
        <v/>
      </c>
      <c r="F65" s="16">
        <f>IF($H65="","",IFERROR(IF(SUMPRODUCT(MAX((WhoKW&lt;&gt;"")*ISNUMBER(SEARCH(WhoKW,INDEX(FormData,$H65,f_Who)&amp;""))*(ROW(WhoKW)-MIN(ROW(WhoKW))+1)))=0,"",INDEX(WhoVal,SUMPRODUCT(MAX((WhoKW&lt;&gt;"")*ISNUMBER(SEARCH(WhoKW,INDEX(FormData,$H65,f_Who)&amp;""))*(ROW(WhoKW)-MIN(ROW(WhoKW))+1))))),""))</f>
        <v/>
      </c>
      <c r="G65" s="14">
        <f>IF($H65="","",IF(COUNTIF(People!$U$5:$U$604,$B65)+COUNTIF(People!$U$5:$U$604,$B65&amp;"")&gt;0,"✓ logged","→ add"))</f>
        <v/>
      </c>
      <c r="H65">
        <f>IFERROR(IF(INDEX(FormData,62,f_Id)&amp;""="","",62),"")</f>
        <v/>
      </c>
      <c r="I65" s="16">
        <f>IF($H65="","",IFERROR(INDEX(FormData,$H65,f_Need)&amp;"",""))</f>
        <v/>
      </c>
    </row>
    <row r="66">
      <c r="A66" s="14" t="n">
        <v>62</v>
      </c>
      <c r="B66" s="14">
        <f>IF($H66="","",INDEX(FormData,$H66,f_Id))</f>
        <v/>
      </c>
      <c r="C66" s="15">
        <f>IF($H66="","",IFERROR(INDEX(FormData,$H66,f_Time),""))</f>
        <v/>
      </c>
      <c r="D66" s="14">
        <f>IF($H66="","",IFERROR(UPPER(LEFT(TRIM(INDEX(FormData,$H66,f_Name)),1)&amp;IFERROR(MID(TRIM(INDEX(FormData,$H66,f_Name)),FIND("^",SUBSTITUTE(TRIM(INDEX(FormData,$H66,f_Name))," ","^",LEN(TRIM(INDEX(FormData,$H66,f_Name)))-LEN(SUBSTITUTE(TRIM(INDEX(FormData,$H66,f_Name))," ",""))))+1,1),"")),""))</f>
        <v/>
      </c>
      <c r="E66" s="16">
        <f>IF($H66="","",IFERROR(INDEX(EvID,MATCH(INDEX(FormData,$H66,f_Event),EvID,0)),IFERROR(INDEX(EvID,MATCH(INDEX(FormData,$H66,f_Event),EvName,0)),IFERROR(INDEX(EvID,MATCH(INT($C66),EvDate,0)),"(no event that day)"))))</f>
        <v/>
      </c>
      <c r="F66" s="16">
        <f>IF($H66="","",IFERROR(IF(SUMPRODUCT(MAX((WhoKW&lt;&gt;"")*ISNUMBER(SEARCH(WhoKW,INDEX(FormData,$H66,f_Who)&amp;""))*(ROW(WhoKW)-MIN(ROW(WhoKW))+1)))=0,"",INDEX(WhoVal,SUMPRODUCT(MAX((WhoKW&lt;&gt;"")*ISNUMBER(SEARCH(WhoKW,INDEX(FormData,$H66,f_Who)&amp;""))*(ROW(WhoKW)-MIN(ROW(WhoKW))+1))))),""))</f>
        <v/>
      </c>
      <c r="G66" s="14">
        <f>IF($H66="","",IF(COUNTIF(People!$U$5:$U$604,$B66)+COUNTIF(People!$U$5:$U$604,$B66&amp;"")&gt;0,"✓ logged","→ add"))</f>
        <v/>
      </c>
      <c r="H66">
        <f>IFERROR(IF(INDEX(FormData,63,f_Id)&amp;""="","",63),"")</f>
        <v/>
      </c>
      <c r="I66" s="16">
        <f>IF($H66="","",IFERROR(INDEX(FormData,$H66,f_Need)&amp;"",""))</f>
        <v/>
      </c>
    </row>
    <row r="67">
      <c r="A67" s="14" t="n">
        <v>63</v>
      </c>
      <c r="B67" s="14">
        <f>IF($H67="","",INDEX(FormData,$H67,f_Id))</f>
        <v/>
      </c>
      <c r="C67" s="15">
        <f>IF($H67="","",IFERROR(INDEX(FormData,$H67,f_Time),""))</f>
        <v/>
      </c>
      <c r="D67" s="14">
        <f>IF($H67="","",IFERROR(UPPER(LEFT(TRIM(INDEX(FormData,$H67,f_Name)),1)&amp;IFERROR(MID(TRIM(INDEX(FormData,$H67,f_Name)),FIND("^",SUBSTITUTE(TRIM(INDEX(FormData,$H67,f_Name))," ","^",LEN(TRIM(INDEX(FormData,$H67,f_Name)))-LEN(SUBSTITUTE(TRIM(INDEX(FormData,$H67,f_Name))," ",""))))+1,1),"")),""))</f>
        <v/>
      </c>
      <c r="E67" s="16">
        <f>IF($H67="","",IFERROR(INDEX(EvID,MATCH(INDEX(FormData,$H67,f_Event),EvID,0)),IFERROR(INDEX(EvID,MATCH(INDEX(FormData,$H67,f_Event),EvName,0)),IFERROR(INDEX(EvID,MATCH(INT($C67),EvDate,0)),"(no event that day)"))))</f>
        <v/>
      </c>
      <c r="F67" s="16">
        <f>IF($H67="","",IFERROR(IF(SUMPRODUCT(MAX((WhoKW&lt;&gt;"")*ISNUMBER(SEARCH(WhoKW,INDEX(FormData,$H67,f_Who)&amp;""))*(ROW(WhoKW)-MIN(ROW(WhoKW))+1)))=0,"",INDEX(WhoVal,SUMPRODUCT(MAX((WhoKW&lt;&gt;"")*ISNUMBER(SEARCH(WhoKW,INDEX(FormData,$H67,f_Who)&amp;""))*(ROW(WhoKW)-MIN(ROW(WhoKW))+1))))),""))</f>
        <v/>
      </c>
      <c r="G67" s="14">
        <f>IF($H67="","",IF(COUNTIF(People!$U$5:$U$604,$B67)+COUNTIF(People!$U$5:$U$604,$B67&amp;"")&gt;0,"✓ logged","→ add"))</f>
        <v/>
      </c>
      <c r="H67">
        <f>IFERROR(IF(INDEX(FormData,64,f_Id)&amp;""="","",64),"")</f>
        <v/>
      </c>
      <c r="I67" s="16">
        <f>IF($H67="","",IFERROR(INDEX(FormData,$H67,f_Need)&amp;"",""))</f>
        <v/>
      </c>
    </row>
    <row r="68">
      <c r="A68" s="14" t="n">
        <v>64</v>
      </c>
      <c r="B68" s="14">
        <f>IF($H68="","",INDEX(FormData,$H68,f_Id))</f>
        <v/>
      </c>
      <c r="C68" s="15">
        <f>IF($H68="","",IFERROR(INDEX(FormData,$H68,f_Time),""))</f>
        <v/>
      </c>
      <c r="D68" s="14">
        <f>IF($H68="","",IFERROR(UPPER(LEFT(TRIM(INDEX(FormData,$H68,f_Name)),1)&amp;IFERROR(MID(TRIM(INDEX(FormData,$H68,f_Name)),FIND("^",SUBSTITUTE(TRIM(INDEX(FormData,$H68,f_Name))," ","^",LEN(TRIM(INDEX(FormData,$H68,f_Name)))-LEN(SUBSTITUTE(TRIM(INDEX(FormData,$H68,f_Name))," ",""))))+1,1),"")),""))</f>
        <v/>
      </c>
      <c r="E68" s="16">
        <f>IF($H68="","",IFERROR(INDEX(EvID,MATCH(INDEX(FormData,$H68,f_Event),EvID,0)),IFERROR(INDEX(EvID,MATCH(INDEX(FormData,$H68,f_Event),EvName,0)),IFERROR(INDEX(EvID,MATCH(INT($C68),EvDate,0)),"(no event that day)"))))</f>
        <v/>
      </c>
      <c r="F68" s="16">
        <f>IF($H68="","",IFERROR(IF(SUMPRODUCT(MAX((WhoKW&lt;&gt;"")*ISNUMBER(SEARCH(WhoKW,INDEX(FormData,$H68,f_Who)&amp;""))*(ROW(WhoKW)-MIN(ROW(WhoKW))+1)))=0,"",INDEX(WhoVal,SUMPRODUCT(MAX((WhoKW&lt;&gt;"")*ISNUMBER(SEARCH(WhoKW,INDEX(FormData,$H68,f_Who)&amp;""))*(ROW(WhoKW)-MIN(ROW(WhoKW))+1))))),""))</f>
        <v/>
      </c>
      <c r="G68" s="14">
        <f>IF($H68="","",IF(COUNTIF(People!$U$5:$U$604,$B68)+COUNTIF(People!$U$5:$U$604,$B68&amp;"")&gt;0,"✓ logged","→ add"))</f>
        <v/>
      </c>
      <c r="H68">
        <f>IFERROR(IF(INDEX(FormData,65,f_Id)&amp;""="","",65),"")</f>
        <v/>
      </c>
      <c r="I68" s="16">
        <f>IF($H68="","",IFERROR(INDEX(FormData,$H68,f_Need)&amp;"",""))</f>
        <v/>
      </c>
    </row>
    <row r="69">
      <c r="A69" s="14" t="n">
        <v>65</v>
      </c>
      <c r="B69" s="14">
        <f>IF($H69="","",INDEX(FormData,$H69,f_Id))</f>
        <v/>
      </c>
      <c r="C69" s="15">
        <f>IF($H69="","",IFERROR(INDEX(FormData,$H69,f_Time),""))</f>
        <v/>
      </c>
      <c r="D69" s="14">
        <f>IF($H69="","",IFERROR(UPPER(LEFT(TRIM(INDEX(FormData,$H69,f_Name)),1)&amp;IFERROR(MID(TRIM(INDEX(FormData,$H69,f_Name)),FIND("^",SUBSTITUTE(TRIM(INDEX(FormData,$H69,f_Name))," ","^",LEN(TRIM(INDEX(FormData,$H69,f_Name)))-LEN(SUBSTITUTE(TRIM(INDEX(FormData,$H69,f_Name))," ",""))))+1,1),"")),""))</f>
        <v/>
      </c>
      <c r="E69" s="16">
        <f>IF($H69="","",IFERROR(INDEX(EvID,MATCH(INDEX(FormData,$H69,f_Event),EvID,0)),IFERROR(INDEX(EvID,MATCH(INDEX(FormData,$H69,f_Event),EvName,0)),IFERROR(INDEX(EvID,MATCH(INT($C69),EvDate,0)),"(no event that day)"))))</f>
        <v/>
      </c>
      <c r="F69" s="16">
        <f>IF($H69="","",IFERROR(IF(SUMPRODUCT(MAX((WhoKW&lt;&gt;"")*ISNUMBER(SEARCH(WhoKW,INDEX(FormData,$H69,f_Who)&amp;""))*(ROW(WhoKW)-MIN(ROW(WhoKW))+1)))=0,"",INDEX(WhoVal,SUMPRODUCT(MAX((WhoKW&lt;&gt;"")*ISNUMBER(SEARCH(WhoKW,INDEX(FormData,$H69,f_Who)&amp;""))*(ROW(WhoKW)-MIN(ROW(WhoKW))+1))))),""))</f>
        <v/>
      </c>
      <c r="G69" s="14">
        <f>IF($H69="","",IF(COUNTIF(People!$U$5:$U$604,$B69)+COUNTIF(People!$U$5:$U$604,$B69&amp;"")&gt;0,"✓ logged","→ add"))</f>
        <v/>
      </c>
      <c r="H69">
        <f>IFERROR(IF(INDEX(FormData,66,f_Id)&amp;""="","",66),"")</f>
        <v/>
      </c>
      <c r="I69" s="16">
        <f>IF($H69="","",IFERROR(INDEX(FormData,$H69,f_Need)&amp;"",""))</f>
        <v/>
      </c>
    </row>
    <row r="70">
      <c r="A70" s="14" t="n">
        <v>66</v>
      </c>
      <c r="B70" s="14">
        <f>IF($H70="","",INDEX(FormData,$H70,f_Id))</f>
        <v/>
      </c>
      <c r="C70" s="15">
        <f>IF($H70="","",IFERROR(INDEX(FormData,$H70,f_Time),""))</f>
        <v/>
      </c>
      <c r="D70" s="14">
        <f>IF($H70="","",IFERROR(UPPER(LEFT(TRIM(INDEX(FormData,$H70,f_Name)),1)&amp;IFERROR(MID(TRIM(INDEX(FormData,$H70,f_Name)),FIND("^",SUBSTITUTE(TRIM(INDEX(FormData,$H70,f_Name))," ","^",LEN(TRIM(INDEX(FormData,$H70,f_Name)))-LEN(SUBSTITUTE(TRIM(INDEX(FormData,$H70,f_Name))," ",""))))+1,1),"")),""))</f>
        <v/>
      </c>
      <c r="E70" s="16">
        <f>IF($H70="","",IFERROR(INDEX(EvID,MATCH(INDEX(FormData,$H70,f_Event),EvID,0)),IFERROR(INDEX(EvID,MATCH(INDEX(FormData,$H70,f_Event),EvName,0)),IFERROR(INDEX(EvID,MATCH(INT($C70),EvDate,0)),"(no event that day)"))))</f>
        <v/>
      </c>
      <c r="F70" s="16">
        <f>IF($H70="","",IFERROR(IF(SUMPRODUCT(MAX((WhoKW&lt;&gt;"")*ISNUMBER(SEARCH(WhoKW,INDEX(FormData,$H70,f_Who)&amp;""))*(ROW(WhoKW)-MIN(ROW(WhoKW))+1)))=0,"",INDEX(WhoVal,SUMPRODUCT(MAX((WhoKW&lt;&gt;"")*ISNUMBER(SEARCH(WhoKW,INDEX(FormData,$H70,f_Who)&amp;""))*(ROW(WhoKW)-MIN(ROW(WhoKW))+1))))),""))</f>
        <v/>
      </c>
      <c r="G70" s="14">
        <f>IF($H70="","",IF(COUNTIF(People!$U$5:$U$604,$B70)+COUNTIF(People!$U$5:$U$604,$B70&amp;"")&gt;0,"✓ logged","→ add"))</f>
        <v/>
      </c>
      <c r="H70">
        <f>IFERROR(IF(INDEX(FormData,67,f_Id)&amp;""="","",67),"")</f>
        <v/>
      </c>
      <c r="I70" s="16">
        <f>IF($H70="","",IFERROR(INDEX(FormData,$H70,f_Need)&amp;"",""))</f>
        <v/>
      </c>
    </row>
    <row r="71">
      <c r="A71" s="14" t="n">
        <v>67</v>
      </c>
      <c r="B71" s="14">
        <f>IF($H71="","",INDEX(FormData,$H71,f_Id))</f>
        <v/>
      </c>
      <c r="C71" s="15">
        <f>IF($H71="","",IFERROR(INDEX(FormData,$H71,f_Time),""))</f>
        <v/>
      </c>
      <c r="D71" s="14">
        <f>IF($H71="","",IFERROR(UPPER(LEFT(TRIM(INDEX(FormData,$H71,f_Name)),1)&amp;IFERROR(MID(TRIM(INDEX(FormData,$H71,f_Name)),FIND("^",SUBSTITUTE(TRIM(INDEX(FormData,$H71,f_Name))," ","^",LEN(TRIM(INDEX(FormData,$H71,f_Name)))-LEN(SUBSTITUTE(TRIM(INDEX(FormData,$H71,f_Name))," ",""))))+1,1),"")),""))</f>
        <v/>
      </c>
      <c r="E71" s="16">
        <f>IF($H71="","",IFERROR(INDEX(EvID,MATCH(INDEX(FormData,$H71,f_Event),EvID,0)),IFERROR(INDEX(EvID,MATCH(INDEX(FormData,$H71,f_Event),EvName,0)),IFERROR(INDEX(EvID,MATCH(INT($C71),EvDate,0)),"(no event that day)"))))</f>
        <v/>
      </c>
      <c r="F71" s="16">
        <f>IF($H71="","",IFERROR(IF(SUMPRODUCT(MAX((WhoKW&lt;&gt;"")*ISNUMBER(SEARCH(WhoKW,INDEX(FormData,$H71,f_Who)&amp;""))*(ROW(WhoKW)-MIN(ROW(WhoKW))+1)))=0,"",INDEX(WhoVal,SUMPRODUCT(MAX((WhoKW&lt;&gt;"")*ISNUMBER(SEARCH(WhoKW,INDEX(FormData,$H71,f_Who)&amp;""))*(ROW(WhoKW)-MIN(ROW(WhoKW))+1))))),""))</f>
        <v/>
      </c>
      <c r="G71" s="14">
        <f>IF($H71="","",IF(COUNTIF(People!$U$5:$U$604,$B71)+COUNTIF(People!$U$5:$U$604,$B71&amp;"")&gt;0,"✓ logged","→ add"))</f>
        <v/>
      </c>
      <c r="H71">
        <f>IFERROR(IF(INDEX(FormData,68,f_Id)&amp;""="","",68),"")</f>
        <v/>
      </c>
      <c r="I71" s="16">
        <f>IF($H71="","",IFERROR(INDEX(FormData,$H71,f_Need)&amp;"",""))</f>
        <v/>
      </c>
    </row>
    <row r="72">
      <c r="A72" s="14" t="n">
        <v>68</v>
      </c>
      <c r="B72" s="14">
        <f>IF($H72="","",INDEX(FormData,$H72,f_Id))</f>
        <v/>
      </c>
      <c r="C72" s="15">
        <f>IF($H72="","",IFERROR(INDEX(FormData,$H72,f_Time),""))</f>
        <v/>
      </c>
      <c r="D72" s="14">
        <f>IF($H72="","",IFERROR(UPPER(LEFT(TRIM(INDEX(FormData,$H72,f_Name)),1)&amp;IFERROR(MID(TRIM(INDEX(FormData,$H72,f_Name)),FIND("^",SUBSTITUTE(TRIM(INDEX(FormData,$H72,f_Name))," ","^",LEN(TRIM(INDEX(FormData,$H72,f_Name)))-LEN(SUBSTITUTE(TRIM(INDEX(FormData,$H72,f_Name))," ",""))))+1,1),"")),""))</f>
        <v/>
      </c>
      <c r="E72" s="16">
        <f>IF($H72="","",IFERROR(INDEX(EvID,MATCH(INDEX(FormData,$H72,f_Event),EvID,0)),IFERROR(INDEX(EvID,MATCH(INDEX(FormData,$H72,f_Event),EvName,0)),IFERROR(INDEX(EvID,MATCH(INT($C72),EvDate,0)),"(no event that day)"))))</f>
        <v/>
      </c>
      <c r="F72" s="16">
        <f>IF($H72="","",IFERROR(IF(SUMPRODUCT(MAX((WhoKW&lt;&gt;"")*ISNUMBER(SEARCH(WhoKW,INDEX(FormData,$H72,f_Who)&amp;""))*(ROW(WhoKW)-MIN(ROW(WhoKW))+1)))=0,"",INDEX(WhoVal,SUMPRODUCT(MAX((WhoKW&lt;&gt;"")*ISNUMBER(SEARCH(WhoKW,INDEX(FormData,$H72,f_Who)&amp;""))*(ROW(WhoKW)-MIN(ROW(WhoKW))+1))))),""))</f>
        <v/>
      </c>
      <c r="G72" s="14">
        <f>IF($H72="","",IF(COUNTIF(People!$U$5:$U$604,$B72)+COUNTIF(People!$U$5:$U$604,$B72&amp;"")&gt;0,"✓ logged","→ add"))</f>
        <v/>
      </c>
      <c r="H72">
        <f>IFERROR(IF(INDEX(FormData,69,f_Id)&amp;""="","",69),"")</f>
        <v/>
      </c>
      <c r="I72" s="16">
        <f>IF($H72="","",IFERROR(INDEX(FormData,$H72,f_Need)&amp;"",""))</f>
        <v/>
      </c>
    </row>
    <row r="73">
      <c r="A73" s="14" t="n">
        <v>69</v>
      </c>
      <c r="B73" s="14">
        <f>IF($H73="","",INDEX(FormData,$H73,f_Id))</f>
        <v/>
      </c>
      <c r="C73" s="15">
        <f>IF($H73="","",IFERROR(INDEX(FormData,$H73,f_Time),""))</f>
        <v/>
      </c>
      <c r="D73" s="14">
        <f>IF($H73="","",IFERROR(UPPER(LEFT(TRIM(INDEX(FormData,$H73,f_Name)),1)&amp;IFERROR(MID(TRIM(INDEX(FormData,$H73,f_Name)),FIND("^",SUBSTITUTE(TRIM(INDEX(FormData,$H73,f_Name))," ","^",LEN(TRIM(INDEX(FormData,$H73,f_Name)))-LEN(SUBSTITUTE(TRIM(INDEX(FormData,$H73,f_Name))," ",""))))+1,1),"")),""))</f>
        <v/>
      </c>
      <c r="E73" s="16">
        <f>IF($H73="","",IFERROR(INDEX(EvID,MATCH(INDEX(FormData,$H73,f_Event),EvID,0)),IFERROR(INDEX(EvID,MATCH(INDEX(FormData,$H73,f_Event),EvName,0)),IFERROR(INDEX(EvID,MATCH(INT($C73),EvDate,0)),"(no event that day)"))))</f>
        <v/>
      </c>
      <c r="F73" s="16">
        <f>IF($H73="","",IFERROR(IF(SUMPRODUCT(MAX((WhoKW&lt;&gt;"")*ISNUMBER(SEARCH(WhoKW,INDEX(FormData,$H73,f_Who)&amp;""))*(ROW(WhoKW)-MIN(ROW(WhoKW))+1)))=0,"",INDEX(WhoVal,SUMPRODUCT(MAX((WhoKW&lt;&gt;"")*ISNUMBER(SEARCH(WhoKW,INDEX(FormData,$H73,f_Who)&amp;""))*(ROW(WhoKW)-MIN(ROW(WhoKW))+1))))),""))</f>
        <v/>
      </c>
      <c r="G73" s="14">
        <f>IF($H73="","",IF(COUNTIF(People!$U$5:$U$604,$B73)+COUNTIF(People!$U$5:$U$604,$B73&amp;"")&gt;0,"✓ logged","→ add"))</f>
        <v/>
      </c>
      <c r="H73">
        <f>IFERROR(IF(INDEX(FormData,70,f_Id)&amp;""="","",70),"")</f>
        <v/>
      </c>
      <c r="I73" s="16">
        <f>IF($H73="","",IFERROR(INDEX(FormData,$H73,f_Need)&amp;"",""))</f>
        <v/>
      </c>
    </row>
    <row r="74">
      <c r="A74" s="14" t="n">
        <v>70</v>
      </c>
      <c r="B74" s="14">
        <f>IF($H74="","",INDEX(FormData,$H74,f_Id))</f>
        <v/>
      </c>
      <c r="C74" s="15">
        <f>IF($H74="","",IFERROR(INDEX(FormData,$H74,f_Time),""))</f>
        <v/>
      </c>
      <c r="D74" s="14">
        <f>IF($H74="","",IFERROR(UPPER(LEFT(TRIM(INDEX(FormData,$H74,f_Name)),1)&amp;IFERROR(MID(TRIM(INDEX(FormData,$H74,f_Name)),FIND("^",SUBSTITUTE(TRIM(INDEX(FormData,$H74,f_Name))," ","^",LEN(TRIM(INDEX(FormData,$H74,f_Name)))-LEN(SUBSTITUTE(TRIM(INDEX(FormData,$H74,f_Name))," ",""))))+1,1),"")),""))</f>
        <v/>
      </c>
      <c r="E74" s="16">
        <f>IF($H74="","",IFERROR(INDEX(EvID,MATCH(INDEX(FormData,$H74,f_Event),EvID,0)),IFERROR(INDEX(EvID,MATCH(INDEX(FormData,$H74,f_Event),EvName,0)),IFERROR(INDEX(EvID,MATCH(INT($C74),EvDate,0)),"(no event that day)"))))</f>
        <v/>
      </c>
      <c r="F74" s="16">
        <f>IF($H74="","",IFERROR(IF(SUMPRODUCT(MAX((WhoKW&lt;&gt;"")*ISNUMBER(SEARCH(WhoKW,INDEX(FormData,$H74,f_Who)&amp;""))*(ROW(WhoKW)-MIN(ROW(WhoKW))+1)))=0,"",INDEX(WhoVal,SUMPRODUCT(MAX((WhoKW&lt;&gt;"")*ISNUMBER(SEARCH(WhoKW,INDEX(FormData,$H74,f_Who)&amp;""))*(ROW(WhoKW)-MIN(ROW(WhoKW))+1))))),""))</f>
        <v/>
      </c>
      <c r="G74" s="14">
        <f>IF($H74="","",IF(COUNTIF(People!$U$5:$U$604,$B74)+COUNTIF(People!$U$5:$U$604,$B74&amp;"")&gt;0,"✓ logged","→ add"))</f>
        <v/>
      </c>
      <c r="H74">
        <f>IFERROR(IF(INDEX(FormData,71,f_Id)&amp;""="","",71),"")</f>
        <v/>
      </c>
      <c r="I74" s="16">
        <f>IF($H74="","",IFERROR(INDEX(FormData,$H74,f_Need)&amp;"",""))</f>
        <v/>
      </c>
    </row>
    <row r="75">
      <c r="A75" s="14" t="n">
        <v>71</v>
      </c>
      <c r="B75" s="14">
        <f>IF($H75="","",INDEX(FormData,$H75,f_Id))</f>
        <v/>
      </c>
      <c r="C75" s="15">
        <f>IF($H75="","",IFERROR(INDEX(FormData,$H75,f_Time),""))</f>
        <v/>
      </c>
      <c r="D75" s="14">
        <f>IF($H75="","",IFERROR(UPPER(LEFT(TRIM(INDEX(FormData,$H75,f_Name)),1)&amp;IFERROR(MID(TRIM(INDEX(FormData,$H75,f_Name)),FIND("^",SUBSTITUTE(TRIM(INDEX(FormData,$H75,f_Name))," ","^",LEN(TRIM(INDEX(FormData,$H75,f_Name)))-LEN(SUBSTITUTE(TRIM(INDEX(FormData,$H75,f_Name))," ",""))))+1,1),"")),""))</f>
        <v/>
      </c>
      <c r="E75" s="16">
        <f>IF($H75="","",IFERROR(INDEX(EvID,MATCH(INDEX(FormData,$H75,f_Event),EvID,0)),IFERROR(INDEX(EvID,MATCH(INDEX(FormData,$H75,f_Event),EvName,0)),IFERROR(INDEX(EvID,MATCH(INT($C75),EvDate,0)),"(no event that day)"))))</f>
        <v/>
      </c>
      <c r="F75" s="16">
        <f>IF($H75="","",IFERROR(IF(SUMPRODUCT(MAX((WhoKW&lt;&gt;"")*ISNUMBER(SEARCH(WhoKW,INDEX(FormData,$H75,f_Who)&amp;""))*(ROW(WhoKW)-MIN(ROW(WhoKW))+1)))=0,"",INDEX(WhoVal,SUMPRODUCT(MAX((WhoKW&lt;&gt;"")*ISNUMBER(SEARCH(WhoKW,INDEX(FormData,$H75,f_Who)&amp;""))*(ROW(WhoKW)-MIN(ROW(WhoKW))+1))))),""))</f>
        <v/>
      </c>
      <c r="G75" s="14">
        <f>IF($H75="","",IF(COUNTIF(People!$U$5:$U$604,$B75)+COUNTIF(People!$U$5:$U$604,$B75&amp;"")&gt;0,"✓ logged","→ add"))</f>
        <v/>
      </c>
      <c r="H75">
        <f>IFERROR(IF(INDEX(FormData,72,f_Id)&amp;""="","",72),"")</f>
        <v/>
      </c>
      <c r="I75" s="16">
        <f>IF($H75="","",IFERROR(INDEX(FormData,$H75,f_Need)&amp;"",""))</f>
        <v/>
      </c>
    </row>
    <row r="76">
      <c r="A76" s="14" t="n">
        <v>72</v>
      </c>
      <c r="B76" s="14">
        <f>IF($H76="","",INDEX(FormData,$H76,f_Id))</f>
        <v/>
      </c>
      <c r="C76" s="15">
        <f>IF($H76="","",IFERROR(INDEX(FormData,$H76,f_Time),""))</f>
        <v/>
      </c>
      <c r="D76" s="14">
        <f>IF($H76="","",IFERROR(UPPER(LEFT(TRIM(INDEX(FormData,$H76,f_Name)),1)&amp;IFERROR(MID(TRIM(INDEX(FormData,$H76,f_Name)),FIND("^",SUBSTITUTE(TRIM(INDEX(FormData,$H76,f_Name))," ","^",LEN(TRIM(INDEX(FormData,$H76,f_Name)))-LEN(SUBSTITUTE(TRIM(INDEX(FormData,$H76,f_Name))," ",""))))+1,1),"")),""))</f>
        <v/>
      </c>
      <c r="E76" s="16">
        <f>IF($H76="","",IFERROR(INDEX(EvID,MATCH(INDEX(FormData,$H76,f_Event),EvID,0)),IFERROR(INDEX(EvID,MATCH(INDEX(FormData,$H76,f_Event),EvName,0)),IFERROR(INDEX(EvID,MATCH(INT($C76),EvDate,0)),"(no event that day)"))))</f>
        <v/>
      </c>
      <c r="F76" s="16">
        <f>IF($H76="","",IFERROR(IF(SUMPRODUCT(MAX((WhoKW&lt;&gt;"")*ISNUMBER(SEARCH(WhoKW,INDEX(FormData,$H76,f_Who)&amp;""))*(ROW(WhoKW)-MIN(ROW(WhoKW))+1)))=0,"",INDEX(WhoVal,SUMPRODUCT(MAX((WhoKW&lt;&gt;"")*ISNUMBER(SEARCH(WhoKW,INDEX(FormData,$H76,f_Who)&amp;""))*(ROW(WhoKW)-MIN(ROW(WhoKW))+1))))),""))</f>
        <v/>
      </c>
      <c r="G76" s="14">
        <f>IF($H76="","",IF(COUNTIF(People!$U$5:$U$604,$B76)+COUNTIF(People!$U$5:$U$604,$B76&amp;"")&gt;0,"✓ logged","→ add"))</f>
        <v/>
      </c>
      <c r="H76">
        <f>IFERROR(IF(INDEX(FormData,73,f_Id)&amp;""="","",73),"")</f>
        <v/>
      </c>
      <c r="I76" s="16">
        <f>IF($H76="","",IFERROR(INDEX(FormData,$H76,f_Need)&amp;"",""))</f>
        <v/>
      </c>
    </row>
    <row r="77">
      <c r="A77" s="14" t="n">
        <v>73</v>
      </c>
      <c r="B77" s="14">
        <f>IF($H77="","",INDEX(FormData,$H77,f_Id))</f>
        <v/>
      </c>
      <c r="C77" s="15">
        <f>IF($H77="","",IFERROR(INDEX(FormData,$H77,f_Time),""))</f>
        <v/>
      </c>
      <c r="D77" s="14">
        <f>IF($H77="","",IFERROR(UPPER(LEFT(TRIM(INDEX(FormData,$H77,f_Name)),1)&amp;IFERROR(MID(TRIM(INDEX(FormData,$H77,f_Name)),FIND("^",SUBSTITUTE(TRIM(INDEX(FormData,$H77,f_Name))," ","^",LEN(TRIM(INDEX(FormData,$H77,f_Name)))-LEN(SUBSTITUTE(TRIM(INDEX(FormData,$H77,f_Name))," ",""))))+1,1),"")),""))</f>
        <v/>
      </c>
      <c r="E77" s="16">
        <f>IF($H77="","",IFERROR(INDEX(EvID,MATCH(INDEX(FormData,$H77,f_Event),EvID,0)),IFERROR(INDEX(EvID,MATCH(INDEX(FormData,$H77,f_Event),EvName,0)),IFERROR(INDEX(EvID,MATCH(INT($C77),EvDate,0)),"(no event that day)"))))</f>
        <v/>
      </c>
      <c r="F77" s="16">
        <f>IF($H77="","",IFERROR(IF(SUMPRODUCT(MAX((WhoKW&lt;&gt;"")*ISNUMBER(SEARCH(WhoKW,INDEX(FormData,$H77,f_Who)&amp;""))*(ROW(WhoKW)-MIN(ROW(WhoKW))+1)))=0,"",INDEX(WhoVal,SUMPRODUCT(MAX((WhoKW&lt;&gt;"")*ISNUMBER(SEARCH(WhoKW,INDEX(FormData,$H77,f_Who)&amp;""))*(ROW(WhoKW)-MIN(ROW(WhoKW))+1))))),""))</f>
        <v/>
      </c>
      <c r="G77" s="14">
        <f>IF($H77="","",IF(COUNTIF(People!$U$5:$U$604,$B77)+COUNTIF(People!$U$5:$U$604,$B77&amp;"")&gt;0,"✓ logged","→ add"))</f>
        <v/>
      </c>
      <c r="H77">
        <f>IFERROR(IF(INDEX(FormData,74,f_Id)&amp;""="","",74),"")</f>
        <v/>
      </c>
      <c r="I77" s="16">
        <f>IF($H77="","",IFERROR(INDEX(FormData,$H77,f_Need)&amp;"",""))</f>
        <v/>
      </c>
    </row>
    <row r="78">
      <c r="A78" s="14" t="n">
        <v>74</v>
      </c>
      <c r="B78" s="14">
        <f>IF($H78="","",INDEX(FormData,$H78,f_Id))</f>
        <v/>
      </c>
      <c r="C78" s="15">
        <f>IF($H78="","",IFERROR(INDEX(FormData,$H78,f_Time),""))</f>
        <v/>
      </c>
      <c r="D78" s="14">
        <f>IF($H78="","",IFERROR(UPPER(LEFT(TRIM(INDEX(FormData,$H78,f_Name)),1)&amp;IFERROR(MID(TRIM(INDEX(FormData,$H78,f_Name)),FIND("^",SUBSTITUTE(TRIM(INDEX(FormData,$H78,f_Name))," ","^",LEN(TRIM(INDEX(FormData,$H78,f_Name)))-LEN(SUBSTITUTE(TRIM(INDEX(FormData,$H78,f_Name))," ",""))))+1,1),"")),""))</f>
        <v/>
      </c>
      <c r="E78" s="16">
        <f>IF($H78="","",IFERROR(INDEX(EvID,MATCH(INDEX(FormData,$H78,f_Event),EvID,0)),IFERROR(INDEX(EvID,MATCH(INDEX(FormData,$H78,f_Event),EvName,0)),IFERROR(INDEX(EvID,MATCH(INT($C78),EvDate,0)),"(no event that day)"))))</f>
        <v/>
      </c>
      <c r="F78" s="16">
        <f>IF($H78="","",IFERROR(IF(SUMPRODUCT(MAX((WhoKW&lt;&gt;"")*ISNUMBER(SEARCH(WhoKW,INDEX(FormData,$H78,f_Who)&amp;""))*(ROW(WhoKW)-MIN(ROW(WhoKW))+1)))=0,"",INDEX(WhoVal,SUMPRODUCT(MAX((WhoKW&lt;&gt;"")*ISNUMBER(SEARCH(WhoKW,INDEX(FormData,$H78,f_Who)&amp;""))*(ROW(WhoKW)-MIN(ROW(WhoKW))+1))))),""))</f>
        <v/>
      </c>
      <c r="G78" s="14">
        <f>IF($H78="","",IF(COUNTIF(People!$U$5:$U$604,$B78)+COUNTIF(People!$U$5:$U$604,$B78&amp;"")&gt;0,"✓ logged","→ add"))</f>
        <v/>
      </c>
      <c r="H78">
        <f>IFERROR(IF(INDEX(FormData,75,f_Id)&amp;""="","",75),"")</f>
        <v/>
      </c>
      <c r="I78" s="16">
        <f>IF($H78="","",IFERROR(INDEX(FormData,$H78,f_Need)&amp;"",""))</f>
        <v/>
      </c>
    </row>
    <row r="79">
      <c r="A79" s="14" t="n">
        <v>75</v>
      </c>
      <c r="B79" s="14">
        <f>IF($H79="","",INDEX(FormData,$H79,f_Id))</f>
        <v/>
      </c>
      <c r="C79" s="15">
        <f>IF($H79="","",IFERROR(INDEX(FormData,$H79,f_Time),""))</f>
        <v/>
      </c>
      <c r="D79" s="14">
        <f>IF($H79="","",IFERROR(UPPER(LEFT(TRIM(INDEX(FormData,$H79,f_Name)),1)&amp;IFERROR(MID(TRIM(INDEX(FormData,$H79,f_Name)),FIND("^",SUBSTITUTE(TRIM(INDEX(FormData,$H79,f_Name))," ","^",LEN(TRIM(INDEX(FormData,$H79,f_Name)))-LEN(SUBSTITUTE(TRIM(INDEX(FormData,$H79,f_Name))," ",""))))+1,1),"")),""))</f>
        <v/>
      </c>
      <c r="E79" s="16">
        <f>IF($H79="","",IFERROR(INDEX(EvID,MATCH(INDEX(FormData,$H79,f_Event),EvID,0)),IFERROR(INDEX(EvID,MATCH(INDEX(FormData,$H79,f_Event),EvName,0)),IFERROR(INDEX(EvID,MATCH(INT($C79),EvDate,0)),"(no event that day)"))))</f>
        <v/>
      </c>
      <c r="F79" s="16">
        <f>IF($H79="","",IFERROR(IF(SUMPRODUCT(MAX((WhoKW&lt;&gt;"")*ISNUMBER(SEARCH(WhoKW,INDEX(FormData,$H79,f_Who)&amp;""))*(ROW(WhoKW)-MIN(ROW(WhoKW))+1)))=0,"",INDEX(WhoVal,SUMPRODUCT(MAX((WhoKW&lt;&gt;"")*ISNUMBER(SEARCH(WhoKW,INDEX(FormData,$H79,f_Who)&amp;""))*(ROW(WhoKW)-MIN(ROW(WhoKW))+1))))),""))</f>
        <v/>
      </c>
      <c r="G79" s="14">
        <f>IF($H79="","",IF(COUNTIF(People!$U$5:$U$604,$B79)+COUNTIF(People!$U$5:$U$604,$B79&amp;"")&gt;0,"✓ logged","→ add"))</f>
        <v/>
      </c>
      <c r="H79">
        <f>IFERROR(IF(INDEX(FormData,76,f_Id)&amp;""="","",76),"")</f>
        <v/>
      </c>
      <c r="I79" s="16">
        <f>IF($H79="","",IFERROR(INDEX(FormData,$H79,f_Need)&amp;"",""))</f>
        <v/>
      </c>
    </row>
    <row r="80">
      <c r="A80" s="14" t="n">
        <v>76</v>
      </c>
      <c r="B80" s="14">
        <f>IF($H80="","",INDEX(FormData,$H80,f_Id))</f>
        <v/>
      </c>
      <c r="C80" s="15">
        <f>IF($H80="","",IFERROR(INDEX(FormData,$H80,f_Time),""))</f>
        <v/>
      </c>
      <c r="D80" s="14">
        <f>IF($H80="","",IFERROR(UPPER(LEFT(TRIM(INDEX(FormData,$H80,f_Name)),1)&amp;IFERROR(MID(TRIM(INDEX(FormData,$H80,f_Name)),FIND("^",SUBSTITUTE(TRIM(INDEX(FormData,$H80,f_Name))," ","^",LEN(TRIM(INDEX(FormData,$H80,f_Name)))-LEN(SUBSTITUTE(TRIM(INDEX(FormData,$H80,f_Name))," ",""))))+1,1),"")),""))</f>
        <v/>
      </c>
      <c r="E80" s="16">
        <f>IF($H80="","",IFERROR(INDEX(EvID,MATCH(INDEX(FormData,$H80,f_Event),EvID,0)),IFERROR(INDEX(EvID,MATCH(INDEX(FormData,$H80,f_Event),EvName,0)),IFERROR(INDEX(EvID,MATCH(INT($C80),EvDate,0)),"(no event that day)"))))</f>
        <v/>
      </c>
      <c r="F80" s="16">
        <f>IF($H80="","",IFERROR(IF(SUMPRODUCT(MAX((WhoKW&lt;&gt;"")*ISNUMBER(SEARCH(WhoKW,INDEX(FormData,$H80,f_Who)&amp;""))*(ROW(WhoKW)-MIN(ROW(WhoKW))+1)))=0,"",INDEX(WhoVal,SUMPRODUCT(MAX((WhoKW&lt;&gt;"")*ISNUMBER(SEARCH(WhoKW,INDEX(FormData,$H80,f_Who)&amp;""))*(ROW(WhoKW)-MIN(ROW(WhoKW))+1))))),""))</f>
        <v/>
      </c>
      <c r="G80" s="14">
        <f>IF($H80="","",IF(COUNTIF(People!$U$5:$U$604,$B80)+COUNTIF(People!$U$5:$U$604,$B80&amp;"")&gt;0,"✓ logged","→ add"))</f>
        <v/>
      </c>
      <c r="H80">
        <f>IFERROR(IF(INDEX(FormData,77,f_Id)&amp;""="","",77),"")</f>
        <v/>
      </c>
      <c r="I80" s="16">
        <f>IF($H80="","",IFERROR(INDEX(FormData,$H80,f_Need)&amp;"",""))</f>
        <v/>
      </c>
    </row>
    <row r="81">
      <c r="A81" s="14" t="n">
        <v>77</v>
      </c>
      <c r="B81" s="14">
        <f>IF($H81="","",INDEX(FormData,$H81,f_Id))</f>
        <v/>
      </c>
      <c r="C81" s="15">
        <f>IF($H81="","",IFERROR(INDEX(FormData,$H81,f_Time),""))</f>
        <v/>
      </c>
      <c r="D81" s="14">
        <f>IF($H81="","",IFERROR(UPPER(LEFT(TRIM(INDEX(FormData,$H81,f_Name)),1)&amp;IFERROR(MID(TRIM(INDEX(FormData,$H81,f_Name)),FIND("^",SUBSTITUTE(TRIM(INDEX(FormData,$H81,f_Name))," ","^",LEN(TRIM(INDEX(FormData,$H81,f_Name)))-LEN(SUBSTITUTE(TRIM(INDEX(FormData,$H81,f_Name))," ",""))))+1,1),"")),""))</f>
        <v/>
      </c>
      <c r="E81" s="16">
        <f>IF($H81="","",IFERROR(INDEX(EvID,MATCH(INDEX(FormData,$H81,f_Event),EvID,0)),IFERROR(INDEX(EvID,MATCH(INDEX(FormData,$H81,f_Event),EvName,0)),IFERROR(INDEX(EvID,MATCH(INT($C81),EvDate,0)),"(no event that day)"))))</f>
        <v/>
      </c>
      <c r="F81" s="16">
        <f>IF($H81="","",IFERROR(IF(SUMPRODUCT(MAX((WhoKW&lt;&gt;"")*ISNUMBER(SEARCH(WhoKW,INDEX(FormData,$H81,f_Who)&amp;""))*(ROW(WhoKW)-MIN(ROW(WhoKW))+1)))=0,"",INDEX(WhoVal,SUMPRODUCT(MAX((WhoKW&lt;&gt;"")*ISNUMBER(SEARCH(WhoKW,INDEX(FormData,$H81,f_Who)&amp;""))*(ROW(WhoKW)-MIN(ROW(WhoKW))+1))))),""))</f>
        <v/>
      </c>
      <c r="G81" s="14">
        <f>IF($H81="","",IF(COUNTIF(People!$U$5:$U$604,$B81)+COUNTIF(People!$U$5:$U$604,$B81&amp;"")&gt;0,"✓ logged","→ add"))</f>
        <v/>
      </c>
      <c r="H81">
        <f>IFERROR(IF(INDEX(FormData,78,f_Id)&amp;""="","",78),"")</f>
        <v/>
      </c>
      <c r="I81" s="16">
        <f>IF($H81="","",IFERROR(INDEX(FormData,$H81,f_Need)&amp;"",""))</f>
        <v/>
      </c>
    </row>
    <row r="82">
      <c r="A82" s="14" t="n">
        <v>78</v>
      </c>
      <c r="B82" s="14">
        <f>IF($H82="","",INDEX(FormData,$H82,f_Id))</f>
        <v/>
      </c>
      <c r="C82" s="15">
        <f>IF($H82="","",IFERROR(INDEX(FormData,$H82,f_Time),""))</f>
        <v/>
      </c>
      <c r="D82" s="14">
        <f>IF($H82="","",IFERROR(UPPER(LEFT(TRIM(INDEX(FormData,$H82,f_Name)),1)&amp;IFERROR(MID(TRIM(INDEX(FormData,$H82,f_Name)),FIND("^",SUBSTITUTE(TRIM(INDEX(FormData,$H82,f_Name))," ","^",LEN(TRIM(INDEX(FormData,$H82,f_Name)))-LEN(SUBSTITUTE(TRIM(INDEX(FormData,$H82,f_Name))," ",""))))+1,1),"")),""))</f>
        <v/>
      </c>
      <c r="E82" s="16">
        <f>IF($H82="","",IFERROR(INDEX(EvID,MATCH(INDEX(FormData,$H82,f_Event),EvID,0)),IFERROR(INDEX(EvID,MATCH(INDEX(FormData,$H82,f_Event),EvName,0)),IFERROR(INDEX(EvID,MATCH(INT($C82),EvDate,0)),"(no event that day)"))))</f>
        <v/>
      </c>
      <c r="F82" s="16">
        <f>IF($H82="","",IFERROR(IF(SUMPRODUCT(MAX((WhoKW&lt;&gt;"")*ISNUMBER(SEARCH(WhoKW,INDEX(FormData,$H82,f_Who)&amp;""))*(ROW(WhoKW)-MIN(ROW(WhoKW))+1)))=0,"",INDEX(WhoVal,SUMPRODUCT(MAX((WhoKW&lt;&gt;"")*ISNUMBER(SEARCH(WhoKW,INDEX(FormData,$H82,f_Who)&amp;""))*(ROW(WhoKW)-MIN(ROW(WhoKW))+1))))),""))</f>
        <v/>
      </c>
      <c r="G82" s="14">
        <f>IF($H82="","",IF(COUNTIF(People!$U$5:$U$604,$B82)+COUNTIF(People!$U$5:$U$604,$B82&amp;"")&gt;0,"✓ logged","→ add"))</f>
        <v/>
      </c>
      <c r="H82">
        <f>IFERROR(IF(INDEX(FormData,79,f_Id)&amp;""="","",79),"")</f>
        <v/>
      </c>
      <c r="I82" s="16">
        <f>IF($H82="","",IFERROR(INDEX(FormData,$H82,f_Need)&amp;"",""))</f>
        <v/>
      </c>
    </row>
    <row r="83">
      <c r="A83" s="14" t="n">
        <v>79</v>
      </c>
      <c r="B83" s="14">
        <f>IF($H83="","",INDEX(FormData,$H83,f_Id))</f>
        <v/>
      </c>
      <c r="C83" s="15">
        <f>IF($H83="","",IFERROR(INDEX(FormData,$H83,f_Time),""))</f>
        <v/>
      </c>
      <c r="D83" s="14">
        <f>IF($H83="","",IFERROR(UPPER(LEFT(TRIM(INDEX(FormData,$H83,f_Name)),1)&amp;IFERROR(MID(TRIM(INDEX(FormData,$H83,f_Name)),FIND("^",SUBSTITUTE(TRIM(INDEX(FormData,$H83,f_Name))," ","^",LEN(TRIM(INDEX(FormData,$H83,f_Name)))-LEN(SUBSTITUTE(TRIM(INDEX(FormData,$H83,f_Name))," ",""))))+1,1),"")),""))</f>
        <v/>
      </c>
      <c r="E83" s="16">
        <f>IF($H83="","",IFERROR(INDEX(EvID,MATCH(INDEX(FormData,$H83,f_Event),EvID,0)),IFERROR(INDEX(EvID,MATCH(INDEX(FormData,$H83,f_Event),EvName,0)),IFERROR(INDEX(EvID,MATCH(INT($C83),EvDate,0)),"(no event that day)"))))</f>
        <v/>
      </c>
      <c r="F83" s="16">
        <f>IF($H83="","",IFERROR(IF(SUMPRODUCT(MAX((WhoKW&lt;&gt;"")*ISNUMBER(SEARCH(WhoKW,INDEX(FormData,$H83,f_Who)&amp;""))*(ROW(WhoKW)-MIN(ROW(WhoKW))+1)))=0,"",INDEX(WhoVal,SUMPRODUCT(MAX((WhoKW&lt;&gt;"")*ISNUMBER(SEARCH(WhoKW,INDEX(FormData,$H83,f_Who)&amp;""))*(ROW(WhoKW)-MIN(ROW(WhoKW))+1))))),""))</f>
        <v/>
      </c>
      <c r="G83" s="14">
        <f>IF($H83="","",IF(COUNTIF(People!$U$5:$U$604,$B83)+COUNTIF(People!$U$5:$U$604,$B83&amp;"")&gt;0,"✓ logged","→ add"))</f>
        <v/>
      </c>
      <c r="H83">
        <f>IFERROR(IF(INDEX(FormData,80,f_Id)&amp;""="","",80),"")</f>
        <v/>
      </c>
      <c r="I83" s="16">
        <f>IF($H83="","",IFERROR(INDEX(FormData,$H83,f_Need)&amp;"",""))</f>
        <v/>
      </c>
    </row>
    <row r="84">
      <c r="A84" s="14" t="n">
        <v>80</v>
      </c>
      <c r="B84" s="14">
        <f>IF($H84="","",INDEX(FormData,$H84,f_Id))</f>
        <v/>
      </c>
      <c r="C84" s="15">
        <f>IF($H84="","",IFERROR(INDEX(FormData,$H84,f_Time),""))</f>
        <v/>
      </c>
      <c r="D84" s="14">
        <f>IF($H84="","",IFERROR(UPPER(LEFT(TRIM(INDEX(FormData,$H84,f_Name)),1)&amp;IFERROR(MID(TRIM(INDEX(FormData,$H84,f_Name)),FIND("^",SUBSTITUTE(TRIM(INDEX(FormData,$H84,f_Name))," ","^",LEN(TRIM(INDEX(FormData,$H84,f_Name)))-LEN(SUBSTITUTE(TRIM(INDEX(FormData,$H84,f_Name))," ",""))))+1,1),"")),""))</f>
        <v/>
      </c>
      <c r="E84" s="16">
        <f>IF($H84="","",IFERROR(INDEX(EvID,MATCH(INDEX(FormData,$H84,f_Event),EvID,0)),IFERROR(INDEX(EvID,MATCH(INDEX(FormData,$H84,f_Event),EvName,0)),IFERROR(INDEX(EvID,MATCH(INT($C84),EvDate,0)),"(no event that day)"))))</f>
        <v/>
      </c>
      <c r="F84" s="16">
        <f>IF($H84="","",IFERROR(IF(SUMPRODUCT(MAX((WhoKW&lt;&gt;"")*ISNUMBER(SEARCH(WhoKW,INDEX(FormData,$H84,f_Who)&amp;""))*(ROW(WhoKW)-MIN(ROW(WhoKW))+1)))=0,"",INDEX(WhoVal,SUMPRODUCT(MAX((WhoKW&lt;&gt;"")*ISNUMBER(SEARCH(WhoKW,INDEX(FormData,$H84,f_Who)&amp;""))*(ROW(WhoKW)-MIN(ROW(WhoKW))+1))))),""))</f>
        <v/>
      </c>
      <c r="G84" s="14">
        <f>IF($H84="","",IF(COUNTIF(People!$U$5:$U$604,$B84)+COUNTIF(People!$U$5:$U$604,$B84&amp;"")&gt;0,"✓ logged","→ add"))</f>
        <v/>
      </c>
      <c r="H84">
        <f>IFERROR(IF(INDEX(FormData,81,f_Id)&amp;""="","",81),"")</f>
        <v/>
      </c>
      <c r="I84" s="16">
        <f>IF($H84="","",IFERROR(INDEX(FormData,$H84,f_Need)&amp;"",""))</f>
        <v/>
      </c>
    </row>
    <row r="85">
      <c r="A85" s="14" t="n">
        <v>81</v>
      </c>
      <c r="B85" s="14">
        <f>IF($H85="","",INDEX(FormData,$H85,f_Id))</f>
        <v/>
      </c>
      <c r="C85" s="15">
        <f>IF($H85="","",IFERROR(INDEX(FormData,$H85,f_Time),""))</f>
        <v/>
      </c>
      <c r="D85" s="14">
        <f>IF($H85="","",IFERROR(UPPER(LEFT(TRIM(INDEX(FormData,$H85,f_Name)),1)&amp;IFERROR(MID(TRIM(INDEX(FormData,$H85,f_Name)),FIND("^",SUBSTITUTE(TRIM(INDEX(FormData,$H85,f_Name))," ","^",LEN(TRIM(INDEX(FormData,$H85,f_Name)))-LEN(SUBSTITUTE(TRIM(INDEX(FormData,$H85,f_Name))," ",""))))+1,1),"")),""))</f>
        <v/>
      </c>
      <c r="E85" s="16">
        <f>IF($H85="","",IFERROR(INDEX(EvID,MATCH(INDEX(FormData,$H85,f_Event),EvID,0)),IFERROR(INDEX(EvID,MATCH(INDEX(FormData,$H85,f_Event),EvName,0)),IFERROR(INDEX(EvID,MATCH(INT($C85),EvDate,0)),"(no event that day)"))))</f>
        <v/>
      </c>
      <c r="F85" s="16">
        <f>IF($H85="","",IFERROR(IF(SUMPRODUCT(MAX((WhoKW&lt;&gt;"")*ISNUMBER(SEARCH(WhoKW,INDEX(FormData,$H85,f_Who)&amp;""))*(ROW(WhoKW)-MIN(ROW(WhoKW))+1)))=0,"",INDEX(WhoVal,SUMPRODUCT(MAX((WhoKW&lt;&gt;"")*ISNUMBER(SEARCH(WhoKW,INDEX(FormData,$H85,f_Who)&amp;""))*(ROW(WhoKW)-MIN(ROW(WhoKW))+1))))),""))</f>
        <v/>
      </c>
      <c r="G85" s="14">
        <f>IF($H85="","",IF(COUNTIF(People!$U$5:$U$604,$B85)+COUNTIF(People!$U$5:$U$604,$B85&amp;"")&gt;0,"✓ logged","→ add"))</f>
        <v/>
      </c>
      <c r="H85">
        <f>IFERROR(IF(INDEX(FormData,82,f_Id)&amp;""="","",82),"")</f>
        <v/>
      </c>
      <c r="I85" s="16">
        <f>IF($H85="","",IFERROR(INDEX(FormData,$H85,f_Need)&amp;"",""))</f>
        <v/>
      </c>
    </row>
    <row r="86">
      <c r="A86" s="14" t="n">
        <v>82</v>
      </c>
      <c r="B86" s="14">
        <f>IF($H86="","",INDEX(FormData,$H86,f_Id))</f>
        <v/>
      </c>
      <c r="C86" s="15">
        <f>IF($H86="","",IFERROR(INDEX(FormData,$H86,f_Time),""))</f>
        <v/>
      </c>
      <c r="D86" s="14">
        <f>IF($H86="","",IFERROR(UPPER(LEFT(TRIM(INDEX(FormData,$H86,f_Name)),1)&amp;IFERROR(MID(TRIM(INDEX(FormData,$H86,f_Name)),FIND("^",SUBSTITUTE(TRIM(INDEX(FormData,$H86,f_Name))," ","^",LEN(TRIM(INDEX(FormData,$H86,f_Name)))-LEN(SUBSTITUTE(TRIM(INDEX(FormData,$H86,f_Name))," ",""))))+1,1),"")),""))</f>
        <v/>
      </c>
      <c r="E86" s="16">
        <f>IF($H86="","",IFERROR(INDEX(EvID,MATCH(INDEX(FormData,$H86,f_Event),EvID,0)),IFERROR(INDEX(EvID,MATCH(INDEX(FormData,$H86,f_Event),EvName,0)),IFERROR(INDEX(EvID,MATCH(INT($C86),EvDate,0)),"(no event that day)"))))</f>
        <v/>
      </c>
      <c r="F86" s="16">
        <f>IF($H86="","",IFERROR(IF(SUMPRODUCT(MAX((WhoKW&lt;&gt;"")*ISNUMBER(SEARCH(WhoKW,INDEX(FormData,$H86,f_Who)&amp;""))*(ROW(WhoKW)-MIN(ROW(WhoKW))+1)))=0,"",INDEX(WhoVal,SUMPRODUCT(MAX((WhoKW&lt;&gt;"")*ISNUMBER(SEARCH(WhoKW,INDEX(FormData,$H86,f_Who)&amp;""))*(ROW(WhoKW)-MIN(ROW(WhoKW))+1))))),""))</f>
        <v/>
      </c>
      <c r="G86" s="14">
        <f>IF($H86="","",IF(COUNTIF(People!$U$5:$U$604,$B86)+COUNTIF(People!$U$5:$U$604,$B86&amp;"")&gt;0,"✓ logged","→ add"))</f>
        <v/>
      </c>
      <c r="H86">
        <f>IFERROR(IF(INDEX(FormData,83,f_Id)&amp;""="","",83),"")</f>
        <v/>
      </c>
      <c r="I86" s="16">
        <f>IF($H86="","",IFERROR(INDEX(FormData,$H86,f_Need)&amp;"",""))</f>
        <v/>
      </c>
    </row>
    <row r="87">
      <c r="A87" s="14" t="n">
        <v>83</v>
      </c>
      <c r="B87" s="14">
        <f>IF($H87="","",INDEX(FormData,$H87,f_Id))</f>
        <v/>
      </c>
      <c r="C87" s="15">
        <f>IF($H87="","",IFERROR(INDEX(FormData,$H87,f_Time),""))</f>
        <v/>
      </c>
      <c r="D87" s="14">
        <f>IF($H87="","",IFERROR(UPPER(LEFT(TRIM(INDEX(FormData,$H87,f_Name)),1)&amp;IFERROR(MID(TRIM(INDEX(FormData,$H87,f_Name)),FIND("^",SUBSTITUTE(TRIM(INDEX(FormData,$H87,f_Name))," ","^",LEN(TRIM(INDEX(FormData,$H87,f_Name)))-LEN(SUBSTITUTE(TRIM(INDEX(FormData,$H87,f_Name))," ",""))))+1,1),"")),""))</f>
        <v/>
      </c>
      <c r="E87" s="16">
        <f>IF($H87="","",IFERROR(INDEX(EvID,MATCH(INDEX(FormData,$H87,f_Event),EvID,0)),IFERROR(INDEX(EvID,MATCH(INDEX(FormData,$H87,f_Event),EvName,0)),IFERROR(INDEX(EvID,MATCH(INT($C87),EvDate,0)),"(no event that day)"))))</f>
        <v/>
      </c>
      <c r="F87" s="16">
        <f>IF($H87="","",IFERROR(IF(SUMPRODUCT(MAX((WhoKW&lt;&gt;"")*ISNUMBER(SEARCH(WhoKW,INDEX(FormData,$H87,f_Who)&amp;""))*(ROW(WhoKW)-MIN(ROW(WhoKW))+1)))=0,"",INDEX(WhoVal,SUMPRODUCT(MAX((WhoKW&lt;&gt;"")*ISNUMBER(SEARCH(WhoKW,INDEX(FormData,$H87,f_Who)&amp;""))*(ROW(WhoKW)-MIN(ROW(WhoKW))+1))))),""))</f>
        <v/>
      </c>
      <c r="G87" s="14">
        <f>IF($H87="","",IF(COUNTIF(People!$U$5:$U$604,$B87)+COUNTIF(People!$U$5:$U$604,$B87&amp;"")&gt;0,"✓ logged","→ add"))</f>
        <v/>
      </c>
      <c r="H87">
        <f>IFERROR(IF(INDEX(FormData,84,f_Id)&amp;""="","",84),"")</f>
        <v/>
      </c>
      <c r="I87" s="16">
        <f>IF($H87="","",IFERROR(INDEX(FormData,$H87,f_Need)&amp;"",""))</f>
        <v/>
      </c>
    </row>
    <row r="88">
      <c r="A88" s="14" t="n">
        <v>84</v>
      </c>
      <c r="B88" s="14">
        <f>IF($H88="","",INDEX(FormData,$H88,f_Id))</f>
        <v/>
      </c>
      <c r="C88" s="15">
        <f>IF($H88="","",IFERROR(INDEX(FormData,$H88,f_Time),""))</f>
        <v/>
      </c>
      <c r="D88" s="14">
        <f>IF($H88="","",IFERROR(UPPER(LEFT(TRIM(INDEX(FormData,$H88,f_Name)),1)&amp;IFERROR(MID(TRIM(INDEX(FormData,$H88,f_Name)),FIND("^",SUBSTITUTE(TRIM(INDEX(FormData,$H88,f_Name))," ","^",LEN(TRIM(INDEX(FormData,$H88,f_Name)))-LEN(SUBSTITUTE(TRIM(INDEX(FormData,$H88,f_Name))," ",""))))+1,1),"")),""))</f>
        <v/>
      </c>
      <c r="E88" s="16">
        <f>IF($H88="","",IFERROR(INDEX(EvID,MATCH(INDEX(FormData,$H88,f_Event),EvID,0)),IFERROR(INDEX(EvID,MATCH(INDEX(FormData,$H88,f_Event),EvName,0)),IFERROR(INDEX(EvID,MATCH(INT($C88),EvDate,0)),"(no event that day)"))))</f>
        <v/>
      </c>
      <c r="F88" s="16">
        <f>IF($H88="","",IFERROR(IF(SUMPRODUCT(MAX((WhoKW&lt;&gt;"")*ISNUMBER(SEARCH(WhoKW,INDEX(FormData,$H88,f_Who)&amp;""))*(ROW(WhoKW)-MIN(ROW(WhoKW))+1)))=0,"",INDEX(WhoVal,SUMPRODUCT(MAX((WhoKW&lt;&gt;"")*ISNUMBER(SEARCH(WhoKW,INDEX(FormData,$H88,f_Who)&amp;""))*(ROW(WhoKW)-MIN(ROW(WhoKW))+1))))),""))</f>
        <v/>
      </c>
      <c r="G88" s="14">
        <f>IF($H88="","",IF(COUNTIF(People!$U$5:$U$604,$B88)+COUNTIF(People!$U$5:$U$604,$B88&amp;"")&gt;0,"✓ logged","→ add"))</f>
        <v/>
      </c>
      <c r="H88">
        <f>IFERROR(IF(INDEX(FormData,85,f_Id)&amp;""="","",85),"")</f>
        <v/>
      </c>
      <c r="I88" s="16">
        <f>IF($H88="","",IFERROR(INDEX(FormData,$H88,f_Need)&amp;"",""))</f>
        <v/>
      </c>
    </row>
    <row r="89">
      <c r="A89" s="14" t="n">
        <v>85</v>
      </c>
      <c r="B89" s="14">
        <f>IF($H89="","",INDEX(FormData,$H89,f_Id))</f>
        <v/>
      </c>
      <c r="C89" s="15">
        <f>IF($H89="","",IFERROR(INDEX(FormData,$H89,f_Time),""))</f>
        <v/>
      </c>
      <c r="D89" s="14">
        <f>IF($H89="","",IFERROR(UPPER(LEFT(TRIM(INDEX(FormData,$H89,f_Name)),1)&amp;IFERROR(MID(TRIM(INDEX(FormData,$H89,f_Name)),FIND("^",SUBSTITUTE(TRIM(INDEX(FormData,$H89,f_Name))," ","^",LEN(TRIM(INDEX(FormData,$H89,f_Name)))-LEN(SUBSTITUTE(TRIM(INDEX(FormData,$H89,f_Name))," ",""))))+1,1),"")),""))</f>
        <v/>
      </c>
      <c r="E89" s="16">
        <f>IF($H89="","",IFERROR(INDEX(EvID,MATCH(INDEX(FormData,$H89,f_Event),EvID,0)),IFERROR(INDEX(EvID,MATCH(INDEX(FormData,$H89,f_Event),EvName,0)),IFERROR(INDEX(EvID,MATCH(INT($C89),EvDate,0)),"(no event that day)"))))</f>
        <v/>
      </c>
      <c r="F89" s="16">
        <f>IF($H89="","",IFERROR(IF(SUMPRODUCT(MAX((WhoKW&lt;&gt;"")*ISNUMBER(SEARCH(WhoKW,INDEX(FormData,$H89,f_Who)&amp;""))*(ROW(WhoKW)-MIN(ROW(WhoKW))+1)))=0,"",INDEX(WhoVal,SUMPRODUCT(MAX((WhoKW&lt;&gt;"")*ISNUMBER(SEARCH(WhoKW,INDEX(FormData,$H89,f_Who)&amp;""))*(ROW(WhoKW)-MIN(ROW(WhoKW))+1))))),""))</f>
        <v/>
      </c>
      <c r="G89" s="14">
        <f>IF($H89="","",IF(COUNTIF(People!$U$5:$U$604,$B89)+COUNTIF(People!$U$5:$U$604,$B89&amp;"")&gt;0,"✓ logged","→ add"))</f>
        <v/>
      </c>
      <c r="H89">
        <f>IFERROR(IF(INDEX(FormData,86,f_Id)&amp;""="","",86),"")</f>
        <v/>
      </c>
      <c r="I89" s="16">
        <f>IF($H89="","",IFERROR(INDEX(FormData,$H89,f_Need)&amp;"",""))</f>
        <v/>
      </c>
    </row>
    <row r="90">
      <c r="A90" s="14" t="n">
        <v>86</v>
      </c>
      <c r="B90" s="14">
        <f>IF($H90="","",INDEX(FormData,$H90,f_Id))</f>
        <v/>
      </c>
      <c r="C90" s="15">
        <f>IF($H90="","",IFERROR(INDEX(FormData,$H90,f_Time),""))</f>
        <v/>
      </c>
      <c r="D90" s="14">
        <f>IF($H90="","",IFERROR(UPPER(LEFT(TRIM(INDEX(FormData,$H90,f_Name)),1)&amp;IFERROR(MID(TRIM(INDEX(FormData,$H90,f_Name)),FIND("^",SUBSTITUTE(TRIM(INDEX(FormData,$H90,f_Name))," ","^",LEN(TRIM(INDEX(FormData,$H90,f_Name)))-LEN(SUBSTITUTE(TRIM(INDEX(FormData,$H90,f_Name))," ",""))))+1,1),"")),""))</f>
        <v/>
      </c>
      <c r="E90" s="16">
        <f>IF($H90="","",IFERROR(INDEX(EvID,MATCH(INDEX(FormData,$H90,f_Event),EvID,0)),IFERROR(INDEX(EvID,MATCH(INDEX(FormData,$H90,f_Event),EvName,0)),IFERROR(INDEX(EvID,MATCH(INT($C90),EvDate,0)),"(no event that day)"))))</f>
        <v/>
      </c>
      <c r="F90" s="16">
        <f>IF($H90="","",IFERROR(IF(SUMPRODUCT(MAX((WhoKW&lt;&gt;"")*ISNUMBER(SEARCH(WhoKW,INDEX(FormData,$H90,f_Who)&amp;""))*(ROW(WhoKW)-MIN(ROW(WhoKW))+1)))=0,"",INDEX(WhoVal,SUMPRODUCT(MAX((WhoKW&lt;&gt;"")*ISNUMBER(SEARCH(WhoKW,INDEX(FormData,$H90,f_Who)&amp;""))*(ROW(WhoKW)-MIN(ROW(WhoKW))+1))))),""))</f>
        <v/>
      </c>
      <c r="G90" s="14">
        <f>IF($H90="","",IF(COUNTIF(People!$U$5:$U$604,$B90)+COUNTIF(People!$U$5:$U$604,$B90&amp;"")&gt;0,"✓ logged","→ add"))</f>
        <v/>
      </c>
      <c r="H90">
        <f>IFERROR(IF(INDEX(FormData,87,f_Id)&amp;""="","",87),"")</f>
        <v/>
      </c>
      <c r="I90" s="16">
        <f>IF($H90="","",IFERROR(INDEX(FormData,$H90,f_Need)&amp;"",""))</f>
        <v/>
      </c>
    </row>
    <row r="91">
      <c r="A91" s="14" t="n">
        <v>87</v>
      </c>
      <c r="B91" s="14">
        <f>IF($H91="","",INDEX(FormData,$H91,f_Id))</f>
        <v/>
      </c>
      <c r="C91" s="15">
        <f>IF($H91="","",IFERROR(INDEX(FormData,$H91,f_Time),""))</f>
        <v/>
      </c>
      <c r="D91" s="14">
        <f>IF($H91="","",IFERROR(UPPER(LEFT(TRIM(INDEX(FormData,$H91,f_Name)),1)&amp;IFERROR(MID(TRIM(INDEX(FormData,$H91,f_Name)),FIND("^",SUBSTITUTE(TRIM(INDEX(FormData,$H91,f_Name))," ","^",LEN(TRIM(INDEX(FormData,$H91,f_Name)))-LEN(SUBSTITUTE(TRIM(INDEX(FormData,$H91,f_Name))," ",""))))+1,1),"")),""))</f>
        <v/>
      </c>
      <c r="E91" s="16">
        <f>IF($H91="","",IFERROR(INDEX(EvID,MATCH(INDEX(FormData,$H91,f_Event),EvID,0)),IFERROR(INDEX(EvID,MATCH(INDEX(FormData,$H91,f_Event),EvName,0)),IFERROR(INDEX(EvID,MATCH(INT($C91),EvDate,0)),"(no event that day)"))))</f>
        <v/>
      </c>
      <c r="F91" s="16">
        <f>IF($H91="","",IFERROR(IF(SUMPRODUCT(MAX((WhoKW&lt;&gt;"")*ISNUMBER(SEARCH(WhoKW,INDEX(FormData,$H91,f_Who)&amp;""))*(ROW(WhoKW)-MIN(ROW(WhoKW))+1)))=0,"",INDEX(WhoVal,SUMPRODUCT(MAX((WhoKW&lt;&gt;"")*ISNUMBER(SEARCH(WhoKW,INDEX(FormData,$H91,f_Who)&amp;""))*(ROW(WhoKW)-MIN(ROW(WhoKW))+1))))),""))</f>
        <v/>
      </c>
      <c r="G91" s="14">
        <f>IF($H91="","",IF(COUNTIF(People!$U$5:$U$604,$B91)+COUNTIF(People!$U$5:$U$604,$B91&amp;"")&gt;0,"✓ logged","→ add"))</f>
        <v/>
      </c>
      <c r="H91">
        <f>IFERROR(IF(INDEX(FormData,88,f_Id)&amp;""="","",88),"")</f>
        <v/>
      </c>
      <c r="I91" s="16">
        <f>IF($H91="","",IFERROR(INDEX(FormData,$H91,f_Need)&amp;"",""))</f>
        <v/>
      </c>
    </row>
    <row r="92">
      <c r="A92" s="14" t="n">
        <v>88</v>
      </c>
      <c r="B92" s="14">
        <f>IF($H92="","",INDEX(FormData,$H92,f_Id))</f>
        <v/>
      </c>
      <c r="C92" s="15">
        <f>IF($H92="","",IFERROR(INDEX(FormData,$H92,f_Time),""))</f>
        <v/>
      </c>
      <c r="D92" s="14">
        <f>IF($H92="","",IFERROR(UPPER(LEFT(TRIM(INDEX(FormData,$H92,f_Name)),1)&amp;IFERROR(MID(TRIM(INDEX(FormData,$H92,f_Name)),FIND("^",SUBSTITUTE(TRIM(INDEX(FormData,$H92,f_Name))," ","^",LEN(TRIM(INDEX(FormData,$H92,f_Name)))-LEN(SUBSTITUTE(TRIM(INDEX(FormData,$H92,f_Name))," ",""))))+1,1),"")),""))</f>
        <v/>
      </c>
      <c r="E92" s="16">
        <f>IF($H92="","",IFERROR(INDEX(EvID,MATCH(INDEX(FormData,$H92,f_Event),EvID,0)),IFERROR(INDEX(EvID,MATCH(INDEX(FormData,$H92,f_Event),EvName,0)),IFERROR(INDEX(EvID,MATCH(INT($C92),EvDate,0)),"(no event that day)"))))</f>
        <v/>
      </c>
      <c r="F92" s="16">
        <f>IF($H92="","",IFERROR(IF(SUMPRODUCT(MAX((WhoKW&lt;&gt;"")*ISNUMBER(SEARCH(WhoKW,INDEX(FormData,$H92,f_Who)&amp;""))*(ROW(WhoKW)-MIN(ROW(WhoKW))+1)))=0,"",INDEX(WhoVal,SUMPRODUCT(MAX((WhoKW&lt;&gt;"")*ISNUMBER(SEARCH(WhoKW,INDEX(FormData,$H92,f_Who)&amp;""))*(ROW(WhoKW)-MIN(ROW(WhoKW))+1))))),""))</f>
        <v/>
      </c>
      <c r="G92" s="14">
        <f>IF($H92="","",IF(COUNTIF(People!$U$5:$U$604,$B92)+COUNTIF(People!$U$5:$U$604,$B92&amp;"")&gt;0,"✓ logged","→ add"))</f>
        <v/>
      </c>
      <c r="H92">
        <f>IFERROR(IF(INDEX(FormData,89,f_Id)&amp;""="","",89),"")</f>
        <v/>
      </c>
      <c r="I92" s="16">
        <f>IF($H92="","",IFERROR(INDEX(FormData,$H92,f_Need)&amp;"",""))</f>
        <v/>
      </c>
    </row>
    <row r="93">
      <c r="A93" s="14" t="n">
        <v>89</v>
      </c>
      <c r="B93" s="14">
        <f>IF($H93="","",INDEX(FormData,$H93,f_Id))</f>
        <v/>
      </c>
      <c r="C93" s="15">
        <f>IF($H93="","",IFERROR(INDEX(FormData,$H93,f_Time),""))</f>
        <v/>
      </c>
      <c r="D93" s="14">
        <f>IF($H93="","",IFERROR(UPPER(LEFT(TRIM(INDEX(FormData,$H93,f_Name)),1)&amp;IFERROR(MID(TRIM(INDEX(FormData,$H93,f_Name)),FIND("^",SUBSTITUTE(TRIM(INDEX(FormData,$H93,f_Name))," ","^",LEN(TRIM(INDEX(FormData,$H93,f_Name)))-LEN(SUBSTITUTE(TRIM(INDEX(FormData,$H93,f_Name))," ",""))))+1,1),"")),""))</f>
        <v/>
      </c>
      <c r="E93" s="16">
        <f>IF($H93="","",IFERROR(INDEX(EvID,MATCH(INDEX(FormData,$H93,f_Event),EvID,0)),IFERROR(INDEX(EvID,MATCH(INDEX(FormData,$H93,f_Event),EvName,0)),IFERROR(INDEX(EvID,MATCH(INT($C93),EvDate,0)),"(no event that day)"))))</f>
        <v/>
      </c>
      <c r="F93" s="16">
        <f>IF($H93="","",IFERROR(IF(SUMPRODUCT(MAX((WhoKW&lt;&gt;"")*ISNUMBER(SEARCH(WhoKW,INDEX(FormData,$H93,f_Who)&amp;""))*(ROW(WhoKW)-MIN(ROW(WhoKW))+1)))=0,"",INDEX(WhoVal,SUMPRODUCT(MAX((WhoKW&lt;&gt;"")*ISNUMBER(SEARCH(WhoKW,INDEX(FormData,$H93,f_Who)&amp;""))*(ROW(WhoKW)-MIN(ROW(WhoKW))+1))))),""))</f>
        <v/>
      </c>
      <c r="G93" s="14">
        <f>IF($H93="","",IF(COUNTIF(People!$U$5:$U$604,$B93)+COUNTIF(People!$U$5:$U$604,$B93&amp;"")&gt;0,"✓ logged","→ add"))</f>
        <v/>
      </c>
      <c r="H93">
        <f>IFERROR(IF(INDEX(FormData,90,f_Id)&amp;""="","",90),"")</f>
        <v/>
      </c>
      <c r="I93" s="16">
        <f>IF($H93="","",IFERROR(INDEX(FormData,$H93,f_Need)&amp;"",""))</f>
        <v/>
      </c>
    </row>
    <row r="94">
      <c r="A94" s="14" t="n">
        <v>90</v>
      </c>
      <c r="B94" s="14">
        <f>IF($H94="","",INDEX(FormData,$H94,f_Id))</f>
        <v/>
      </c>
      <c r="C94" s="15">
        <f>IF($H94="","",IFERROR(INDEX(FormData,$H94,f_Time),""))</f>
        <v/>
      </c>
      <c r="D94" s="14">
        <f>IF($H94="","",IFERROR(UPPER(LEFT(TRIM(INDEX(FormData,$H94,f_Name)),1)&amp;IFERROR(MID(TRIM(INDEX(FormData,$H94,f_Name)),FIND("^",SUBSTITUTE(TRIM(INDEX(FormData,$H94,f_Name))," ","^",LEN(TRIM(INDEX(FormData,$H94,f_Name)))-LEN(SUBSTITUTE(TRIM(INDEX(FormData,$H94,f_Name))," ",""))))+1,1),"")),""))</f>
        <v/>
      </c>
      <c r="E94" s="16">
        <f>IF($H94="","",IFERROR(INDEX(EvID,MATCH(INDEX(FormData,$H94,f_Event),EvID,0)),IFERROR(INDEX(EvID,MATCH(INDEX(FormData,$H94,f_Event),EvName,0)),IFERROR(INDEX(EvID,MATCH(INT($C94),EvDate,0)),"(no event that day)"))))</f>
        <v/>
      </c>
      <c r="F94" s="16">
        <f>IF($H94="","",IFERROR(IF(SUMPRODUCT(MAX((WhoKW&lt;&gt;"")*ISNUMBER(SEARCH(WhoKW,INDEX(FormData,$H94,f_Who)&amp;""))*(ROW(WhoKW)-MIN(ROW(WhoKW))+1)))=0,"",INDEX(WhoVal,SUMPRODUCT(MAX((WhoKW&lt;&gt;"")*ISNUMBER(SEARCH(WhoKW,INDEX(FormData,$H94,f_Who)&amp;""))*(ROW(WhoKW)-MIN(ROW(WhoKW))+1))))),""))</f>
        <v/>
      </c>
      <c r="G94" s="14">
        <f>IF($H94="","",IF(COUNTIF(People!$U$5:$U$604,$B94)+COUNTIF(People!$U$5:$U$604,$B94&amp;"")&gt;0,"✓ logged","→ add"))</f>
        <v/>
      </c>
      <c r="H94">
        <f>IFERROR(IF(INDEX(FormData,91,f_Id)&amp;""="","",91),"")</f>
        <v/>
      </c>
      <c r="I94" s="16">
        <f>IF($H94="","",IFERROR(INDEX(FormData,$H94,f_Need)&amp;"",""))</f>
        <v/>
      </c>
    </row>
    <row r="95">
      <c r="A95" s="14" t="n">
        <v>91</v>
      </c>
      <c r="B95" s="14">
        <f>IF($H95="","",INDEX(FormData,$H95,f_Id))</f>
        <v/>
      </c>
      <c r="C95" s="15">
        <f>IF($H95="","",IFERROR(INDEX(FormData,$H95,f_Time),""))</f>
        <v/>
      </c>
      <c r="D95" s="14">
        <f>IF($H95="","",IFERROR(UPPER(LEFT(TRIM(INDEX(FormData,$H95,f_Name)),1)&amp;IFERROR(MID(TRIM(INDEX(FormData,$H95,f_Name)),FIND("^",SUBSTITUTE(TRIM(INDEX(FormData,$H95,f_Name))," ","^",LEN(TRIM(INDEX(FormData,$H95,f_Name)))-LEN(SUBSTITUTE(TRIM(INDEX(FormData,$H95,f_Name))," ",""))))+1,1),"")),""))</f>
        <v/>
      </c>
      <c r="E95" s="16">
        <f>IF($H95="","",IFERROR(INDEX(EvID,MATCH(INDEX(FormData,$H95,f_Event),EvID,0)),IFERROR(INDEX(EvID,MATCH(INDEX(FormData,$H95,f_Event),EvName,0)),IFERROR(INDEX(EvID,MATCH(INT($C95),EvDate,0)),"(no event that day)"))))</f>
        <v/>
      </c>
      <c r="F95" s="16">
        <f>IF($H95="","",IFERROR(IF(SUMPRODUCT(MAX((WhoKW&lt;&gt;"")*ISNUMBER(SEARCH(WhoKW,INDEX(FormData,$H95,f_Who)&amp;""))*(ROW(WhoKW)-MIN(ROW(WhoKW))+1)))=0,"",INDEX(WhoVal,SUMPRODUCT(MAX((WhoKW&lt;&gt;"")*ISNUMBER(SEARCH(WhoKW,INDEX(FormData,$H95,f_Who)&amp;""))*(ROW(WhoKW)-MIN(ROW(WhoKW))+1))))),""))</f>
        <v/>
      </c>
      <c r="G95" s="14">
        <f>IF($H95="","",IF(COUNTIF(People!$U$5:$U$604,$B95)+COUNTIF(People!$U$5:$U$604,$B95&amp;"")&gt;0,"✓ logged","→ add"))</f>
        <v/>
      </c>
      <c r="H95">
        <f>IFERROR(IF(INDEX(FormData,92,f_Id)&amp;""="","",92),"")</f>
        <v/>
      </c>
      <c r="I95" s="16">
        <f>IF($H95="","",IFERROR(INDEX(FormData,$H95,f_Need)&amp;"",""))</f>
        <v/>
      </c>
    </row>
    <row r="96">
      <c r="A96" s="14" t="n">
        <v>92</v>
      </c>
      <c r="B96" s="14">
        <f>IF($H96="","",INDEX(FormData,$H96,f_Id))</f>
        <v/>
      </c>
      <c r="C96" s="15">
        <f>IF($H96="","",IFERROR(INDEX(FormData,$H96,f_Time),""))</f>
        <v/>
      </c>
      <c r="D96" s="14">
        <f>IF($H96="","",IFERROR(UPPER(LEFT(TRIM(INDEX(FormData,$H96,f_Name)),1)&amp;IFERROR(MID(TRIM(INDEX(FormData,$H96,f_Name)),FIND("^",SUBSTITUTE(TRIM(INDEX(FormData,$H96,f_Name))," ","^",LEN(TRIM(INDEX(FormData,$H96,f_Name)))-LEN(SUBSTITUTE(TRIM(INDEX(FormData,$H96,f_Name))," ",""))))+1,1),"")),""))</f>
        <v/>
      </c>
      <c r="E96" s="16">
        <f>IF($H96="","",IFERROR(INDEX(EvID,MATCH(INDEX(FormData,$H96,f_Event),EvID,0)),IFERROR(INDEX(EvID,MATCH(INDEX(FormData,$H96,f_Event),EvName,0)),IFERROR(INDEX(EvID,MATCH(INT($C96),EvDate,0)),"(no event that day)"))))</f>
        <v/>
      </c>
      <c r="F96" s="16">
        <f>IF($H96="","",IFERROR(IF(SUMPRODUCT(MAX((WhoKW&lt;&gt;"")*ISNUMBER(SEARCH(WhoKW,INDEX(FormData,$H96,f_Who)&amp;""))*(ROW(WhoKW)-MIN(ROW(WhoKW))+1)))=0,"",INDEX(WhoVal,SUMPRODUCT(MAX((WhoKW&lt;&gt;"")*ISNUMBER(SEARCH(WhoKW,INDEX(FormData,$H96,f_Who)&amp;""))*(ROW(WhoKW)-MIN(ROW(WhoKW))+1))))),""))</f>
        <v/>
      </c>
      <c r="G96" s="14">
        <f>IF($H96="","",IF(COUNTIF(People!$U$5:$U$604,$B96)+COUNTIF(People!$U$5:$U$604,$B96&amp;"")&gt;0,"✓ logged","→ add"))</f>
        <v/>
      </c>
      <c r="H96">
        <f>IFERROR(IF(INDEX(FormData,93,f_Id)&amp;""="","",93),"")</f>
        <v/>
      </c>
      <c r="I96" s="16">
        <f>IF($H96="","",IFERROR(INDEX(FormData,$H96,f_Need)&amp;"",""))</f>
        <v/>
      </c>
    </row>
    <row r="97">
      <c r="A97" s="14" t="n">
        <v>93</v>
      </c>
      <c r="B97" s="14">
        <f>IF($H97="","",INDEX(FormData,$H97,f_Id))</f>
        <v/>
      </c>
      <c r="C97" s="15">
        <f>IF($H97="","",IFERROR(INDEX(FormData,$H97,f_Time),""))</f>
        <v/>
      </c>
      <c r="D97" s="14">
        <f>IF($H97="","",IFERROR(UPPER(LEFT(TRIM(INDEX(FormData,$H97,f_Name)),1)&amp;IFERROR(MID(TRIM(INDEX(FormData,$H97,f_Name)),FIND("^",SUBSTITUTE(TRIM(INDEX(FormData,$H97,f_Name))," ","^",LEN(TRIM(INDEX(FormData,$H97,f_Name)))-LEN(SUBSTITUTE(TRIM(INDEX(FormData,$H97,f_Name))," ",""))))+1,1),"")),""))</f>
        <v/>
      </c>
      <c r="E97" s="16">
        <f>IF($H97="","",IFERROR(INDEX(EvID,MATCH(INDEX(FormData,$H97,f_Event),EvID,0)),IFERROR(INDEX(EvID,MATCH(INDEX(FormData,$H97,f_Event),EvName,0)),IFERROR(INDEX(EvID,MATCH(INT($C97),EvDate,0)),"(no event that day)"))))</f>
        <v/>
      </c>
      <c r="F97" s="16">
        <f>IF($H97="","",IFERROR(IF(SUMPRODUCT(MAX((WhoKW&lt;&gt;"")*ISNUMBER(SEARCH(WhoKW,INDEX(FormData,$H97,f_Who)&amp;""))*(ROW(WhoKW)-MIN(ROW(WhoKW))+1)))=0,"",INDEX(WhoVal,SUMPRODUCT(MAX((WhoKW&lt;&gt;"")*ISNUMBER(SEARCH(WhoKW,INDEX(FormData,$H97,f_Who)&amp;""))*(ROW(WhoKW)-MIN(ROW(WhoKW))+1))))),""))</f>
        <v/>
      </c>
      <c r="G97" s="14">
        <f>IF($H97="","",IF(COUNTIF(People!$U$5:$U$604,$B97)+COUNTIF(People!$U$5:$U$604,$B97&amp;"")&gt;0,"✓ logged","→ add"))</f>
        <v/>
      </c>
      <c r="H97">
        <f>IFERROR(IF(INDEX(FormData,94,f_Id)&amp;""="","",94),"")</f>
        <v/>
      </c>
      <c r="I97" s="16">
        <f>IF($H97="","",IFERROR(INDEX(FormData,$H97,f_Need)&amp;"",""))</f>
        <v/>
      </c>
    </row>
    <row r="98">
      <c r="A98" s="14" t="n">
        <v>94</v>
      </c>
      <c r="B98" s="14">
        <f>IF($H98="","",INDEX(FormData,$H98,f_Id))</f>
        <v/>
      </c>
      <c r="C98" s="15">
        <f>IF($H98="","",IFERROR(INDEX(FormData,$H98,f_Time),""))</f>
        <v/>
      </c>
      <c r="D98" s="14">
        <f>IF($H98="","",IFERROR(UPPER(LEFT(TRIM(INDEX(FormData,$H98,f_Name)),1)&amp;IFERROR(MID(TRIM(INDEX(FormData,$H98,f_Name)),FIND("^",SUBSTITUTE(TRIM(INDEX(FormData,$H98,f_Name))," ","^",LEN(TRIM(INDEX(FormData,$H98,f_Name)))-LEN(SUBSTITUTE(TRIM(INDEX(FormData,$H98,f_Name))," ",""))))+1,1),"")),""))</f>
        <v/>
      </c>
      <c r="E98" s="16">
        <f>IF($H98="","",IFERROR(INDEX(EvID,MATCH(INDEX(FormData,$H98,f_Event),EvID,0)),IFERROR(INDEX(EvID,MATCH(INDEX(FormData,$H98,f_Event),EvName,0)),IFERROR(INDEX(EvID,MATCH(INT($C98),EvDate,0)),"(no event that day)"))))</f>
        <v/>
      </c>
      <c r="F98" s="16">
        <f>IF($H98="","",IFERROR(IF(SUMPRODUCT(MAX((WhoKW&lt;&gt;"")*ISNUMBER(SEARCH(WhoKW,INDEX(FormData,$H98,f_Who)&amp;""))*(ROW(WhoKW)-MIN(ROW(WhoKW))+1)))=0,"",INDEX(WhoVal,SUMPRODUCT(MAX((WhoKW&lt;&gt;"")*ISNUMBER(SEARCH(WhoKW,INDEX(FormData,$H98,f_Who)&amp;""))*(ROW(WhoKW)-MIN(ROW(WhoKW))+1))))),""))</f>
        <v/>
      </c>
      <c r="G98" s="14">
        <f>IF($H98="","",IF(COUNTIF(People!$U$5:$U$604,$B98)+COUNTIF(People!$U$5:$U$604,$B98&amp;"")&gt;0,"✓ logged","→ add"))</f>
        <v/>
      </c>
      <c r="H98">
        <f>IFERROR(IF(INDEX(FormData,95,f_Id)&amp;""="","",95),"")</f>
        <v/>
      </c>
      <c r="I98" s="16">
        <f>IF($H98="","",IFERROR(INDEX(FormData,$H98,f_Need)&amp;"",""))</f>
        <v/>
      </c>
    </row>
    <row r="99">
      <c r="A99" s="14" t="n">
        <v>95</v>
      </c>
      <c r="B99" s="14">
        <f>IF($H99="","",INDEX(FormData,$H99,f_Id))</f>
        <v/>
      </c>
      <c r="C99" s="15">
        <f>IF($H99="","",IFERROR(INDEX(FormData,$H99,f_Time),""))</f>
        <v/>
      </c>
      <c r="D99" s="14">
        <f>IF($H99="","",IFERROR(UPPER(LEFT(TRIM(INDEX(FormData,$H99,f_Name)),1)&amp;IFERROR(MID(TRIM(INDEX(FormData,$H99,f_Name)),FIND("^",SUBSTITUTE(TRIM(INDEX(FormData,$H99,f_Name))," ","^",LEN(TRIM(INDEX(FormData,$H99,f_Name)))-LEN(SUBSTITUTE(TRIM(INDEX(FormData,$H99,f_Name))," ",""))))+1,1),"")),""))</f>
        <v/>
      </c>
      <c r="E99" s="16">
        <f>IF($H99="","",IFERROR(INDEX(EvID,MATCH(INDEX(FormData,$H99,f_Event),EvID,0)),IFERROR(INDEX(EvID,MATCH(INDEX(FormData,$H99,f_Event),EvName,0)),IFERROR(INDEX(EvID,MATCH(INT($C99),EvDate,0)),"(no event that day)"))))</f>
        <v/>
      </c>
      <c r="F99" s="16">
        <f>IF($H99="","",IFERROR(IF(SUMPRODUCT(MAX((WhoKW&lt;&gt;"")*ISNUMBER(SEARCH(WhoKW,INDEX(FormData,$H99,f_Who)&amp;""))*(ROW(WhoKW)-MIN(ROW(WhoKW))+1)))=0,"",INDEX(WhoVal,SUMPRODUCT(MAX((WhoKW&lt;&gt;"")*ISNUMBER(SEARCH(WhoKW,INDEX(FormData,$H99,f_Who)&amp;""))*(ROW(WhoKW)-MIN(ROW(WhoKW))+1))))),""))</f>
        <v/>
      </c>
      <c r="G99" s="14">
        <f>IF($H99="","",IF(COUNTIF(People!$U$5:$U$604,$B99)+COUNTIF(People!$U$5:$U$604,$B99&amp;"")&gt;0,"✓ logged","→ add"))</f>
        <v/>
      </c>
      <c r="H99">
        <f>IFERROR(IF(INDEX(FormData,96,f_Id)&amp;""="","",96),"")</f>
        <v/>
      </c>
      <c r="I99" s="16">
        <f>IF($H99="","",IFERROR(INDEX(FormData,$H99,f_Need)&amp;"",""))</f>
        <v/>
      </c>
    </row>
    <row r="100">
      <c r="A100" s="14" t="n">
        <v>96</v>
      </c>
      <c r="B100" s="14">
        <f>IF($H100="","",INDEX(FormData,$H100,f_Id))</f>
        <v/>
      </c>
      <c r="C100" s="15">
        <f>IF($H100="","",IFERROR(INDEX(FormData,$H100,f_Time),""))</f>
        <v/>
      </c>
      <c r="D100" s="14">
        <f>IF($H100="","",IFERROR(UPPER(LEFT(TRIM(INDEX(FormData,$H100,f_Name)),1)&amp;IFERROR(MID(TRIM(INDEX(FormData,$H100,f_Name)),FIND("^",SUBSTITUTE(TRIM(INDEX(FormData,$H100,f_Name))," ","^",LEN(TRIM(INDEX(FormData,$H100,f_Name)))-LEN(SUBSTITUTE(TRIM(INDEX(FormData,$H100,f_Name))," ",""))))+1,1),"")),""))</f>
        <v/>
      </c>
      <c r="E100" s="16">
        <f>IF($H100="","",IFERROR(INDEX(EvID,MATCH(INDEX(FormData,$H100,f_Event),EvID,0)),IFERROR(INDEX(EvID,MATCH(INDEX(FormData,$H100,f_Event),EvName,0)),IFERROR(INDEX(EvID,MATCH(INT($C100),EvDate,0)),"(no event that day)"))))</f>
        <v/>
      </c>
      <c r="F100" s="16">
        <f>IF($H100="","",IFERROR(IF(SUMPRODUCT(MAX((WhoKW&lt;&gt;"")*ISNUMBER(SEARCH(WhoKW,INDEX(FormData,$H100,f_Who)&amp;""))*(ROW(WhoKW)-MIN(ROW(WhoKW))+1)))=0,"",INDEX(WhoVal,SUMPRODUCT(MAX((WhoKW&lt;&gt;"")*ISNUMBER(SEARCH(WhoKW,INDEX(FormData,$H100,f_Who)&amp;""))*(ROW(WhoKW)-MIN(ROW(WhoKW))+1))))),""))</f>
        <v/>
      </c>
      <c r="G100" s="14">
        <f>IF($H100="","",IF(COUNTIF(People!$U$5:$U$604,$B100)+COUNTIF(People!$U$5:$U$604,$B100&amp;"")&gt;0,"✓ logged","→ add"))</f>
        <v/>
      </c>
      <c r="H100">
        <f>IFERROR(IF(INDEX(FormData,97,f_Id)&amp;""="","",97),"")</f>
        <v/>
      </c>
      <c r="I100" s="16">
        <f>IF($H100="","",IFERROR(INDEX(FormData,$H100,f_Need)&amp;"",""))</f>
        <v/>
      </c>
    </row>
    <row r="101">
      <c r="A101" s="14" t="n">
        <v>97</v>
      </c>
      <c r="B101" s="14">
        <f>IF($H101="","",INDEX(FormData,$H101,f_Id))</f>
        <v/>
      </c>
      <c r="C101" s="15">
        <f>IF($H101="","",IFERROR(INDEX(FormData,$H101,f_Time),""))</f>
        <v/>
      </c>
      <c r="D101" s="14">
        <f>IF($H101="","",IFERROR(UPPER(LEFT(TRIM(INDEX(FormData,$H101,f_Name)),1)&amp;IFERROR(MID(TRIM(INDEX(FormData,$H101,f_Name)),FIND("^",SUBSTITUTE(TRIM(INDEX(FormData,$H101,f_Name))," ","^",LEN(TRIM(INDEX(FormData,$H101,f_Name)))-LEN(SUBSTITUTE(TRIM(INDEX(FormData,$H101,f_Name))," ",""))))+1,1),"")),""))</f>
        <v/>
      </c>
      <c r="E101" s="16">
        <f>IF($H101="","",IFERROR(INDEX(EvID,MATCH(INDEX(FormData,$H101,f_Event),EvID,0)),IFERROR(INDEX(EvID,MATCH(INDEX(FormData,$H101,f_Event),EvName,0)),IFERROR(INDEX(EvID,MATCH(INT($C101),EvDate,0)),"(no event that day)"))))</f>
        <v/>
      </c>
      <c r="F101" s="16">
        <f>IF($H101="","",IFERROR(IF(SUMPRODUCT(MAX((WhoKW&lt;&gt;"")*ISNUMBER(SEARCH(WhoKW,INDEX(FormData,$H101,f_Who)&amp;""))*(ROW(WhoKW)-MIN(ROW(WhoKW))+1)))=0,"",INDEX(WhoVal,SUMPRODUCT(MAX((WhoKW&lt;&gt;"")*ISNUMBER(SEARCH(WhoKW,INDEX(FormData,$H101,f_Who)&amp;""))*(ROW(WhoKW)-MIN(ROW(WhoKW))+1))))),""))</f>
        <v/>
      </c>
      <c r="G101" s="14">
        <f>IF($H101="","",IF(COUNTIF(People!$U$5:$U$604,$B101)+COUNTIF(People!$U$5:$U$604,$B101&amp;"")&gt;0,"✓ logged","→ add"))</f>
        <v/>
      </c>
      <c r="H101">
        <f>IFERROR(IF(INDEX(FormData,98,f_Id)&amp;""="","",98),"")</f>
        <v/>
      </c>
      <c r="I101" s="16">
        <f>IF($H101="","",IFERROR(INDEX(FormData,$H101,f_Need)&amp;"",""))</f>
        <v/>
      </c>
    </row>
    <row r="102">
      <c r="A102" s="14" t="n">
        <v>98</v>
      </c>
      <c r="B102" s="14">
        <f>IF($H102="","",INDEX(FormData,$H102,f_Id))</f>
        <v/>
      </c>
      <c r="C102" s="15">
        <f>IF($H102="","",IFERROR(INDEX(FormData,$H102,f_Time),""))</f>
        <v/>
      </c>
      <c r="D102" s="14">
        <f>IF($H102="","",IFERROR(UPPER(LEFT(TRIM(INDEX(FormData,$H102,f_Name)),1)&amp;IFERROR(MID(TRIM(INDEX(FormData,$H102,f_Name)),FIND("^",SUBSTITUTE(TRIM(INDEX(FormData,$H102,f_Name))," ","^",LEN(TRIM(INDEX(FormData,$H102,f_Name)))-LEN(SUBSTITUTE(TRIM(INDEX(FormData,$H102,f_Name))," ",""))))+1,1),"")),""))</f>
        <v/>
      </c>
      <c r="E102" s="16">
        <f>IF($H102="","",IFERROR(INDEX(EvID,MATCH(INDEX(FormData,$H102,f_Event),EvID,0)),IFERROR(INDEX(EvID,MATCH(INDEX(FormData,$H102,f_Event),EvName,0)),IFERROR(INDEX(EvID,MATCH(INT($C102),EvDate,0)),"(no event that day)"))))</f>
        <v/>
      </c>
      <c r="F102" s="16">
        <f>IF($H102="","",IFERROR(IF(SUMPRODUCT(MAX((WhoKW&lt;&gt;"")*ISNUMBER(SEARCH(WhoKW,INDEX(FormData,$H102,f_Who)&amp;""))*(ROW(WhoKW)-MIN(ROW(WhoKW))+1)))=0,"",INDEX(WhoVal,SUMPRODUCT(MAX((WhoKW&lt;&gt;"")*ISNUMBER(SEARCH(WhoKW,INDEX(FormData,$H102,f_Who)&amp;""))*(ROW(WhoKW)-MIN(ROW(WhoKW))+1))))),""))</f>
        <v/>
      </c>
      <c r="G102" s="14">
        <f>IF($H102="","",IF(COUNTIF(People!$U$5:$U$604,$B102)+COUNTIF(People!$U$5:$U$604,$B102&amp;"")&gt;0,"✓ logged","→ add"))</f>
        <v/>
      </c>
      <c r="H102">
        <f>IFERROR(IF(INDEX(FormData,99,f_Id)&amp;""="","",99),"")</f>
        <v/>
      </c>
      <c r="I102" s="16">
        <f>IF($H102="","",IFERROR(INDEX(FormData,$H102,f_Need)&amp;"",""))</f>
        <v/>
      </c>
    </row>
    <row r="103">
      <c r="A103" s="14" t="n">
        <v>99</v>
      </c>
      <c r="B103" s="14">
        <f>IF($H103="","",INDEX(FormData,$H103,f_Id))</f>
        <v/>
      </c>
      <c r="C103" s="15">
        <f>IF($H103="","",IFERROR(INDEX(FormData,$H103,f_Time),""))</f>
        <v/>
      </c>
      <c r="D103" s="14">
        <f>IF($H103="","",IFERROR(UPPER(LEFT(TRIM(INDEX(FormData,$H103,f_Name)),1)&amp;IFERROR(MID(TRIM(INDEX(FormData,$H103,f_Name)),FIND("^",SUBSTITUTE(TRIM(INDEX(FormData,$H103,f_Name))," ","^",LEN(TRIM(INDEX(FormData,$H103,f_Name)))-LEN(SUBSTITUTE(TRIM(INDEX(FormData,$H103,f_Name))," ",""))))+1,1),"")),""))</f>
        <v/>
      </c>
      <c r="E103" s="16">
        <f>IF($H103="","",IFERROR(INDEX(EvID,MATCH(INDEX(FormData,$H103,f_Event),EvID,0)),IFERROR(INDEX(EvID,MATCH(INDEX(FormData,$H103,f_Event),EvName,0)),IFERROR(INDEX(EvID,MATCH(INT($C103),EvDate,0)),"(no event that day)"))))</f>
        <v/>
      </c>
      <c r="F103" s="16">
        <f>IF($H103="","",IFERROR(IF(SUMPRODUCT(MAX((WhoKW&lt;&gt;"")*ISNUMBER(SEARCH(WhoKW,INDEX(FormData,$H103,f_Who)&amp;""))*(ROW(WhoKW)-MIN(ROW(WhoKW))+1)))=0,"",INDEX(WhoVal,SUMPRODUCT(MAX((WhoKW&lt;&gt;"")*ISNUMBER(SEARCH(WhoKW,INDEX(FormData,$H103,f_Who)&amp;""))*(ROW(WhoKW)-MIN(ROW(WhoKW))+1))))),""))</f>
        <v/>
      </c>
      <c r="G103" s="14">
        <f>IF($H103="","",IF(COUNTIF(People!$U$5:$U$604,$B103)+COUNTIF(People!$U$5:$U$604,$B103&amp;"")&gt;0,"✓ logged","→ add"))</f>
        <v/>
      </c>
      <c r="H103">
        <f>IFERROR(IF(INDEX(FormData,100,f_Id)&amp;""="","",100),"")</f>
        <v/>
      </c>
      <c r="I103" s="16">
        <f>IF($H103="","",IFERROR(INDEX(FormData,$H103,f_Need)&amp;"",""))</f>
        <v/>
      </c>
    </row>
    <row r="104">
      <c r="A104" s="14" t="n">
        <v>100</v>
      </c>
      <c r="B104" s="14">
        <f>IF($H104="","",INDEX(FormData,$H104,f_Id))</f>
        <v/>
      </c>
      <c r="C104" s="15">
        <f>IF($H104="","",IFERROR(INDEX(FormData,$H104,f_Time),""))</f>
        <v/>
      </c>
      <c r="D104" s="14">
        <f>IF($H104="","",IFERROR(UPPER(LEFT(TRIM(INDEX(FormData,$H104,f_Name)),1)&amp;IFERROR(MID(TRIM(INDEX(FormData,$H104,f_Name)),FIND("^",SUBSTITUTE(TRIM(INDEX(FormData,$H104,f_Name))," ","^",LEN(TRIM(INDEX(FormData,$H104,f_Name)))-LEN(SUBSTITUTE(TRIM(INDEX(FormData,$H104,f_Name))," ",""))))+1,1),"")),""))</f>
        <v/>
      </c>
      <c r="E104" s="16">
        <f>IF($H104="","",IFERROR(INDEX(EvID,MATCH(INDEX(FormData,$H104,f_Event),EvID,0)),IFERROR(INDEX(EvID,MATCH(INDEX(FormData,$H104,f_Event),EvName,0)),IFERROR(INDEX(EvID,MATCH(INT($C104),EvDate,0)),"(no event that day)"))))</f>
        <v/>
      </c>
      <c r="F104" s="16">
        <f>IF($H104="","",IFERROR(IF(SUMPRODUCT(MAX((WhoKW&lt;&gt;"")*ISNUMBER(SEARCH(WhoKW,INDEX(FormData,$H104,f_Who)&amp;""))*(ROW(WhoKW)-MIN(ROW(WhoKW))+1)))=0,"",INDEX(WhoVal,SUMPRODUCT(MAX((WhoKW&lt;&gt;"")*ISNUMBER(SEARCH(WhoKW,INDEX(FormData,$H104,f_Who)&amp;""))*(ROW(WhoKW)-MIN(ROW(WhoKW))+1))))),""))</f>
        <v/>
      </c>
      <c r="G104" s="14">
        <f>IF($H104="","",IF(COUNTIF(People!$U$5:$U$604,$B104)+COUNTIF(People!$U$5:$U$604,$B104&amp;"")&gt;0,"✓ logged","→ add"))</f>
        <v/>
      </c>
      <c r="H104">
        <f>IFERROR(IF(INDEX(FormData,101,f_Id)&amp;""="","",101),"")</f>
        <v/>
      </c>
      <c r="I104" s="16">
        <f>IF($H104="","",IFERROR(INDEX(FormData,$H104,f_Need)&amp;"",""))</f>
        <v/>
      </c>
    </row>
    <row r="105">
      <c r="A105" s="14" t="n">
        <v>101</v>
      </c>
      <c r="B105" s="14">
        <f>IF($H105="","",INDEX(FormData,$H105,f_Id))</f>
        <v/>
      </c>
      <c r="C105" s="15">
        <f>IF($H105="","",IFERROR(INDEX(FormData,$H105,f_Time),""))</f>
        <v/>
      </c>
      <c r="D105" s="14">
        <f>IF($H105="","",IFERROR(UPPER(LEFT(TRIM(INDEX(FormData,$H105,f_Name)),1)&amp;IFERROR(MID(TRIM(INDEX(FormData,$H105,f_Name)),FIND("^",SUBSTITUTE(TRIM(INDEX(FormData,$H105,f_Name))," ","^",LEN(TRIM(INDEX(FormData,$H105,f_Name)))-LEN(SUBSTITUTE(TRIM(INDEX(FormData,$H105,f_Name))," ",""))))+1,1),"")),""))</f>
        <v/>
      </c>
      <c r="E105" s="16">
        <f>IF($H105="","",IFERROR(INDEX(EvID,MATCH(INDEX(FormData,$H105,f_Event),EvID,0)),IFERROR(INDEX(EvID,MATCH(INDEX(FormData,$H105,f_Event),EvName,0)),IFERROR(INDEX(EvID,MATCH(INT($C105),EvDate,0)),"(no event that day)"))))</f>
        <v/>
      </c>
      <c r="F105" s="16">
        <f>IF($H105="","",IFERROR(IF(SUMPRODUCT(MAX((WhoKW&lt;&gt;"")*ISNUMBER(SEARCH(WhoKW,INDEX(FormData,$H105,f_Who)&amp;""))*(ROW(WhoKW)-MIN(ROW(WhoKW))+1)))=0,"",INDEX(WhoVal,SUMPRODUCT(MAX((WhoKW&lt;&gt;"")*ISNUMBER(SEARCH(WhoKW,INDEX(FormData,$H105,f_Who)&amp;""))*(ROW(WhoKW)-MIN(ROW(WhoKW))+1))))),""))</f>
        <v/>
      </c>
      <c r="G105" s="14">
        <f>IF($H105="","",IF(COUNTIF(People!$U$5:$U$604,$B105)+COUNTIF(People!$U$5:$U$604,$B105&amp;"")&gt;0,"✓ logged","→ add"))</f>
        <v/>
      </c>
      <c r="H105">
        <f>IFERROR(IF(INDEX(FormData,102,f_Id)&amp;""="","",102),"")</f>
        <v/>
      </c>
      <c r="I105" s="16">
        <f>IF($H105="","",IFERROR(INDEX(FormData,$H105,f_Need)&amp;"",""))</f>
        <v/>
      </c>
    </row>
    <row r="106">
      <c r="A106" s="14" t="n">
        <v>102</v>
      </c>
      <c r="B106" s="14">
        <f>IF($H106="","",INDEX(FormData,$H106,f_Id))</f>
        <v/>
      </c>
      <c r="C106" s="15">
        <f>IF($H106="","",IFERROR(INDEX(FormData,$H106,f_Time),""))</f>
        <v/>
      </c>
      <c r="D106" s="14">
        <f>IF($H106="","",IFERROR(UPPER(LEFT(TRIM(INDEX(FormData,$H106,f_Name)),1)&amp;IFERROR(MID(TRIM(INDEX(FormData,$H106,f_Name)),FIND("^",SUBSTITUTE(TRIM(INDEX(FormData,$H106,f_Name))," ","^",LEN(TRIM(INDEX(FormData,$H106,f_Name)))-LEN(SUBSTITUTE(TRIM(INDEX(FormData,$H106,f_Name))," ",""))))+1,1),"")),""))</f>
        <v/>
      </c>
      <c r="E106" s="16">
        <f>IF($H106="","",IFERROR(INDEX(EvID,MATCH(INDEX(FormData,$H106,f_Event),EvID,0)),IFERROR(INDEX(EvID,MATCH(INDEX(FormData,$H106,f_Event),EvName,0)),IFERROR(INDEX(EvID,MATCH(INT($C106),EvDate,0)),"(no event that day)"))))</f>
        <v/>
      </c>
      <c r="F106" s="16">
        <f>IF($H106="","",IFERROR(IF(SUMPRODUCT(MAX((WhoKW&lt;&gt;"")*ISNUMBER(SEARCH(WhoKW,INDEX(FormData,$H106,f_Who)&amp;""))*(ROW(WhoKW)-MIN(ROW(WhoKW))+1)))=0,"",INDEX(WhoVal,SUMPRODUCT(MAX((WhoKW&lt;&gt;"")*ISNUMBER(SEARCH(WhoKW,INDEX(FormData,$H106,f_Who)&amp;""))*(ROW(WhoKW)-MIN(ROW(WhoKW))+1))))),""))</f>
        <v/>
      </c>
      <c r="G106" s="14">
        <f>IF($H106="","",IF(COUNTIF(People!$U$5:$U$604,$B106)+COUNTIF(People!$U$5:$U$604,$B106&amp;"")&gt;0,"✓ logged","→ add"))</f>
        <v/>
      </c>
      <c r="H106">
        <f>IFERROR(IF(INDEX(FormData,103,f_Id)&amp;""="","",103),"")</f>
        <v/>
      </c>
      <c r="I106" s="16">
        <f>IF($H106="","",IFERROR(INDEX(FormData,$H106,f_Need)&amp;"",""))</f>
        <v/>
      </c>
    </row>
    <row r="107">
      <c r="A107" s="14" t="n">
        <v>103</v>
      </c>
      <c r="B107" s="14">
        <f>IF($H107="","",INDEX(FormData,$H107,f_Id))</f>
        <v/>
      </c>
      <c r="C107" s="15">
        <f>IF($H107="","",IFERROR(INDEX(FormData,$H107,f_Time),""))</f>
        <v/>
      </c>
      <c r="D107" s="14">
        <f>IF($H107="","",IFERROR(UPPER(LEFT(TRIM(INDEX(FormData,$H107,f_Name)),1)&amp;IFERROR(MID(TRIM(INDEX(FormData,$H107,f_Name)),FIND("^",SUBSTITUTE(TRIM(INDEX(FormData,$H107,f_Name))," ","^",LEN(TRIM(INDEX(FormData,$H107,f_Name)))-LEN(SUBSTITUTE(TRIM(INDEX(FormData,$H107,f_Name))," ",""))))+1,1),"")),""))</f>
        <v/>
      </c>
      <c r="E107" s="16">
        <f>IF($H107="","",IFERROR(INDEX(EvID,MATCH(INDEX(FormData,$H107,f_Event),EvID,0)),IFERROR(INDEX(EvID,MATCH(INDEX(FormData,$H107,f_Event),EvName,0)),IFERROR(INDEX(EvID,MATCH(INT($C107),EvDate,0)),"(no event that day)"))))</f>
        <v/>
      </c>
      <c r="F107" s="16">
        <f>IF($H107="","",IFERROR(IF(SUMPRODUCT(MAX((WhoKW&lt;&gt;"")*ISNUMBER(SEARCH(WhoKW,INDEX(FormData,$H107,f_Who)&amp;""))*(ROW(WhoKW)-MIN(ROW(WhoKW))+1)))=0,"",INDEX(WhoVal,SUMPRODUCT(MAX((WhoKW&lt;&gt;"")*ISNUMBER(SEARCH(WhoKW,INDEX(FormData,$H107,f_Who)&amp;""))*(ROW(WhoKW)-MIN(ROW(WhoKW))+1))))),""))</f>
        <v/>
      </c>
      <c r="G107" s="14">
        <f>IF($H107="","",IF(COUNTIF(People!$U$5:$U$604,$B107)+COUNTIF(People!$U$5:$U$604,$B107&amp;"")&gt;0,"✓ logged","→ add"))</f>
        <v/>
      </c>
      <c r="H107">
        <f>IFERROR(IF(INDEX(FormData,104,f_Id)&amp;""="","",104),"")</f>
        <v/>
      </c>
      <c r="I107" s="16">
        <f>IF($H107="","",IFERROR(INDEX(FormData,$H107,f_Need)&amp;"",""))</f>
        <v/>
      </c>
    </row>
    <row r="108">
      <c r="A108" s="14" t="n">
        <v>104</v>
      </c>
      <c r="B108" s="14">
        <f>IF($H108="","",INDEX(FormData,$H108,f_Id))</f>
        <v/>
      </c>
      <c r="C108" s="15">
        <f>IF($H108="","",IFERROR(INDEX(FormData,$H108,f_Time),""))</f>
        <v/>
      </c>
      <c r="D108" s="14">
        <f>IF($H108="","",IFERROR(UPPER(LEFT(TRIM(INDEX(FormData,$H108,f_Name)),1)&amp;IFERROR(MID(TRIM(INDEX(FormData,$H108,f_Name)),FIND("^",SUBSTITUTE(TRIM(INDEX(FormData,$H108,f_Name))," ","^",LEN(TRIM(INDEX(FormData,$H108,f_Name)))-LEN(SUBSTITUTE(TRIM(INDEX(FormData,$H108,f_Name))," ",""))))+1,1),"")),""))</f>
        <v/>
      </c>
      <c r="E108" s="16">
        <f>IF($H108="","",IFERROR(INDEX(EvID,MATCH(INDEX(FormData,$H108,f_Event),EvID,0)),IFERROR(INDEX(EvID,MATCH(INDEX(FormData,$H108,f_Event),EvName,0)),IFERROR(INDEX(EvID,MATCH(INT($C108),EvDate,0)),"(no event that day)"))))</f>
        <v/>
      </c>
      <c r="F108" s="16">
        <f>IF($H108="","",IFERROR(IF(SUMPRODUCT(MAX((WhoKW&lt;&gt;"")*ISNUMBER(SEARCH(WhoKW,INDEX(FormData,$H108,f_Who)&amp;""))*(ROW(WhoKW)-MIN(ROW(WhoKW))+1)))=0,"",INDEX(WhoVal,SUMPRODUCT(MAX((WhoKW&lt;&gt;"")*ISNUMBER(SEARCH(WhoKW,INDEX(FormData,$H108,f_Who)&amp;""))*(ROW(WhoKW)-MIN(ROW(WhoKW))+1))))),""))</f>
        <v/>
      </c>
      <c r="G108" s="14">
        <f>IF($H108="","",IF(COUNTIF(People!$U$5:$U$604,$B108)+COUNTIF(People!$U$5:$U$604,$B108&amp;"")&gt;0,"✓ logged","→ add"))</f>
        <v/>
      </c>
      <c r="H108">
        <f>IFERROR(IF(INDEX(FormData,105,f_Id)&amp;""="","",105),"")</f>
        <v/>
      </c>
      <c r="I108" s="16">
        <f>IF($H108="","",IFERROR(INDEX(FormData,$H108,f_Need)&amp;"",""))</f>
        <v/>
      </c>
    </row>
    <row r="109">
      <c r="A109" s="14" t="n">
        <v>105</v>
      </c>
      <c r="B109" s="14">
        <f>IF($H109="","",INDEX(FormData,$H109,f_Id))</f>
        <v/>
      </c>
      <c r="C109" s="15">
        <f>IF($H109="","",IFERROR(INDEX(FormData,$H109,f_Time),""))</f>
        <v/>
      </c>
      <c r="D109" s="14">
        <f>IF($H109="","",IFERROR(UPPER(LEFT(TRIM(INDEX(FormData,$H109,f_Name)),1)&amp;IFERROR(MID(TRIM(INDEX(FormData,$H109,f_Name)),FIND("^",SUBSTITUTE(TRIM(INDEX(FormData,$H109,f_Name))," ","^",LEN(TRIM(INDEX(FormData,$H109,f_Name)))-LEN(SUBSTITUTE(TRIM(INDEX(FormData,$H109,f_Name))," ",""))))+1,1),"")),""))</f>
        <v/>
      </c>
      <c r="E109" s="16">
        <f>IF($H109="","",IFERROR(INDEX(EvID,MATCH(INDEX(FormData,$H109,f_Event),EvID,0)),IFERROR(INDEX(EvID,MATCH(INDEX(FormData,$H109,f_Event),EvName,0)),IFERROR(INDEX(EvID,MATCH(INT($C109),EvDate,0)),"(no event that day)"))))</f>
        <v/>
      </c>
      <c r="F109" s="16">
        <f>IF($H109="","",IFERROR(IF(SUMPRODUCT(MAX((WhoKW&lt;&gt;"")*ISNUMBER(SEARCH(WhoKW,INDEX(FormData,$H109,f_Who)&amp;""))*(ROW(WhoKW)-MIN(ROW(WhoKW))+1)))=0,"",INDEX(WhoVal,SUMPRODUCT(MAX((WhoKW&lt;&gt;"")*ISNUMBER(SEARCH(WhoKW,INDEX(FormData,$H109,f_Who)&amp;""))*(ROW(WhoKW)-MIN(ROW(WhoKW))+1))))),""))</f>
        <v/>
      </c>
      <c r="G109" s="14">
        <f>IF($H109="","",IF(COUNTIF(People!$U$5:$U$604,$B109)+COUNTIF(People!$U$5:$U$604,$B109&amp;"")&gt;0,"✓ logged","→ add"))</f>
        <v/>
      </c>
      <c r="H109">
        <f>IFERROR(IF(INDEX(FormData,106,f_Id)&amp;""="","",106),"")</f>
        <v/>
      </c>
      <c r="I109" s="16">
        <f>IF($H109="","",IFERROR(INDEX(FormData,$H109,f_Need)&amp;"",""))</f>
        <v/>
      </c>
    </row>
    <row r="110">
      <c r="A110" s="14" t="n">
        <v>106</v>
      </c>
      <c r="B110" s="14">
        <f>IF($H110="","",INDEX(FormData,$H110,f_Id))</f>
        <v/>
      </c>
      <c r="C110" s="15">
        <f>IF($H110="","",IFERROR(INDEX(FormData,$H110,f_Time),""))</f>
        <v/>
      </c>
      <c r="D110" s="14">
        <f>IF($H110="","",IFERROR(UPPER(LEFT(TRIM(INDEX(FormData,$H110,f_Name)),1)&amp;IFERROR(MID(TRIM(INDEX(FormData,$H110,f_Name)),FIND("^",SUBSTITUTE(TRIM(INDEX(FormData,$H110,f_Name))," ","^",LEN(TRIM(INDEX(FormData,$H110,f_Name)))-LEN(SUBSTITUTE(TRIM(INDEX(FormData,$H110,f_Name))," ",""))))+1,1),"")),""))</f>
        <v/>
      </c>
      <c r="E110" s="16">
        <f>IF($H110="","",IFERROR(INDEX(EvID,MATCH(INDEX(FormData,$H110,f_Event),EvID,0)),IFERROR(INDEX(EvID,MATCH(INDEX(FormData,$H110,f_Event),EvName,0)),IFERROR(INDEX(EvID,MATCH(INT($C110),EvDate,0)),"(no event that day)"))))</f>
        <v/>
      </c>
      <c r="F110" s="16">
        <f>IF($H110="","",IFERROR(IF(SUMPRODUCT(MAX((WhoKW&lt;&gt;"")*ISNUMBER(SEARCH(WhoKW,INDEX(FormData,$H110,f_Who)&amp;""))*(ROW(WhoKW)-MIN(ROW(WhoKW))+1)))=0,"",INDEX(WhoVal,SUMPRODUCT(MAX((WhoKW&lt;&gt;"")*ISNUMBER(SEARCH(WhoKW,INDEX(FormData,$H110,f_Who)&amp;""))*(ROW(WhoKW)-MIN(ROW(WhoKW))+1))))),""))</f>
        <v/>
      </c>
      <c r="G110" s="14">
        <f>IF($H110="","",IF(COUNTIF(People!$U$5:$U$604,$B110)+COUNTIF(People!$U$5:$U$604,$B110&amp;"")&gt;0,"✓ logged","→ add"))</f>
        <v/>
      </c>
      <c r="H110">
        <f>IFERROR(IF(INDEX(FormData,107,f_Id)&amp;""="","",107),"")</f>
        <v/>
      </c>
      <c r="I110" s="16">
        <f>IF($H110="","",IFERROR(INDEX(FormData,$H110,f_Need)&amp;"",""))</f>
        <v/>
      </c>
    </row>
    <row r="111">
      <c r="A111" s="14" t="n">
        <v>107</v>
      </c>
      <c r="B111" s="14">
        <f>IF($H111="","",INDEX(FormData,$H111,f_Id))</f>
        <v/>
      </c>
      <c r="C111" s="15">
        <f>IF($H111="","",IFERROR(INDEX(FormData,$H111,f_Time),""))</f>
        <v/>
      </c>
      <c r="D111" s="14">
        <f>IF($H111="","",IFERROR(UPPER(LEFT(TRIM(INDEX(FormData,$H111,f_Name)),1)&amp;IFERROR(MID(TRIM(INDEX(FormData,$H111,f_Name)),FIND("^",SUBSTITUTE(TRIM(INDEX(FormData,$H111,f_Name))," ","^",LEN(TRIM(INDEX(FormData,$H111,f_Name)))-LEN(SUBSTITUTE(TRIM(INDEX(FormData,$H111,f_Name))," ",""))))+1,1),"")),""))</f>
        <v/>
      </c>
      <c r="E111" s="16">
        <f>IF($H111="","",IFERROR(INDEX(EvID,MATCH(INDEX(FormData,$H111,f_Event),EvID,0)),IFERROR(INDEX(EvID,MATCH(INDEX(FormData,$H111,f_Event),EvName,0)),IFERROR(INDEX(EvID,MATCH(INT($C111),EvDate,0)),"(no event that day)"))))</f>
        <v/>
      </c>
      <c r="F111" s="16">
        <f>IF($H111="","",IFERROR(IF(SUMPRODUCT(MAX((WhoKW&lt;&gt;"")*ISNUMBER(SEARCH(WhoKW,INDEX(FormData,$H111,f_Who)&amp;""))*(ROW(WhoKW)-MIN(ROW(WhoKW))+1)))=0,"",INDEX(WhoVal,SUMPRODUCT(MAX((WhoKW&lt;&gt;"")*ISNUMBER(SEARCH(WhoKW,INDEX(FormData,$H111,f_Who)&amp;""))*(ROW(WhoKW)-MIN(ROW(WhoKW))+1))))),""))</f>
        <v/>
      </c>
      <c r="G111" s="14">
        <f>IF($H111="","",IF(COUNTIF(People!$U$5:$U$604,$B111)+COUNTIF(People!$U$5:$U$604,$B111&amp;"")&gt;0,"✓ logged","→ add"))</f>
        <v/>
      </c>
      <c r="H111">
        <f>IFERROR(IF(INDEX(FormData,108,f_Id)&amp;""="","",108),"")</f>
        <v/>
      </c>
      <c r="I111" s="16">
        <f>IF($H111="","",IFERROR(INDEX(FormData,$H111,f_Need)&amp;"",""))</f>
        <v/>
      </c>
    </row>
    <row r="112">
      <c r="A112" s="14" t="n">
        <v>108</v>
      </c>
      <c r="B112" s="14">
        <f>IF($H112="","",INDEX(FormData,$H112,f_Id))</f>
        <v/>
      </c>
      <c r="C112" s="15">
        <f>IF($H112="","",IFERROR(INDEX(FormData,$H112,f_Time),""))</f>
        <v/>
      </c>
      <c r="D112" s="14">
        <f>IF($H112="","",IFERROR(UPPER(LEFT(TRIM(INDEX(FormData,$H112,f_Name)),1)&amp;IFERROR(MID(TRIM(INDEX(FormData,$H112,f_Name)),FIND("^",SUBSTITUTE(TRIM(INDEX(FormData,$H112,f_Name))," ","^",LEN(TRIM(INDEX(FormData,$H112,f_Name)))-LEN(SUBSTITUTE(TRIM(INDEX(FormData,$H112,f_Name))," ",""))))+1,1),"")),""))</f>
        <v/>
      </c>
      <c r="E112" s="16">
        <f>IF($H112="","",IFERROR(INDEX(EvID,MATCH(INDEX(FormData,$H112,f_Event),EvID,0)),IFERROR(INDEX(EvID,MATCH(INDEX(FormData,$H112,f_Event),EvName,0)),IFERROR(INDEX(EvID,MATCH(INT($C112),EvDate,0)),"(no event that day)"))))</f>
        <v/>
      </c>
      <c r="F112" s="16">
        <f>IF($H112="","",IFERROR(IF(SUMPRODUCT(MAX((WhoKW&lt;&gt;"")*ISNUMBER(SEARCH(WhoKW,INDEX(FormData,$H112,f_Who)&amp;""))*(ROW(WhoKW)-MIN(ROW(WhoKW))+1)))=0,"",INDEX(WhoVal,SUMPRODUCT(MAX((WhoKW&lt;&gt;"")*ISNUMBER(SEARCH(WhoKW,INDEX(FormData,$H112,f_Who)&amp;""))*(ROW(WhoKW)-MIN(ROW(WhoKW))+1))))),""))</f>
        <v/>
      </c>
      <c r="G112" s="14">
        <f>IF($H112="","",IF(COUNTIF(People!$U$5:$U$604,$B112)+COUNTIF(People!$U$5:$U$604,$B112&amp;"")&gt;0,"✓ logged","→ add"))</f>
        <v/>
      </c>
      <c r="H112">
        <f>IFERROR(IF(INDEX(FormData,109,f_Id)&amp;""="","",109),"")</f>
        <v/>
      </c>
      <c r="I112" s="16">
        <f>IF($H112="","",IFERROR(INDEX(FormData,$H112,f_Need)&amp;"",""))</f>
        <v/>
      </c>
    </row>
    <row r="113">
      <c r="A113" s="14" t="n">
        <v>109</v>
      </c>
      <c r="B113" s="14">
        <f>IF($H113="","",INDEX(FormData,$H113,f_Id))</f>
        <v/>
      </c>
      <c r="C113" s="15">
        <f>IF($H113="","",IFERROR(INDEX(FormData,$H113,f_Time),""))</f>
        <v/>
      </c>
      <c r="D113" s="14">
        <f>IF($H113="","",IFERROR(UPPER(LEFT(TRIM(INDEX(FormData,$H113,f_Name)),1)&amp;IFERROR(MID(TRIM(INDEX(FormData,$H113,f_Name)),FIND("^",SUBSTITUTE(TRIM(INDEX(FormData,$H113,f_Name))," ","^",LEN(TRIM(INDEX(FormData,$H113,f_Name)))-LEN(SUBSTITUTE(TRIM(INDEX(FormData,$H113,f_Name))," ",""))))+1,1),"")),""))</f>
        <v/>
      </c>
      <c r="E113" s="16">
        <f>IF($H113="","",IFERROR(INDEX(EvID,MATCH(INDEX(FormData,$H113,f_Event),EvID,0)),IFERROR(INDEX(EvID,MATCH(INDEX(FormData,$H113,f_Event),EvName,0)),IFERROR(INDEX(EvID,MATCH(INT($C113),EvDate,0)),"(no event that day)"))))</f>
        <v/>
      </c>
      <c r="F113" s="16">
        <f>IF($H113="","",IFERROR(IF(SUMPRODUCT(MAX((WhoKW&lt;&gt;"")*ISNUMBER(SEARCH(WhoKW,INDEX(FormData,$H113,f_Who)&amp;""))*(ROW(WhoKW)-MIN(ROW(WhoKW))+1)))=0,"",INDEX(WhoVal,SUMPRODUCT(MAX((WhoKW&lt;&gt;"")*ISNUMBER(SEARCH(WhoKW,INDEX(FormData,$H113,f_Who)&amp;""))*(ROW(WhoKW)-MIN(ROW(WhoKW))+1))))),""))</f>
        <v/>
      </c>
      <c r="G113" s="14">
        <f>IF($H113="","",IF(COUNTIF(People!$U$5:$U$604,$B113)+COUNTIF(People!$U$5:$U$604,$B113&amp;"")&gt;0,"✓ logged","→ add"))</f>
        <v/>
      </c>
      <c r="H113">
        <f>IFERROR(IF(INDEX(FormData,110,f_Id)&amp;""="","",110),"")</f>
        <v/>
      </c>
      <c r="I113" s="16">
        <f>IF($H113="","",IFERROR(INDEX(FormData,$H113,f_Need)&amp;"",""))</f>
        <v/>
      </c>
    </row>
    <row r="114">
      <c r="A114" s="14" t="n">
        <v>110</v>
      </c>
      <c r="B114" s="14">
        <f>IF($H114="","",INDEX(FormData,$H114,f_Id))</f>
        <v/>
      </c>
      <c r="C114" s="15">
        <f>IF($H114="","",IFERROR(INDEX(FormData,$H114,f_Time),""))</f>
        <v/>
      </c>
      <c r="D114" s="14">
        <f>IF($H114="","",IFERROR(UPPER(LEFT(TRIM(INDEX(FormData,$H114,f_Name)),1)&amp;IFERROR(MID(TRIM(INDEX(FormData,$H114,f_Name)),FIND("^",SUBSTITUTE(TRIM(INDEX(FormData,$H114,f_Name))," ","^",LEN(TRIM(INDEX(FormData,$H114,f_Name)))-LEN(SUBSTITUTE(TRIM(INDEX(FormData,$H114,f_Name))," ",""))))+1,1),"")),""))</f>
        <v/>
      </c>
      <c r="E114" s="16">
        <f>IF($H114="","",IFERROR(INDEX(EvID,MATCH(INDEX(FormData,$H114,f_Event),EvID,0)),IFERROR(INDEX(EvID,MATCH(INDEX(FormData,$H114,f_Event),EvName,0)),IFERROR(INDEX(EvID,MATCH(INT($C114),EvDate,0)),"(no event that day)"))))</f>
        <v/>
      </c>
      <c r="F114" s="16">
        <f>IF($H114="","",IFERROR(IF(SUMPRODUCT(MAX((WhoKW&lt;&gt;"")*ISNUMBER(SEARCH(WhoKW,INDEX(FormData,$H114,f_Who)&amp;""))*(ROW(WhoKW)-MIN(ROW(WhoKW))+1)))=0,"",INDEX(WhoVal,SUMPRODUCT(MAX((WhoKW&lt;&gt;"")*ISNUMBER(SEARCH(WhoKW,INDEX(FormData,$H114,f_Who)&amp;""))*(ROW(WhoKW)-MIN(ROW(WhoKW))+1))))),""))</f>
        <v/>
      </c>
      <c r="G114" s="14">
        <f>IF($H114="","",IF(COUNTIF(People!$U$5:$U$604,$B114)+COUNTIF(People!$U$5:$U$604,$B114&amp;"")&gt;0,"✓ logged","→ add"))</f>
        <v/>
      </c>
      <c r="H114">
        <f>IFERROR(IF(INDEX(FormData,111,f_Id)&amp;""="","",111),"")</f>
        <v/>
      </c>
      <c r="I114" s="16">
        <f>IF($H114="","",IFERROR(INDEX(FormData,$H114,f_Need)&amp;"",""))</f>
        <v/>
      </c>
    </row>
    <row r="115">
      <c r="A115" s="14" t="n">
        <v>111</v>
      </c>
      <c r="B115" s="14">
        <f>IF($H115="","",INDEX(FormData,$H115,f_Id))</f>
        <v/>
      </c>
      <c r="C115" s="15">
        <f>IF($H115="","",IFERROR(INDEX(FormData,$H115,f_Time),""))</f>
        <v/>
      </c>
      <c r="D115" s="14">
        <f>IF($H115="","",IFERROR(UPPER(LEFT(TRIM(INDEX(FormData,$H115,f_Name)),1)&amp;IFERROR(MID(TRIM(INDEX(FormData,$H115,f_Name)),FIND("^",SUBSTITUTE(TRIM(INDEX(FormData,$H115,f_Name))," ","^",LEN(TRIM(INDEX(FormData,$H115,f_Name)))-LEN(SUBSTITUTE(TRIM(INDEX(FormData,$H115,f_Name))," ",""))))+1,1),"")),""))</f>
        <v/>
      </c>
      <c r="E115" s="16">
        <f>IF($H115="","",IFERROR(INDEX(EvID,MATCH(INDEX(FormData,$H115,f_Event),EvID,0)),IFERROR(INDEX(EvID,MATCH(INDEX(FormData,$H115,f_Event),EvName,0)),IFERROR(INDEX(EvID,MATCH(INT($C115),EvDate,0)),"(no event that day)"))))</f>
        <v/>
      </c>
      <c r="F115" s="16">
        <f>IF($H115="","",IFERROR(IF(SUMPRODUCT(MAX((WhoKW&lt;&gt;"")*ISNUMBER(SEARCH(WhoKW,INDEX(FormData,$H115,f_Who)&amp;""))*(ROW(WhoKW)-MIN(ROW(WhoKW))+1)))=0,"",INDEX(WhoVal,SUMPRODUCT(MAX((WhoKW&lt;&gt;"")*ISNUMBER(SEARCH(WhoKW,INDEX(FormData,$H115,f_Who)&amp;""))*(ROW(WhoKW)-MIN(ROW(WhoKW))+1))))),""))</f>
        <v/>
      </c>
      <c r="G115" s="14">
        <f>IF($H115="","",IF(COUNTIF(People!$U$5:$U$604,$B115)+COUNTIF(People!$U$5:$U$604,$B115&amp;"")&gt;0,"✓ logged","→ add"))</f>
        <v/>
      </c>
      <c r="H115">
        <f>IFERROR(IF(INDEX(FormData,112,f_Id)&amp;""="","",112),"")</f>
        <v/>
      </c>
      <c r="I115" s="16">
        <f>IF($H115="","",IFERROR(INDEX(FormData,$H115,f_Need)&amp;"",""))</f>
        <v/>
      </c>
    </row>
    <row r="116">
      <c r="A116" s="14" t="n">
        <v>112</v>
      </c>
      <c r="B116" s="14">
        <f>IF($H116="","",INDEX(FormData,$H116,f_Id))</f>
        <v/>
      </c>
      <c r="C116" s="15">
        <f>IF($H116="","",IFERROR(INDEX(FormData,$H116,f_Time),""))</f>
        <v/>
      </c>
      <c r="D116" s="14">
        <f>IF($H116="","",IFERROR(UPPER(LEFT(TRIM(INDEX(FormData,$H116,f_Name)),1)&amp;IFERROR(MID(TRIM(INDEX(FormData,$H116,f_Name)),FIND("^",SUBSTITUTE(TRIM(INDEX(FormData,$H116,f_Name))," ","^",LEN(TRIM(INDEX(FormData,$H116,f_Name)))-LEN(SUBSTITUTE(TRIM(INDEX(FormData,$H116,f_Name))," ",""))))+1,1),"")),""))</f>
        <v/>
      </c>
      <c r="E116" s="16">
        <f>IF($H116="","",IFERROR(INDEX(EvID,MATCH(INDEX(FormData,$H116,f_Event),EvID,0)),IFERROR(INDEX(EvID,MATCH(INDEX(FormData,$H116,f_Event),EvName,0)),IFERROR(INDEX(EvID,MATCH(INT($C116),EvDate,0)),"(no event that day)"))))</f>
        <v/>
      </c>
      <c r="F116" s="16">
        <f>IF($H116="","",IFERROR(IF(SUMPRODUCT(MAX((WhoKW&lt;&gt;"")*ISNUMBER(SEARCH(WhoKW,INDEX(FormData,$H116,f_Who)&amp;""))*(ROW(WhoKW)-MIN(ROW(WhoKW))+1)))=0,"",INDEX(WhoVal,SUMPRODUCT(MAX((WhoKW&lt;&gt;"")*ISNUMBER(SEARCH(WhoKW,INDEX(FormData,$H116,f_Who)&amp;""))*(ROW(WhoKW)-MIN(ROW(WhoKW))+1))))),""))</f>
        <v/>
      </c>
      <c r="G116" s="14">
        <f>IF($H116="","",IF(COUNTIF(People!$U$5:$U$604,$B116)+COUNTIF(People!$U$5:$U$604,$B116&amp;"")&gt;0,"✓ logged","→ add"))</f>
        <v/>
      </c>
      <c r="H116">
        <f>IFERROR(IF(INDEX(FormData,113,f_Id)&amp;""="","",113),"")</f>
        <v/>
      </c>
      <c r="I116" s="16">
        <f>IF($H116="","",IFERROR(INDEX(FormData,$H116,f_Need)&amp;"",""))</f>
        <v/>
      </c>
    </row>
    <row r="117">
      <c r="A117" s="14" t="n">
        <v>113</v>
      </c>
      <c r="B117" s="14">
        <f>IF($H117="","",INDEX(FormData,$H117,f_Id))</f>
        <v/>
      </c>
      <c r="C117" s="15">
        <f>IF($H117="","",IFERROR(INDEX(FormData,$H117,f_Time),""))</f>
        <v/>
      </c>
      <c r="D117" s="14">
        <f>IF($H117="","",IFERROR(UPPER(LEFT(TRIM(INDEX(FormData,$H117,f_Name)),1)&amp;IFERROR(MID(TRIM(INDEX(FormData,$H117,f_Name)),FIND("^",SUBSTITUTE(TRIM(INDEX(FormData,$H117,f_Name))," ","^",LEN(TRIM(INDEX(FormData,$H117,f_Name)))-LEN(SUBSTITUTE(TRIM(INDEX(FormData,$H117,f_Name))," ",""))))+1,1),"")),""))</f>
        <v/>
      </c>
      <c r="E117" s="16">
        <f>IF($H117="","",IFERROR(INDEX(EvID,MATCH(INDEX(FormData,$H117,f_Event),EvID,0)),IFERROR(INDEX(EvID,MATCH(INDEX(FormData,$H117,f_Event),EvName,0)),IFERROR(INDEX(EvID,MATCH(INT($C117),EvDate,0)),"(no event that day)"))))</f>
        <v/>
      </c>
      <c r="F117" s="16">
        <f>IF($H117="","",IFERROR(IF(SUMPRODUCT(MAX((WhoKW&lt;&gt;"")*ISNUMBER(SEARCH(WhoKW,INDEX(FormData,$H117,f_Who)&amp;""))*(ROW(WhoKW)-MIN(ROW(WhoKW))+1)))=0,"",INDEX(WhoVal,SUMPRODUCT(MAX((WhoKW&lt;&gt;"")*ISNUMBER(SEARCH(WhoKW,INDEX(FormData,$H117,f_Who)&amp;""))*(ROW(WhoKW)-MIN(ROW(WhoKW))+1))))),""))</f>
        <v/>
      </c>
      <c r="G117" s="14">
        <f>IF($H117="","",IF(COUNTIF(People!$U$5:$U$604,$B117)+COUNTIF(People!$U$5:$U$604,$B117&amp;"")&gt;0,"✓ logged","→ add"))</f>
        <v/>
      </c>
      <c r="H117">
        <f>IFERROR(IF(INDEX(FormData,114,f_Id)&amp;""="","",114),"")</f>
        <v/>
      </c>
      <c r="I117" s="16">
        <f>IF($H117="","",IFERROR(INDEX(FormData,$H117,f_Need)&amp;"",""))</f>
        <v/>
      </c>
    </row>
    <row r="118">
      <c r="A118" s="14" t="n">
        <v>114</v>
      </c>
      <c r="B118" s="14">
        <f>IF($H118="","",INDEX(FormData,$H118,f_Id))</f>
        <v/>
      </c>
      <c r="C118" s="15">
        <f>IF($H118="","",IFERROR(INDEX(FormData,$H118,f_Time),""))</f>
        <v/>
      </c>
      <c r="D118" s="14">
        <f>IF($H118="","",IFERROR(UPPER(LEFT(TRIM(INDEX(FormData,$H118,f_Name)),1)&amp;IFERROR(MID(TRIM(INDEX(FormData,$H118,f_Name)),FIND("^",SUBSTITUTE(TRIM(INDEX(FormData,$H118,f_Name))," ","^",LEN(TRIM(INDEX(FormData,$H118,f_Name)))-LEN(SUBSTITUTE(TRIM(INDEX(FormData,$H118,f_Name))," ",""))))+1,1),"")),""))</f>
        <v/>
      </c>
      <c r="E118" s="16">
        <f>IF($H118="","",IFERROR(INDEX(EvID,MATCH(INDEX(FormData,$H118,f_Event),EvID,0)),IFERROR(INDEX(EvID,MATCH(INDEX(FormData,$H118,f_Event),EvName,0)),IFERROR(INDEX(EvID,MATCH(INT($C118),EvDate,0)),"(no event that day)"))))</f>
        <v/>
      </c>
      <c r="F118" s="16">
        <f>IF($H118="","",IFERROR(IF(SUMPRODUCT(MAX((WhoKW&lt;&gt;"")*ISNUMBER(SEARCH(WhoKW,INDEX(FormData,$H118,f_Who)&amp;""))*(ROW(WhoKW)-MIN(ROW(WhoKW))+1)))=0,"",INDEX(WhoVal,SUMPRODUCT(MAX((WhoKW&lt;&gt;"")*ISNUMBER(SEARCH(WhoKW,INDEX(FormData,$H118,f_Who)&amp;""))*(ROW(WhoKW)-MIN(ROW(WhoKW))+1))))),""))</f>
        <v/>
      </c>
      <c r="G118" s="14">
        <f>IF($H118="","",IF(COUNTIF(People!$U$5:$U$604,$B118)+COUNTIF(People!$U$5:$U$604,$B118&amp;"")&gt;0,"✓ logged","→ add"))</f>
        <v/>
      </c>
      <c r="H118">
        <f>IFERROR(IF(INDEX(FormData,115,f_Id)&amp;""="","",115),"")</f>
        <v/>
      </c>
      <c r="I118" s="16">
        <f>IF($H118="","",IFERROR(INDEX(FormData,$H118,f_Need)&amp;"",""))</f>
        <v/>
      </c>
    </row>
    <row r="119">
      <c r="A119" s="14" t="n">
        <v>115</v>
      </c>
      <c r="B119" s="14">
        <f>IF($H119="","",INDEX(FormData,$H119,f_Id))</f>
        <v/>
      </c>
      <c r="C119" s="15">
        <f>IF($H119="","",IFERROR(INDEX(FormData,$H119,f_Time),""))</f>
        <v/>
      </c>
      <c r="D119" s="14">
        <f>IF($H119="","",IFERROR(UPPER(LEFT(TRIM(INDEX(FormData,$H119,f_Name)),1)&amp;IFERROR(MID(TRIM(INDEX(FormData,$H119,f_Name)),FIND("^",SUBSTITUTE(TRIM(INDEX(FormData,$H119,f_Name))," ","^",LEN(TRIM(INDEX(FormData,$H119,f_Name)))-LEN(SUBSTITUTE(TRIM(INDEX(FormData,$H119,f_Name))," ",""))))+1,1),"")),""))</f>
        <v/>
      </c>
      <c r="E119" s="16">
        <f>IF($H119="","",IFERROR(INDEX(EvID,MATCH(INDEX(FormData,$H119,f_Event),EvID,0)),IFERROR(INDEX(EvID,MATCH(INDEX(FormData,$H119,f_Event),EvName,0)),IFERROR(INDEX(EvID,MATCH(INT($C119),EvDate,0)),"(no event that day)"))))</f>
        <v/>
      </c>
      <c r="F119" s="16">
        <f>IF($H119="","",IFERROR(IF(SUMPRODUCT(MAX((WhoKW&lt;&gt;"")*ISNUMBER(SEARCH(WhoKW,INDEX(FormData,$H119,f_Who)&amp;""))*(ROW(WhoKW)-MIN(ROW(WhoKW))+1)))=0,"",INDEX(WhoVal,SUMPRODUCT(MAX((WhoKW&lt;&gt;"")*ISNUMBER(SEARCH(WhoKW,INDEX(FormData,$H119,f_Who)&amp;""))*(ROW(WhoKW)-MIN(ROW(WhoKW))+1))))),""))</f>
        <v/>
      </c>
      <c r="G119" s="14">
        <f>IF($H119="","",IF(COUNTIF(People!$U$5:$U$604,$B119)+COUNTIF(People!$U$5:$U$604,$B119&amp;"")&gt;0,"✓ logged","→ add"))</f>
        <v/>
      </c>
      <c r="H119">
        <f>IFERROR(IF(INDEX(FormData,116,f_Id)&amp;""="","",116),"")</f>
        <v/>
      </c>
      <c r="I119" s="16">
        <f>IF($H119="","",IFERROR(INDEX(FormData,$H119,f_Need)&amp;"",""))</f>
        <v/>
      </c>
    </row>
    <row r="120">
      <c r="A120" s="14" t="n">
        <v>116</v>
      </c>
      <c r="B120" s="14">
        <f>IF($H120="","",INDEX(FormData,$H120,f_Id))</f>
        <v/>
      </c>
      <c r="C120" s="15">
        <f>IF($H120="","",IFERROR(INDEX(FormData,$H120,f_Time),""))</f>
        <v/>
      </c>
      <c r="D120" s="14">
        <f>IF($H120="","",IFERROR(UPPER(LEFT(TRIM(INDEX(FormData,$H120,f_Name)),1)&amp;IFERROR(MID(TRIM(INDEX(FormData,$H120,f_Name)),FIND("^",SUBSTITUTE(TRIM(INDEX(FormData,$H120,f_Name))," ","^",LEN(TRIM(INDEX(FormData,$H120,f_Name)))-LEN(SUBSTITUTE(TRIM(INDEX(FormData,$H120,f_Name))," ",""))))+1,1),"")),""))</f>
        <v/>
      </c>
      <c r="E120" s="16">
        <f>IF($H120="","",IFERROR(INDEX(EvID,MATCH(INDEX(FormData,$H120,f_Event),EvID,0)),IFERROR(INDEX(EvID,MATCH(INDEX(FormData,$H120,f_Event),EvName,0)),IFERROR(INDEX(EvID,MATCH(INT($C120),EvDate,0)),"(no event that day)"))))</f>
        <v/>
      </c>
      <c r="F120" s="16">
        <f>IF($H120="","",IFERROR(IF(SUMPRODUCT(MAX((WhoKW&lt;&gt;"")*ISNUMBER(SEARCH(WhoKW,INDEX(FormData,$H120,f_Who)&amp;""))*(ROW(WhoKW)-MIN(ROW(WhoKW))+1)))=0,"",INDEX(WhoVal,SUMPRODUCT(MAX((WhoKW&lt;&gt;"")*ISNUMBER(SEARCH(WhoKW,INDEX(FormData,$H120,f_Who)&amp;""))*(ROW(WhoKW)-MIN(ROW(WhoKW))+1))))),""))</f>
        <v/>
      </c>
      <c r="G120" s="14">
        <f>IF($H120="","",IF(COUNTIF(People!$U$5:$U$604,$B120)+COUNTIF(People!$U$5:$U$604,$B120&amp;"")&gt;0,"✓ logged","→ add"))</f>
        <v/>
      </c>
      <c r="H120">
        <f>IFERROR(IF(INDEX(FormData,117,f_Id)&amp;""="","",117),"")</f>
        <v/>
      </c>
      <c r="I120" s="16">
        <f>IF($H120="","",IFERROR(INDEX(FormData,$H120,f_Need)&amp;"",""))</f>
        <v/>
      </c>
    </row>
    <row r="121">
      <c r="A121" s="14" t="n">
        <v>117</v>
      </c>
      <c r="B121" s="14">
        <f>IF($H121="","",INDEX(FormData,$H121,f_Id))</f>
        <v/>
      </c>
      <c r="C121" s="15">
        <f>IF($H121="","",IFERROR(INDEX(FormData,$H121,f_Time),""))</f>
        <v/>
      </c>
      <c r="D121" s="14">
        <f>IF($H121="","",IFERROR(UPPER(LEFT(TRIM(INDEX(FormData,$H121,f_Name)),1)&amp;IFERROR(MID(TRIM(INDEX(FormData,$H121,f_Name)),FIND("^",SUBSTITUTE(TRIM(INDEX(FormData,$H121,f_Name))," ","^",LEN(TRIM(INDEX(FormData,$H121,f_Name)))-LEN(SUBSTITUTE(TRIM(INDEX(FormData,$H121,f_Name))," ",""))))+1,1),"")),""))</f>
        <v/>
      </c>
      <c r="E121" s="16">
        <f>IF($H121="","",IFERROR(INDEX(EvID,MATCH(INDEX(FormData,$H121,f_Event),EvID,0)),IFERROR(INDEX(EvID,MATCH(INDEX(FormData,$H121,f_Event),EvName,0)),IFERROR(INDEX(EvID,MATCH(INT($C121),EvDate,0)),"(no event that day)"))))</f>
        <v/>
      </c>
      <c r="F121" s="16">
        <f>IF($H121="","",IFERROR(IF(SUMPRODUCT(MAX((WhoKW&lt;&gt;"")*ISNUMBER(SEARCH(WhoKW,INDEX(FormData,$H121,f_Who)&amp;""))*(ROW(WhoKW)-MIN(ROW(WhoKW))+1)))=0,"",INDEX(WhoVal,SUMPRODUCT(MAX((WhoKW&lt;&gt;"")*ISNUMBER(SEARCH(WhoKW,INDEX(FormData,$H121,f_Who)&amp;""))*(ROW(WhoKW)-MIN(ROW(WhoKW))+1))))),""))</f>
        <v/>
      </c>
      <c r="G121" s="14">
        <f>IF($H121="","",IF(COUNTIF(People!$U$5:$U$604,$B121)+COUNTIF(People!$U$5:$U$604,$B121&amp;"")&gt;0,"✓ logged","→ add"))</f>
        <v/>
      </c>
      <c r="H121">
        <f>IFERROR(IF(INDEX(FormData,118,f_Id)&amp;""="","",118),"")</f>
        <v/>
      </c>
      <c r="I121" s="16">
        <f>IF($H121="","",IFERROR(INDEX(FormData,$H121,f_Need)&amp;"",""))</f>
        <v/>
      </c>
    </row>
    <row r="122">
      <c r="A122" s="14" t="n">
        <v>118</v>
      </c>
      <c r="B122" s="14">
        <f>IF($H122="","",INDEX(FormData,$H122,f_Id))</f>
        <v/>
      </c>
      <c r="C122" s="15">
        <f>IF($H122="","",IFERROR(INDEX(FormData,$H122,f_Time),""))</f>
        <v/>
      </c>
      <c r="D122" s="14">
        <f>IF($H122="","",IFERROR(UPPER(LEFT(TRIM(INDEX(FormData,$H122,f_Name)),1)&amp;IFERROR(MID(TRIM(INDEX(FormData,$H122,f_Name)),FIND("^",SUBSTITUTE(TRIM(INDEX(FormData,$H122,f_Name))," ","^",LEN(TRIM(INDEX(FormData,$H122,f_Name)))-LEN(SUBSTITUTE(TRIM(INDEX(FormData,$H122,f_Name))," ",""))))+1,1),"")),""))</f>
        <v/>
      </c>
      <c r="E122" s="16">
        <f>IF($H122="","",IFERROR(INDEX(EvID,MATCH(INDEX(FormData,$H122,f_Event),EvID,0)),IFERROR(INDEX(EvID,MATCH(INDEX(FormData,$H122,f_Event),EvName,0)),IFERROR(INDEX(EvID,MATCH(INT($C122),EvDate,0)),"(no event that day)"))))</f>
        <v/>
      </c>
      <c r="F122" s="16">
        <f>IF($H122="","",IFERROR(IF(SUMPRODUCT(MAX((WhoKW&lt;&gt;"")*ISNUMBER(SEARCH(WhoKW,INDEX(FormData,$H122,f_Who)&amp;""))*(ROW(WhoKW)-MIN(ROW(WhoKW))+1)))=0,"",INDEX(WhoVal,SUMPRODUCT(MAX((WhoKW&lt;&gt;"")*ISNUMBER(SEARCH(WhoKW,INDEX(FormData,$H122,f_Who)&amp;""))*(ROW(WhoKW)-MIN(ROW(WhoKW))+1))))),""))</f>
        <v/>
      </c>
      <c r="G122" s="14">
        <f>IF($H122="","",IF(COUNTIF(People!$U$5:$U$604,$B122)+COUNTIF(People!$U$5:$U$604,$B122&amp;"")&gt;0,"✓ logged","→ add"))</f>
        <v/>
      </c>
      <c r="H122">
        <f>IFERROR(IF(INDEX(FormData,119,f_Id)&amp;""="","",119),"")</f>
        <v/>
      </c>
      <c r="I122" s="16">
        <f>IF($H122="","",IFERROR(INDEX(FormData,$H122,f_Need)&amp;"",""))</f>
        <v/>
      </c>
    </row>
    <row r="123">
      <c r="A123" s="14" t="n">
        <v>119</v>
      </c>
      <c r="B123" s="14">
        <f>IF($H123="","",INDEX(FormData,$H123,f_Id))</f>
        <v/>
      </c>
      <c r="C123" s="15">
        <f>IF($H123="","",IFERROR(INDEX(FormData,$H123,f_Time),""))</f>
        <v/>
      </c>
      <c r="D123" s="14">
        <f>IF($H123="","",IFERROR(UPPER(LEFT(TRIM(INDEX(FormData,$H123,f_Name)),1)&amp;IFERROR(MID(TRIM(INDEX(FormData,$H123,f_Name)),FIND("^",SUBSTITUTE(TRIM(INDEX(FormData,$H123,f_Name))," ","^",LEN(TRIM(INDEX(FormData,$H123,f_Name)))-LEN(SUBSTITUTE(TRIM(INDEX(FormData,$H123,f_Name))," ",""))))+1,1),"")),""))</f>
        <v/>
      </c>
      <c r="E123" s="16">
        <f>IF($H123="","",IFERROR(INDEX(EvID,MATCH(INDEX(FormData,$H123,f_Event),EvID,0)),IFERROR(INDEX(EvID,MATCH(INDEX(FormData,$H123,f_Event),EvName,0)),IFERROR(INDEX(EvID,MATCH(INT($C123),EvDate,0)),"(no event that day)"))))</f>
        <v/>
      </c>
      <c r="F123" s="16">
        <f>IF($H123="","",IFERROR(IF(SUMPRODUCT(MAX((WhoKW&lt;&gt;"")*ISNUMBER(SEARCH(WhoKW,INDEX(FormData,$H123,f_Who)&amp;""))*(ROW(WhoKW)-MIN(ROW(WhoKW))+1)))=0,"",INDEX(WhoVal,SUMPRODUCT(MAX((WhoKW&lt;&gt;"")*ISNUMBER(SEARCH(WhoKW,INDEX(FormData,$H123,f_Who)&amp;""))*(ROW(WhoKW)-MIN(ROW(WhoKW))+1))))),""))</f>
        <v/>
      </c>
      <c r="G123" s="14">
        <f>IF($H123="","",IF(COUNTIF(People!$U$5:$U$604,$B123)+COUNTIF(People!$U$5:$U$604,$B123&amp;"")&gt;0,"✓ logged","→ add"))</f>
        <v/>
      </c>
      <c r="H123">
        <f>IFERROR(IF(INDEX(FormData,120,f_Id)&amp;""="","",120),"")</f>
        <v/>
      </c>
      <c r="I123" s="16">
        <f>IF($H123="","",IFERROR(INDEX(FormData,$H123,f_Need)&amp;"",""))</f>
        <v/>
      </c>
    </row>
    <row r="124">
      <c r="A124" s="14" t="n">
        <v>120</v>
      </c>
      <c r="B124" s="14">
        <f>IF($H124="","",INDEX(FormData,$H124,f_Id))</f>
        <v/>
      </c>
      <c r="C124" s="15">
        <f>IF($H124="","",IFERROR(INDEX(FormData,$H124,f_Time),""))</f>
        <v/>
      </c>
      <c r="D124" s="14">
        <f>IF($H124="","",IFERROR(UPPER(LEFT(TRIM(INDEX(FormData,$H124,f_Name)),1)&amp;IFERROR(MID(TRIM(INDEX(FormData,$H124,f_Name)),FIND("^",SUBSTITUTE(TRIM(INDEX(FormData,$H124,f_Name))," ","^",LEN(TRIM(INDEX(FormData,$H124,f_Name)))-LEN(SUBSTITUTE(TRIM(INDEX(FormData,$H124,f_Name))," ",""))))+1,1),"")),""))</f>
        <v/>
      </c>
      <c r="E124" s="16">
        <f>IF($H124="","",IFERROR(INDEX(EvID,MATCH(INDEX(FormData,$H124,f_Event),EvID,0)),IFERROR(INDEX(EvID,MATCH(INDEX(FormData,$H124,f_Event),EvName,0)),IFERROR(INDEX(EvID,MATCH(INT($C124),EvDate,0)),"(no event that day)"))))</f>
        <v/>
      </c>
      <c r="F124" s="16">
        <f>IF($H124="","",IFERROR(IF(SUMPRODUCT(MAX((WhoKW&lt;&gt;"")*ISNUMBER(SEARCH(WhoKW,INDEX(FormData,$H124,f_Who)&amp;""))*(ROW(WhoKW)-MIN(ROW(WhoKW))+1)))=0,"",INDEX(WhoVal,SUMPRODUCT(MAX((WhoKW&lt;&gt;"")*ISNUMBER(SEARCH(WhoKW,INDEX(FormData,$H124,f_Who)&amp;""))*(ROW(WhoKW)-MIN(ROW(WhoKW))+1))))),""))</f>
        <v/>
      </c>
      <c r="G124" s="14">
        <f>IF($H124="","",IF(COUNTIF(People!$U$5:$U$604,$B124)+COUNTIF(People!$U$5:$U$604,$B124&amp;"")&gt;0,"✓ logged","→ add"))</f>
        <v/>
      </c>
      <c r="H124">
        <f>IFERROR(IF(INDEX(FormData,121,f_Id)&amp;""="","",121),"")</f>
        <v/>
      </c>
      <c r="I124" s="16">
        <f>IF($H124="","",IFERROR(INDEX(FormData,$H124,f_Need)&amp;"",""))</f>
        <v/>
      </c>
    </row>
    <row r="125">
      <c r="A125" s="14" t="n">
        <v>121</v>
      </c>
      <c r="B125" s="14">
        <f>IF($H125="","",INDEX(FormData,$H125,f_Id))</f>
        <v/>
      </c>
      <c r="C125" s="15">
        <f>IF($H125="","",IFERROR(INDEX(FormData,$H125,f_Time),""))</f>
        <v/>
      </c>
      <c r="D125" s="14">
        <f>IF($H125="","",IFERROR(UPPER(LEFT(TRIM(INDEX(FormData,$H125,f_Name)),1)&amp;IFERROR(MID(TRIM(INDEX(FormData,$H125,f_Name)),FIND("^",SUBSTITUTE(TRIM(INDEX(FormData,$H125,f_Name))," ","^",LEN(TRIM(INDEX(FormData,$H125,f_Name)))-LEN(SUBSTITUTE(TRIM(INDEX(FormData,$H125,f_Name))," ",""))))+1,1),"")),""))</f>
        <v/>
      </c>
      <c r="E125" s="16">
        <f>IF($H125="","",IFERROR(INDEX(EvID,MATCH(INDEX(FormData,$H125,f_Event),EvID,0)),IFERROR(INDEX(EvID,MATCH(INDEX(FormData,$H125,f_Event),EvName,0)),IFERROR(INDEX(EvID,MATCH(INT($C125),EvDate,0)),"(no event that day)"))))</f>
        <v/>
      </c>
      <c r="F125" s="16">
        <f>IF($H125="","",IFERROR(IF(SUMPRODUCT(MAX((WhoKW&lt;&gt;"")*ISNUMBER(SEARCH(WhoKW,INDEX(FormData,$H125,f_Who)&amp;""))*(ROW(WhoKW)-MIN(ROW(WhoKW))+1)))=0,"",INDEX(WhoVal,SUMPRODUCT(MAX((WhoKW&lt;&gt;"")*ISNUMBER(SEARCH(WhoKW,INDEX(FormData,$H125,f_Who)&amp;""))*(ROW(WhoKW)-MIN(ROW(WhoKW))+1))))),""))</f>
        <v/>
      </c>
      <c r="G125" s="14">
        <f>IF($H125="","",IF(COUNTIF(People!$U$5:$U$604,$B125)+COUNTIF(People!$U$5:$U$604,$B125&amp;"")&gt;0,"✓ logged","→ add"))</f>
        <v/>
      </c>
      <c r="H125">
        <f>IFERROR(IF(INDEX(FormData,122,f_Id)&amp;""="","",122),"")</f>
        <v/>
      </c>
      <c r="I125" s="16">
        <f>IF($H125="","",IFERROR(INDEX(FormData,$H125,f_Need)&amp;"",""))</f>
        <v/>
      </c>
    </row>
    <row r="126">
      <c r="A126" s="14" t="n">
        <v>122</v>
      </c>
      <c r="B126" s="14">
        <f>IF($H126="","",INDEX(FormData,$H126,f_Id))</f>
        <v/>
      </c>
      <c r="C126" s="15">
        <f>IF($H126="","",IFERROR(INDEX(FormData,$H126,f_Time),""))</f>
        <v/>
      </c>
      <c r="D126" s="14">
        <f>IF($H126="","",IFERROR(UPPER(LEFT(TRIM(INDEX(FormData,$H126,f_Name)),1)&amp;IFERROR(MID(TRIM(INDEX(FormData,$H126,f_Name)),FIND("^",SUBSTITUTE(TRIM(INDEX(FormData,$H126,f_Name))," ","^",LEN(TRIM(INDEX(FormData,$H126,f_Name)))-LEN(SUBSTITUTE(TRIM(INDEX(FormData,$H126,f_Name))," ",""))))+1,1),"")),""))</f>
        <v/>
      </c>
      <c r="E126" s="16">
        <f>IF($H126="","",IFERROR(INDEX(EvID,MATCH(INDEX(FormData,$H126,f_Event),EvID,0)),IFERROR(INDEX(EvID,MATCH(INDEX(FormData,$H126,f_Event),EvName,0)),IFERROR(INDEX(EvID,MATCH(INT($C126),EvDate,0)),"(no event that day)"))))</f>
        <v/>
      </c>
      <c r="F126" s="16">
        <f>IF($H126="","",IFERROR(IF(SUMPRODUCT(MAX((WhoKW&lt;&gt;"")*ISNUMBER(SEARCH(WhoKW,INDEX(FormData,$H126,f_Who)&amp;""))*(ROW(WhoKW)-MIN(ROW(WhoKW))+1)))=0,"",INDEX(WhoVal,SUMPRODUCT(MAX((WhoKW&lt;&gt;"")*ISNUMBER(SEARCH(WhoKW,INDEX(FormData,$H126,f_Who)&amp;""))*(ROW(WhoKW)-MIN(ROW(WhoKW))+1))))),""))</f>
        <v/>
      </c>
      <c r="G126" s="14">
        <f>IF($H126="","",IF(COUNTIF(People!$U$5:$U$604,$B126)+COUNTIF(People!$U$5:$U$604,$B126&amp;"")&gt;0,"✓ logged","→ add"))</f>
        <v/>
      </c>
      <c r="H126">
        <f>IFERROR(IF(INDEX(FormData,123,f_Id)&amp;""="","",123),"")</f>
        <v/>
      </c>
      <c r="I126" s="16">
        <f>IF($H126="","",IFERROR(INDEX(FormData,$H126,f_Need)&amp;"",""))</f>
        <v/>
      </c>
    </row>
    <row r="127">
      <c r="A127" s="14" t="n">
        <v>123</v>
      </c>
      <c r="B127" s="14">
        <f>IF($H127="","",INDEX(FormData,$H127,f_Id))</f>
        <v/>
      </c>
      <c r="C127" s="15">
        <f>IF($H127="","",IFERROR(INDEX(FormData,$H127,f_Time),""))</f>
        <v/>
      </c>
      <c r="D127" s="14">
        <f>IF($H127="","",IFERROR(UPPER(LEFT(TRIM(INDEX(FormData,$H127,f_Name)),1)&amp;IFERROR(MID(TRIM(INDEX(FormData,$H127,f_Name)),FIND("^",SUBSTITUTE(TRIM(INDEX(FormData,$H127,f_Name))," ","^",LEN(TRIM(INDEX(FormData,$H127,f_Name)))-LEN(SUBSTITUTE(TRIM(INDEX(FormData,$H127,f_Name))," ",""))))+1,1),"")),""))</f>
        <v/>
      </c>
      <c r="E127" s="16">
        <f>IF($H127="","",IFERROR(INDEX(EvID,MATCH(INDEX(FormData,$H127,f_Event),EvID,0)),IFERROR(INDEX(EvID,MATCH(INDEX(FormData,$H127,f_Event),EvName,0)),IFERROR(INDEX(EvID,MATCH(INT($C127),EvDate,0)),"(no event that day)"))))</f>
        <v/>
      </c>
      <c r="F127" s="16">
        <f>IF($H127="","",IFERROR(IF(SUMPRODUCT(MAX((WhoKW&lt;&gt;"")*ISNUMBER(SEARCH(WhoKW,INDEX(FormData,$H127,f_Who)&amp;""))*(ROW(WhoKW)-MIN(ROW(WhoKW))+1)))=0,"",INDEX(WhoVal,SUMPRODUCT(MAX((WhoKW&lt;&gt;"")*ISNUMBER(SEARCH(WhoKW,INDEX(FormData,$H127,f_Who)&amp;""))*(ROW(WhoKW)-MIN(ROW(WhoKW))+1))))),""))</f>
        <v/>
      </c>
      <c r="G127" s="14">
        <f>IF($H127="","",IF(COUNTIF(People!$U$5:$U$604,$B127)+COUNTIF(People!$U$5:$U$604,$B127&amp;"")&gt;0,"✓ logged","→ add"))</f>
        <v/>
      </c>
      <c r="H127">
        <f>IFERROR(IF(INDEX(FormData,124,f_Id)&amp;""="","",124),"")</f>
        <v/>
      </c>
      <c r="I127" s="16">
        <f>IF($H127="","",IFERROR(INDEX(FormData,$H127,f_Need)&amp;"",""))</f>
        <v/>
      </c>
    </row>
    <row r="128">
      <c r="A128" s="14" t="n">
        <v>124</v>
      </c>
      <c r="B128" s="14">
        <f>IF($H128="","",INDEX(FormData,$H128,f_Id))</f>
        <v/>
      </c>
      <c r="C128" s="15">
        <f>IF($H128="","",IFERROR(INDEX(FormData,$H128,f_Time),""))</f>
        <v/>
      </c>
      <c r="D128" s="14">
        <f>IF($H128="","",IFERROR(UPPER(LEFT(TRIM(INDEX(FormData,$H128,f_Name)),1)&amp;IFERROR(MID(TRIM(INDEX(FormData,$H128,f_Name)),FIND("^",SUBSTITUTE(TRIM(INDEX(FormData,$H128,f_Name))," ","^",LEN(TRIM(INDEX(FormData,$H128,f_Name)))-LEN(SUBSTITUTE(TRIM(INDEX(FormData,$H128,f_Name))," ",""))))+1,1),"")),""))</f>
        <v/>
      </c>
      <c r="E128" s="16">
        <f>IF($H128="","",IFERROR(INDEX(EvID,MATCH(INDEX(FormData,$H128,f_Event),EvID,0)),IFERROR(INDEX(EvID,MATCH(INDEX(FormData,$H128,f_Event),EvName,0)),IFERROR(INDEX(EvID,MATCH(INT($C128),EvDate,0)),"(no event that day)"))))</f>
        <v/>
      </c>
      <c r="F128" s="16">
        <f>IF($H128="","",IFERROR(IF(SUMPRODUCT(MAX((WhoKW&lt;&gt;"")*ISNUMBER(SEARCH(WhoKW,INDEX(FormData,$H128,f_Who)&amp;""))*(ROW(WhoKW)-MIN(ROW(WhoKW))+1)))=0,"",INDEX(WhoVal,SUMPRODUCT(MAX((WhoKW&lt;&gt;"")*ISNUMBER(SEARCH(WhoKW,INDEX(FormData,$H128,f_Who)&amp;""))*(ROW(WhoKW)-MIN(ROW(WhoKW))+1))))),""))</f>
        <v/>
      </c>
      <c r="G128" s="14">
        <f>IF($H128="","",IF(COUNTIF(People!$U$5:$U$604,$B128)+COUNTIF(People!$U$5:$U$604,$B128&amp;"")&gt;0,"✓ logged","→ add"))</f>
        <v/>
      </c>
      <c r="H128">
        <f>IFERROR(IF(INDEX(FormData,125,f_Id)&amp;""="","",125),"")</f>
        <v/>
      </c>
      <c r="I128" s="16">
        <f>IF($H128="","",IFERROR(INDEX(FormData,$H128,f_Need)&amp;"",""))</f>
        <v/>
      </c>
    </row>
    <row r="129">
      <c r="A129" s="14" t="n">
        <v>125</v>
      </c>
      <c r="B129" s="14">
        <f>IF($H129="","",INDEX(FormData,$H129,f_Id))</f>
        <v/>
      </c>
      <c r="C129" s="15">
        <f>IF($H129="","",IFERROR(INDEX(FormData,$H129,f_Time),""))</f>
        <v/>
      </c>
      <c r="D129" s="14">
        <f>IF($H129="","",IFERROR(UPPER(LEFT(TRIM(INDEX(FormData,$H129,f_Name)),1)&amp;IFERROR(MID(TRIM(INDEX(FormData,$H129,f_Name)),FIND("^",SUBSTITUTE(TRIM(INDEX(FormData,$H129,f_Name))," ","^",LEN(TRIM(INDEX(FormData,$H129,f_Name)))-LEN(SUBSTITUTE(TRIM(INDEX(FormData,$H129,f_Name))," ",""))))+1,1),"")),""))</f>
        <v/>
      </c>
      <c r="E129" s="16">
        <f>IF($H129="","",IFERROR(INDEX(EvID,MATCH(INDEX(FormData,$H129,f_Event),EvID,0)),IFERROR(INDEX(EvID,MATCH(INDEX(FormData,$H129,f_Event),EvName,0)),IFERROR(INDEX(EvID,MATCH(INT($C129),EvDate,0)),"(no event that day)"))))</f>
        <v/>
      </c>
      <c r="F129" s="16">
        <f>IF($H129="","",IFERROR(IF(SUMPRODUCT(MAX((WhoKW&lt;&gt;"")*ISNUMBER(SEARCH(WhoKW,INDEX(FormData,$H129,f_Who)&amp;""))*(ROW(WhoKW)-MIN(ROW(WhoKW))+1)))=0,"",INDEX(WhoVal,SUMPRODUCT(MAX((WhoKW&lt;&gt;"")*ISNUMBER(SEARCH(WhoKW,INDEX(FormData,$H129,f_Who)&amp;""))*(ROW(WhoKW)-MIN(ROW(WhoKW))+1))))),""))</f>
        <v/>
      </c>
      <c r="G129" s="14">
        <f>IF($H129="","",IF(COUNTIF(People!$U$5:$U$604,$B129)+COUNTIF(People!$U$5:$U$604,$B129&amp;"")&gt;0,"✓ logged","→ add"))</f>
        <v/>
      </c>
      <c r="H129">
        <f>IFERROR(IF(INDEX(FormData,126,f_Id)&amp;""="","",126),"")</f>
        <v/>
      </c>
      <c r="I129" s="16">
        <f>IF($H129="","",IFERROR(INDEX(FormData,$H129,f_Need)&amp;"",""))</f>
        <v/>
      </c>
    </row>
    <row r="130">
      <c r="A130" s="14" t="n">
        <v>126</v>
      </c>
      <c r="B130" s="14">
        <f>IF($H130="","",INDEX(FormData,$H130,f_Id))</f>
        <v/>
      </c>
      <c r="C130" s="15">
        <f>IF($H130="","",IFERROR(INDEX(FormData,$H130,f_Time),""))</f>
        <v/>
      </c>
      <c r="D130" s="14">
        <f>IF($H130="","",IFERROR(UPPER(LEFT(TRIM(INDEX(FormData,$H130,f_Name)),1)&amp;IFERROR(MID(TRIM(INDEX(FormData,$H130,f_Name)),FIND("^",SUBSTITUTE(TRIM(INDEX(FormData,$H130,f_Name))," ","^",LEN(TRIM(INDEX(FormData,$H130,f_Name)))-LEN(SUBSTITUTE(TRIM(INDEX(FormData,$H130,f_Name))," ",""))))+1,1),"")),""))</f>
        <v/>
      </c>
      <c r="E130" s="16">
        <f>IF($H130="","",IFERROR(INDEX(EvID,MATCH(INDEX(FormData,$H130,f_Event),EvID,0)),IFERROR(INDEX(EvID,MATCH(INDEX(FormData,$H130,f_Event),EvName,0)),IFERROR(INDEX(EvID,MATCH(INT($C130),EvDate,0)),"(no event that day)"))))</f>
        <v/>
      </c>
      <c r="F130" s="16">
        <f>IF($H130="","",IFERROR(IF(SUMPRODUCT(MAX((WhoKW&lt;&gt;"")*ISNUMBER(SEARCH(WhoKW,INDEX(FormData,$H130,f_Who)&amp;""))*(ROW(WhoKW)-MIN(ROW(WhoKW))+1)))=0,"",INDEX(WhoVal,SUMPRODUCT(MAX((WhoKW&lt;&gt;"")*ISNUMBER(SEARCH(WhoKW,INDEX(FormData,$H130,f_Who)&amp;""))*(ROW(WhoKW)-MIN(ROW(WhoKW))+1))))),""))</f>
        <v/>
      </c>
      <c r="G130" s="14">
        <f>IF($H130="","",IF(COUNTIF(People!$U$5:$U$604,$B130)+COUNTIF(People!$U$5:$U$604,$B130&amp;"")&gt;0,"✓ logged","→ add"))</f>
        <v/>
      </c>
      <c r="H130">
        <f>IFERROR(IF(INDEX(FormData,127,f_Id)&amp;""="","",127),"")</f>
        <v/>
      </c>
      <c r="I130" s="16">
        <f>IF($H130="","",IFERROR(INDEX(FormData,$H130,f_Need)&amp;"",""))</f>
        <v/>
      </c>
    </row>
    <row r="131">
      <c r="A131" s="14" t="n">
        <v>127</v>
      </c>
      <c r="B131" s="14">
        <f>IF($H131="","",INDEX(FormData,$H131,f_Id))</f>
        <v/>
      </c>
      <c r="C131" s="15">
        <f>IF($H131="","",IFERROR(INDEX(FormData,$H131,f_Time),""))</f>
        <v/>
      </c>
      <c r="D131" s="14">
        <f>IF($H131="","",IFERROR(UPPER(LEFT(TRIM(INDEX(FormData,$H131,f_Name)),1)&amp;IFERROR(MID(TRIM(INDEX(FormData,$H131,f_Name)),FIND("^",SUBSTITUTE(TRIM(INDEX(FormData,$H131,f_Name))," ","^",LEN(TRIM(INDEX(FormData,$H131,f_Name)))-LEN(SUBSTITUTE(TRIM(INDEX(FormData,$H131,f_Name))," ",""))))+1,1),"")),""))</f>
        <v/>
      </c>
      <c r="E131" s="16">
        <f>IF($H131="","",IFERROR(INDEX(EvID,MATCH(INDEX(FormData,$H131,f_Event),EvID,0)),IFERROR(INDEX(EvID,MATCH(INDEX(FormData,$H131,f_Event),EvName,0)),IFERROR(INDEX(EvID,MATCH(INT($C131),EvDate,0)),"(no event that day)"))))</f>
        <v/>
      </c>
      <c r="F131" s="16">
        <f>IF($H131="","",IFERROR(IF(SUMPRODUCT(MAX((WhoKW&lt;&gt;"")*ISNUMBER(SEARCH(WhoKW,INDEX(FormData,$H131,f_Who)&amp;""))*(ROW(WhoKW)-MIN(ROW(WhoKW))+1)))=0,"",INDEX(WhoVal,SUMPRODUCT(MAX((WhoKW&lt;&gt;"")*ISNUMBER(SEARCH(WhoKW,INDEX(FormData,$H131,f_Who)&amp;""))*(ROW(WhoKW)-MIN(ROW(WhoKW))+1))))),""))</f>
        <v/>
      </c>
      <c r="G131" s="14">
        <f>IF($H131="","",IF(COUNTIF(People!$U$5:$U$604,$B131)+COUNTIF(People!$U$5:$U$604,$B131&amp;"")&gt;0,"✓ logged","→ add"))</f>
        <v/>
      </c>
      <c r="H131">
        <f>IFERROR(IF(INDEX(FormData,128,f_Id)&amp;""="","",128),"")</f>
        <v/>
      </c>
      <c r="I131" s="16">
        <f>IF($H131="","",IFERROR(INDEX(FormData,$H131,f_Need)&amp;"",""))</f>
        <v/>
      </c>
    </row>
    <row r="132">
      <c r="A132" s="14" t="n">
        <v>128</v>
      </c>
      <c r="B132" s="14">
        <f>IF($H132="","",INDEX(FormData,$H132,f_Id))</f>
        <v/>
      </c>
      <c r="C132" s="15">
        <f>IF($H132="","",IFERROR(INDEX(FormData,$H132,f_Time),""))</f>
        <v/>
      </c>
      <c r="D132" s="14">
        <f>IF($H132="","",IFERROR(UPPER(LEFT(TRIM(INDEX(FormData,$H132,f_Name)),1)&amp;IFERROR(MID(TRIM(INDEX(FormData,$H132,f_Name)),FIND("^",SUBSTITUTE(TRIM(INDEX(FormData,$H132,f_Name))," ","^",LEN(TRIM(INDEX(FormData,$H132,f_Name)))-LEN(SUBSTITUTE(TRIM(INDEX(FormData,$H132,f_Name))," ",""))))+1,1),"")),""))</f>
        <v/>
      </c>
      <c r="E132" s="16">
        <f>IF($H132="","",IFERROR(INDEX(EvID,MATCH(INDEX(FormData,$H132,f_Event),EvID,0)),IFERROR(INDEX(EvID,MATCH(INDEX(FormData,$H132,f_Event),EvName,0)),IFERROR(INDEX(EvID,MATCH(INT($C132),EvDate,0)),"(no event that day)"))))</f>
        <v/>
      </c>
      <c r="F132" s="16">
        <f>IF($H132="","",IFERROR(IF(SUMPRODUCT(MAX((WhoKW&lt;&gt;"")*ISNUMBER(SEARCH(WhoKW,INDEX(FormData,$H132,f_Who)&amp;""))*(ROW(WhoKW)-MIN(ROW(WhoKW))+1)))=0,"",INDEX(WhoVal,SUMPRODUCT(MAX((WhoKW&lt;&gt;"")*ISNUMBER(SEARCH(WhoKW,INDEX(FormData,$H132,f_Who)&amp;""))*(ROW(WhoKW)-MIN(ROW(WhoKW))+1))))),""))</f>
        <v/>
      </c>
      <c r="G132" s="14">
        <f>IF($H132="","",IF(COUNTIF(People!$U$5:$U$604,$B132)+COUNTIF(People!$U$5:$U$604,$B132&amp;"")&gt;0,"✓ logged","→ add"))</f>
        <v/>
      </c>
      <c r="H132">
        <f>IFERROR(IF(INDEX(FormData,129,f_Id)&amp;""="","",129),"")</f>
        <v/>
      </c>
      <c r="I132" s="16">
        <f>IF($H132="","",IFERROR(INDEX(FormData,$H132,f_Need)&amp;"",""))</f>
        <v/>
      </c>
    </row>
    <row r="133">
      <c r="A133" s="14" t="n">
        <v>129</v>
      </c>
      <c r="B133" s="14">
        <f>IF($H133="","",INDEX(FormData,$H133,f_Id))</f>
        <v/>
      </c>
      <c r="C133" s="15">
        <f>IF($H133="","",IFERROR(INDEX(FormData,$H133,f_Time),""))</f>
        <v/>
      </c>
      <c r="D133" s="14">
        <f>IF($H133="","",IFERROR(UPPER(LEFT(TRIM(INDEX(FormData,$H133,f_Name)),1)&amp;IFERROR(MID(TRIM(INDEX(FormData,$H133,f_Name)),FIND("^",SUBSTITUTE(TRIM(INDEX(FormData,$H133,f_Name))," ","^",LEN(TRIM(INDEX(FormData,$H133,f_Name)))-LEN(SUBSTITUTE(TRIM(INDEX(FormData,$H133,f_Name))," ",""))))+1,1),"")),""))</f>
        <v/>
      </c>
      <c r="E133" s="16">
        <f>IF($H133="","",IFERROR(INDEX(EvID,MATCH(INDEX(FormData,$H133,f_Event),EvID,0)),IFERROR(INDEX(EvID,MATCH(INDEX(FormData,$H133,f_Event),EvName,0)),IFERROR(INDEX(EvID,MATCH(INT($C133),EvDate,0)),"(no event that day)"))))</f>
        <v/>
      </c>
      <c r="F133" s="16">
        <f>IF($H133="","",IFERROR(IF(SUMPRODUCT(MAX((WhoKW&lt;&gt;"")*ISNUMBER(SEARCH(WhoKW,INDEX(FormData,$H133,f_Who)&amp;""))*(ROW(WhoKW)-MIN(ROW(WhoKW))+1)))=0,"",INDEX(WhoVal,SUMPRODUCT(MAX((WhoKW&lt;&gt;"")*ISNUMBER(SEARCH(WhoKW,INDEX(FormData,$H133,f_Who)&amp;""))*(ROW(WhoKW)-MIN(ROW(WhoKW))+1))))),""))</f>
        <v/>
      </c>
      <c r="G133" s="14">
        <f>IF($H133="","",IF(COUNTIF(People!$U$5:$U$604,$B133)+COUNTIF(People!$U$5:$U$604,$B133&amp;"")&gt;0,"✓ logged","→ add"))</f>
        <v/>
      </c>
      <c r="H133">
        <f>IFERROR(IF(INDEX(FormData,130,f_Id)&amp;""="","",130),"")</f>
        <v/>
      </c>
      <c r="I133" s="16">
        <f>IF($H133="","",IFERROR(INDEX(FormData,$H133,f_Need)&amp;"",""))</f>
        <v/>
      </c>
    </row>
    <row r="134">
      <c r="A134" s="14" t="n">
        <v>130</v>
      </c>
      <c r="B134" s="14">
        <f>IF($H134="","",INDEX(FormData,$H134,f_Id))</f>
        <v/>
      </c>
      <c r="C134" s="15">
        <f>IF($H134="","",IFERROR(INDEX(FormData,$H134,f_Time),""))</f>
        <v/>
      </c>
      <c r="D134" s="14">
        <f>IF($H134="","",IFERROR(UPPER(LEFT(TRIM(INDEX(FormData,$H134,f_Name)),1)&amp;IFERROR(MID(TRIM(INDEX(FormData,$H134,f_Name)),FIND("^",SUBSTITUTE(TRIM(INDEX(FormData,$H134,f_Name))," ","^",LEN(TRIM(INDEX(FormData,$H134,f_Name)))-LEN(SUBSTITUTE(TRIM(INDEX(FormData,$H134,f_Name))," ",""))))+1,1),"")),""))</f>
        <v/>
      </c>
      <c r="E134" s="16">
        <f>IF($H134="","",IFERROR(INDEX(EvID,MATCH(INDEX(FormData,$H134,f_Event),EvID,0)),IFERROR(INDEX(EvID,MATCH(INDEX(FormData,$H134,f_Event),EvName,0)),IFERROR(INDEX(EvID,MATCH(INT($C134),EvDate,0)),"(no event that day)"))))</f>
        <v/>
      </c>
      <c r="F134" s="16">
        <f>IF($H134="","",IFERROR(IF(SUMPRODUCT(MAX((WhoKW&lt;&gt;"")*ISNUMBER(SEARCH(WhoKW,INDEX(FormData,$H134,f_Who)&amp;""))*(ROW(WhoKW)-MIN(ROW(WhoKW))+1)))=0,"",INDEX(WhoVal,SUMPRODUCT(MAX((WhoKW&lt;&gt;"")*ISNUMBER(SEARCH(WhoKW,INDEX(FormData,$H134,f_Who)&amp;""))*(ROW(WhoKW)-MIN(ROW(WhoKW))+1))))),""))</f>
        <v/>
      </c>
      <c r="G134" s="14">
        <f>IF($H134="","",IF(COUNTIF(People!$U$5:$U$604,$B134)+COUNTIF(People!$U$5:$U$604,$B134&amp;"")&gt;0,"✓ logged","→ add"))</f>
        <v/>
      </c>
      <c r="H134">
        <f>IFERROR(IF(INDEX(FormData,131,f_Id)&amp;""="","",131),"")</f>
        <v/>
      </c>
      <c r="I134" s="16">
        <f>IF($H134="","",IFERROR(INDEX(FormData,$H134,f_Need)&amp;"",""))</f>
        <v/>
      </c>
    </row>
    <row r="135">
      <c r="A135" s="14" t="n">
        <v>131</v>
      </c>
      <c r="B135" s="14">
        <f>IF($H135="","",INDEX(FormData,$H135,f_Id))</f>
        <v/>
      </c>
      <c r="C135" s="15">
        <f>IF($H135="","",IFERROR(INDEX(FormData,$H135,f_Time),""))</f>
        <v/>
      </c>
      <c r="D135" s="14">
        <f>IF($H135="","",IFERROR(UPPER(LEFT(TRIM(INDEX(FormData,$H135,f_Name)),1)&amp;IFERROR(MID(TRIM(INDEX(FormData,$H135,f_Name)),FIND("^",SUBSTITUTE(TRIM(INDEX(FormData,$H135,f_Name))," ","^",LEN(TRIM(INDEX(FormData,$H135,f_Name)))-LEN(SUBSTITUTE(TRIM(INDEX(FormData,$H135,f_Name))," ",""))))+1,1),"")),""))</f>
        <v/>
      </c>
      <c r="E135" s="16">
        <f>IF($H135="","",IFERROR(INDEX(EvID,MATCH(INDEX(FormData,$H135,f_Event),EvID,0)),IFERROR(INDEX(EvID,MATCH(INDEX(FormData,$H135,f_Event),EvName,0)),IFERROR(INDEX(EvID,MATCH(INT($C135),EvDate,0)),"(no event that day)"))))</f>
        <v/>
      </c>
      <c r="F135" s="16">
        <f>IF($H135="","",IFERROR(IF(SUMPRODUCT(MAX((WhoKW&lt;&gt;"")*ISNUMBER(SEARCH(WhoKW,INDEX(FormData,$H135,f_Who)&amp;""))*(ROW(WhoKW)-MIN(ROW(WhoKW))+1)))=0,"",INDEX(WhoVal,SUMPRODUCT(MAX((WhoKW&lt;&gt;"")*ISNUMBER(SEARCH(WhoKW,INDEX(FormData,$H135,f_Who)&amp;""))*(ROW(WhoKW)-MIN(ROW(WhoKW))+1))))),""))</f>
        <v/>
      </c>
      <c r="G135" s="14">
        <f>IF($H135="","",IF(COUNTIF(People!$U$5:$U$604,$B135)+COUNTIF(People!$U$5:$U$604,$B135&amp;"")&gt;0,"✓ logged","→ add"))</f>
        <v/>
      </c>
      <c r="H135">
        <f>IFERROR(IF(INDEX(FormData,132,f_Id)&amp;""="","",132),"")</f>
        <v/>
      </c>
      <c r="I135" s="16">
        <f>IF($H135="","",IFERROR(INDEX(FormData,$H135,f_Need)&amp;"",""))</f>
        <v/>
      </c>
    </row>
    <row r="136">
      <c r="A136" s="14" t="n">
        <v>132</v>
      </c>
      <c r="B136" s="14">
        <f>IF($H136="","",INDEX(FormData,$H136,f_Id))</f>
        <v/>
      </c>
      <c r="C136" s="15">
        <f>IF($H136="","",IFERROR(INDEX(FormData,$H136,f_Time),""))</f>
        <v/>
      </c>
      <c r="D136" s="14">
        <f>IF($H136="","",IFERROR(UPPER(LEFT(TRIM(INDEX(FormData,$H136,f_Name)),1)&amp;IFERROR(MID(TRIM(INDEX(FormData,$H136,f_Name)),FIND("^",SUBSTITUTE(TRIM(INDEX(FormData,$H136,f_Name))," ","^",LEN(TRIM(INDEX(FormData,$H136,f_Name)))-LEN(SUBSTITUTE(TRIM(INDEX(FormData,$H136,f_Name))," ",""))))+1,1),"")),""))</f>
        <v/>
      </c>
      <c r="E136" s="16">
        <f>IF($H136="","",IFERROR(INDEX(EvID,MATCH(INDEX(FormData,$H136,f_Event),EvID,0)),IFERROR(INDEX(EvID,MATCH(INDEX(FormData,$H136,f_Event),EvName,0)),IFERROR(INDEX(EvID,MATCH(INT($C136),EvDate,0)),"(no event that day)"))))</f>
        <v/>
      </c>
      <c r="F136" s="16">
        <f>IF($H136="","",IFERROR(IF(SUMPRODUCT(MAX((WhoKW&lt;&gt;"")*ISNUMBER(SEARCH(WhoKW,INDEX(FormData,$H136,f_Who)&amp;""))*(ROW(WhoKW)-MIN(ROW(WhoKW))+1)))=0,"",INDEX(WhoVal,SUMPRODUCT(MAX((WhoKW&lt;&gt;"")*ISNUMBER(SEARCH(WhoKW,INDEX(FormData,$H136,f_Who)&amp;""))*(ROW(WhoKW)-MIN(ROW(WhoKW))+1))))),""))</f>
        <v/>
      </c>
      <c r="G136" s="14">
        <f>IF($H136="","",IF(COUNTIF(People!$U$5:$U$604,$B136)+COUNTIF(People!$U$5:$U$604,$B136&amp;"")&gt;0,"✓ logged","→ add"))</f>
        <v/>
      </c>
      <c r="H136">
        <f>IFERROR(IF(INDEX(FormData,133,f_Id)&amp;""="","",133),"")</f>
        <v/>
      </c>
      <c r="I136" s="16">
        <f>IF($H136="","",IFERROR(INDEX(FormData,$H136,f_Need)&amp;"",""))</f>
        <v/>
      </c>
    </row>
    <row r="137">
      <c r="A137" s="14" t="n">
        <v>133</v>
      </c>
      <c r="B137" s="14">
        <f>IF($H137="","",INDEX(FormData,$H137,f_Id))</f>
        <v/>
      </c>
      <c r="C137" s="15">
        <f>IF($H137="","",IFERROR(INDEX(FormData,$H137,f_Time),""))</f>
        <v/>
      </c>
      <c r="D137" s="14">
        <f>IF($H137="","",IFERROR(UPPER(LEFT(TRIM(INDEX(FormData,$H137,f_Name)),1)&amp;IFERROR(MID(TRIM(INDEX(FormData,$H137,f_Name)),FIND("^",SUBSTITUTE(TRIM(INDEX(FormData,$H137,f_Name))," ","^",LEN(TRIM(INDEX(FormData,$H137,f_Name)))-LEN(SUBSTITUTE(TRIM(INDEX(FormData,$H137,f_Name))," ",""))))+1,1),"")),""))</f>
        <v/>
      </c>
      <c r="E137" s="16">
        <f>IF($H137="","",IFERROR(INDEX(EvID,MATCH(INDEX(FormData,$H137,f_Event),EvID,0)),IFERROR(INDEX(EvID,MATCH(INDEX(FormData,$H137,f_Event),EvName,0)),IFERROR(INDEX(EvID,MATCH(INT($C137),EvDate,0)),"(no event that day)"))))</f>
        <v/>
      </c>
      <c r="F137" s="16">
        <f>IF($H137="","",IFERROR(IF(SUMPRODUCT(MAX((WhoKW&lt;&gt;"")*ISNUMBER(SEARCH(WhoKW,INDEX(FormData,$H137,f_Who)&amp;""))*(ROW(WhoKW)-MIN(ROW(WhoKW))+1)))=0,"",INDEX(WhoVal,SUMPRODUCT(MAX((WhoKW&lt;&gt;"")*ISNUMBER(SEARCH(WhoKW,INDEX(FormData,$H137,f_Who)&amp;""))*(ROW(WhoKW)-MIN(ROW(WhoKW))+1))))),""))</f>
        <v/>
      </c>
      <c r="G137" s="14">
        <f>IF($H137="","",IF(COUNTIF(People!$U$5:$U$604,$B137)+COUNTIF(People!$U$5:$U$604,$B137&amp;"")&gt;0,"✓ logged","→ add"))</f>
        <v/>
      </c>
      <c r="H137">
        <f>IFERROR(IF(INDEX(FormData,134,f_Id)&amp;""="","",134),"")</f>
        <v/>
      </c>
      <c r="I137" s="16">
        <f>IF($H137="","",IFERROR(INDEX(FormData,$H137,f_Need)&amp;"",""))</f>
        <v/>
      </c>
    </row>
    <row r="138">
      <c r="A138" s="14" t="n">
        <v>134</v>
      </c>
      <c r="B138" s="14">
        <f>IF($H138="","",INDEX(FormData,$H138,f_Id))</f>
        <v/>
      </c>
      <c r="C138" s="15">
        <f>IF($H138="","",IFERROR(INDEX(FormData,$H138,f_Time),""))</f>
        <v/>
      </c>
      <c r="D138" s="14">
        <f>IF($H138="","",IFERROR(UPPER(LEFT(TRIM(INDEX(FormData,$H138,f_Name)),1)&amp;IFERROR(MID(TRIM(INDEX(FormData,$H138,f_Name)),FIND("^",SUBSTITUTE(TRIM(INDEX(FormData,$H138,f_Name))," ","^",LEN(TRIM(INDEX(FormData,$H138,f_Name)))-LEN(SUBSTITUTE(TRIM(INDEX(FormData,$H138,f_Name))," ",""))))+1,1),"")),""))</f>
        <v/>
      </c>
      <c r="E138" s="16">
        <f>IF($H138="","",IFERROR(INDEX(EvID,MATCH(INDEX(FormData,$H138,f_Event),EvID,0)),IFERROR(INDEX(EvID,MATCH(INDEX(FormData,$H138,f_Event),EvName,0)),IFERROR(INDEX(EvID,MATCH(INT($C138),EvDate,0)),"(no event that day)"))))</f>
        <v/>
      </c>
      <c r="F138" s="16">
        <f>IF($H138="","",IFERROR(IF(SUMPRODUCT(MAX((WhoKW&lt;&gt;"")*ISNUMBER(SEARCH(WhoKW,INDEX(FormData,$H138,f_Who)&amp;""))*(ROW(WhoKW)-MIN(ROW(WhoKW))+1)))=0,"",INDEX(WhoVal,SUMPRODUCT(MAX((WhoKW&lt;&gt;"")*ISNUMBER(SEARCH(WhoKW,INDEX(FormData,$H138,f_Who)&amp;""))*(ROW(WhoKW)-MIN(ROW(WhoKW))+1))))),""))</f>
        <v/>
      </c>
      <c r="G138" s="14">
        <f>IF($H138="","",IF(COUNTIF(People!$U$5:$U$604,$B138)+COUNTIF(People!$U$5:$U$604,$B138&amp;"")&gt;0,"✓ logged","→ add"))</f>
        <v/>
      </c>
      <c r="H138">
        <f>IFERROR(IF(INDEX(FormData,135,f_Id)&amp;""="","",135),"")</f>
        <v/>
      </c>
      <c r="I138" s="16">
        <f>IF($H138="","",IFERROR(INDEX(FormData,$H138,f_Need)&amp;"",""))</f>
        <v/>
      </c>
    </row>
    <row r="139">
      <c r="A139" s="14" t="n">
        <v>135</v>
      </c>
      <c r="B139" s="14">
        <f>IF($H139="","",INDEX(FormData,$H139,f_Id))</f>
        <v/>
      </c>
      <c r="C139" s="15">
        <f>IF($H139="","",IFERROR(INDEX(FormData,$H139,f_Time),""))</f>
        <v/>
      </c>
      <c r="D139" s="14">
        <f>IF($H139="","",IFERROR(UPPER(LEFT(TRIM(INDEX(FormData,$H139,f_Name)),1)&amp;IFERROR(MID(TRIM(INDEX(FormData,$H139,f_Name)),FIND("^",SUBSTITUTE(TRIM(INDEX(FormData,$H139,f_Name))," ","^",LEN(TRIM(INDEX(FormData,$H139,f_Name)))-LEN(SUBSTITUTE(TRIM(INDEX(FormData,$H139,f_Name))," ",""))))+1,1),"")),""))</f>
        <v/>
      </c>
      <c r="E139" s="16">
        <f>IF($H139="","",IFERROR(INDEX(EvID,MATCH(INDEX(FormData,$H139,f_Event),EvID,0)),IFERROR(INDEX(EvID,MATCH(INDEX(FormData,$H139,f_Event),EvName,0)),IFERROR(INDEX(EvID,MATCH(INT($C139),EvDate,0)),"(no event that day)"))))</f>
        <v/>
      </c>
      <c r="F139" s="16">
        <f>IF($H139="","",IFERROR(IF(SUMPRODUCT(MAX((WhoKW&lt;&gt;"")*ISNUMBER(SEARCH(WhoKW,INDEX(FormData,$H139,f_Who)&amp;""))*(ROW(WhoKW)-MIN(ROW(WhoKW))+1)))=0,"",INDEX(WhoVal,SUMPRODUCT(MAX((WhoKW&lt;&gt;"")*ISNUMBER(SEARCH(WhoKW,INDEX(FormData,$H139,f_Who)&amp;""))*(ROW(WhoKW)-MIN(ROW(WhoKW))+1))))),""))</f>
        <v/>
      </c>
      <c r="G139" s="14">
        <f>IF($H139="","",IF(COUNTIF(People!$U$5:$U$604,$B139)+COUNTIF(People!$U$5:$U$604,$B139&amp;"")&gt;0,"✓ logged","→ add"))</f>
        <v/>
      </c>
      <c r="H139">
        <f>IFERROR(IF(INDEX(FormData,136,f_Id)&amp;""="","",136),"")</f>
        <v/>
      </c>
      <c r="I139" s="16">
        <f>IF($H139="","",IFERROR(INDEX(FormData,$H139,f_Need)&amp;"",""))</f>
        <v/>
      </c>
    </row>
    <row r="140">
      <c r="A140" s="14" t="n">
        <v>136</v>
      </c>
      <c r="B140" s="14">
        <f>IF($H140="","",INDEX(FormData,$H140,f_Id))</f>
        <v/>
      </c>
      <c r="C140" s="15">
        <f>IF($H140="","",IFERROR(INDEX(FormData,$H140,f_Time),""))</f>
        <v/>
      </c>
      <c r="D140" s="14">
        <f>IF($H140="","",IFERROR(UPPER(LEFT(TRIM(INDEX(FormData,$H140,f_Name)),1)&amp;IFERROR(MID(TRIM(INDEX(FormData,$H140,f_Name)),FIND("^",SUBSTITUTE(TRIM(INDEX(FormData,$H140,f_Name))," ","^",LEN(TRIM(INDEX(FormData,$H140,f_Name)))-LEN(SUBSTITUTE(TRIM(INDEX(FormData,$H140,f_Name))," ",""))))+1,1),"")),""))</f>
        <v/>
      </c>
      <c r="E140" s="16">
        <f>IF($H140="","",IFERROR(INDEX(EvID,MATCH(INDEX(FormData,$H140,f_Event),EvID,0)),IFERROR(INDEX(EvID,MATCH(INDEX(FormData,$H140,f_Event),EvName,0)),IFERROR(INDEX(EvID,MATCH(INT($C140),EvDate,0)),"(no event that day)"))))</f>
        <v/>
      </c>
      <c r="F140" s="16">
        <f>IF($H140="","",IFERROR(IF(SUMPRODUCT(MAX((WhoKW&lt;&gt;"")*ISNUMBER(SEARCH(WhoKW,INDEX(FormData,$H140,f_Who)&amp;""))*(ROW(WhoKW)-MIN(ROW(WhoKW))+1)))=0,"",INDEX(WhoVal,SUMPRODUCT(MAX((WhoKW&lt;&gt;"")*ISNUMBER(SEARCH(WhoKW,INDEX(FormData,$H140,f_Who)&amp;""))*(ROW(WhoKW)-MIN(ROW(WhoKW))+1))))),""))</f>
        <v/>
      </c>
      <c r="G140" s="14">
        <f>IF($H140="","",IF(COUNTIF(People!$U$5:$U$604,$B140)+COUNTIF(People!$U$5:$U$604,$B140&amp;"")&gt;0,"✓ logged","→ add"))</f>
        <v/>
      </c>
      <c r="H140">
        <f>IFERROR(IF(INDEX(FormData,137,f_Id)&amp;""="","",137),"")</f>
        <v/>
      </c>
      <c r="I140" s="16">
        <f>IF($H140="","",IFERROR(INDEX(FormData,$H140,f_Need)&amp;"",""))</f>
        <v/>
      </c>
    </row>
    <row r="141">
      <c r="A141" s="14" t="n">
        <v>137</v>
      </c>
      <c r="B141" s="14">
        <f>IF($H141="","",INDEX(FormData,$H141,f_Id))</f>
        <v/>
      </c>
      <c r="C141" s="15">
        <f>IF($H141="","",IFERROR(INDEX(FormData,$H141,f_Time),""))</f>
        <v/>
      </c>
      <c r="D141" s="14">
        <f>IF($H141="","",IFERROR(UPPER(LEFT(TRIM(INDEX(FormData,$H141,f_Name)),1)&amp;IFERROR(MID(TRIM(INDEX(FormData,$H141,f_Name)),FIND("^",SUBSTITUTE(TRIM(INDEX(FormData,$H141,f_Name))," ","^",LEN(TRIM(INDEX(FormData,$H141,f_Name)))-LEN(SUBSTITUTE(TRIM(INDEX(FormData,$H141,f_Name))," ",""))))+1,1),"")),""))</f>
        <v/>
      </c>
      <c r="E141" s="16">
        <f>IF($H141="","",IFERROR(INDEX(EvID,MATCH(INDEX(FormData,$H141,f_Event),EvID,0)),IFERROR(INDEX(EvID,MATCH(INDEX(FormData,$H141,f_Event),EvName,0)),IFERROR(INDEX(EvID,MATCH(INT($C141),EvDate,0)),"(no event that day)"))))</f>
        <v/>
      </c>
      <c r="F141" s="16">
        <f>IF($H141="","",IFERROR(IF(SUMPRODUCT(MAX((WhoKW&lt;&gt;"")*ISNUMBER(SEARCH(WhoKW,INDEX(FormData,$H141,f_Who)&amp;""))*(ROW(WhoKW)-MIN(ROW(WhoKW))+1)))=0,"",INDEX(WhoVal,SUMPRODUCT(MAX((WhoKW&lt;&gt;"")*ISNUMBER(SEARCH(WhoKW,INDEX(FormData,$H141,f_Who)&amp;""))*(ROW(WhoKW)-MIN(ROW(WhoKW))+1))))),""))</f>
        <v/>
      </c>
      <c r="G141" s="14">
        <f>IF($H141="","",IF(COUNTIF(People!$U$5:$U$604,$B141)+COUNTIF(People!$U$5:$U$604,$B141&amp;"")&gt;0,"✓ logged","→ add"))</f>
        <v/>
      </c>
      <c r="H141">
        <f>IFERROR(IF(INDEX(FormData,138,f_Id)&amp;""="","",138),"")</f>
        <v/>
      </c>
      <c r="I141" s="16">
        <f>IF($H141="","",IFERROR(INDEX(FormData,$H141,f_Need)&amp;"",""))</f>
        <v/>
      </c>
    </row>
    <row r="142">
      <c r="A142" s="14" t="n">
        <v>138</v>
      </c>
      <c r="B142" s="14">
        <f>IF($H142="","",INDEX(FormData,$H142,f_Id))</f>
        <v/>
      </c>
      <c r="C142" s="15">
        <f>IF($H142="","",IFERROR(INDEX(FormData,$H142,f_Time),""))</f>
        <v/>
      </c>
      <c r="D142" s="14">
        <f>IF($H142="","",IFERROR(UPPER(LEFT(TRIM(INDEX(FormData,$H142,f_Name)),1)&amp;IFERROR(MID(TRIM(INDEX(FormData,$H142,f_Name)),FIND("^",SUBSTITUTE(TRIM(INDEX(FormData,$H142,f_Name))," ","^",LEN(TRIM(INDEX(FormData,$H142,f_Name)))-LEN(SUBSTITUTE(TRIM(INDEX(FormData,$H142,f_Name))," ",""))))+1,1),"")),""))</f>
        <v/>
      </c>
      <c r="E142" s="16">
        <f>IF($H142="","",IFERROR(INDEX(EvID,MATCH(INDEX(FormData,$H142,f_Event),EvID,0)),IFERROR(INDEX(EvID,MATCH(INDEX(FormData,$H142,f_Event),EvName,0)),IFERROR(INDEX(EvID,MATCH(INT($C142),EvDate,0)),"(no event that day)"))))</f>
        <v/>
      </c>
      <c r="F142" s="16">
        <f>IF($H142="","",IFERROR(IF(SUMPRODUCT(MAX((WhoKW&lt;&gt;"")*ISNUMBER(SEARCH(WhoKW,INDEX(FormData,$H142,f_Who)&amp;""))*(ROW(WhoKW)-MIN(ROW(WhoKW))+1)))=0,"",INDEX(WhoVal,SUMPRODUCT(MAX((WhoKW&lt;&gt;"")*ISNUMBER(SEARCH(WhoKW,INDEX(FormData,$H142,f_Who)&amp;""))*(ROW(WhoKW)-MIN(ROW(WhoKW))+1))))),""))</f>
        <v/>
      </c>
      <c r="G142" s="14">
        <f>IF($H142="","",IF(COUNTIF(People!$U$5:$U$604,$B142)+COUNTIF(People!$U$5:$U$604,$B142&amp;"")&gt;0,"✓ logged","→ add"))</f>
        <v/>
      </c>
      <c r="H142">
        <f>IFERROR(IF(INDEX(FormData,139,f_Id)&amp;""="","",139),"")</f>
        <v/>
      </c>
      <c r="I142" s="16">
        <f>IF($H142="","",IFERROR(INDEX(FormData,$H142,f_Need)&amp;"",""))</f>
        <v/>
      </c>
    </row>
    <row r="143">
      <c r="A143" s="14" t="n">
        <v>139</v>
      </c>
      <c r="B143" s="14">
        <f>IF($H143="","",INDEX(FormData,$H143,f_Id))</f>
        <v/>
      </c>
      <c r="C143" s="15">
        <f>IF($H143="","",IFERROR(INDEX(FormData,$H143,f_Time),""))</f>
        <v/>
      </c>
      <c r="D143" s="14">
        <f>IF($H143="","",IFERROR(UPPER(LEFT(TRIM(INDEX(FormData,$H143,f_Name)),1)&amp;IFERROR(MID(TRIM(INDEX(FormData,$H143,f_Name)),FIND("^",SUBSTITUTE(TRIM(INDEX(FormData,$H143,f_Name))," ","^",LEN(TRIM(INDEX(FormData,$H143,f_Name)))-LEN(SUBSTITUTE(TRIM(INDEX(FormData,$H143,f_Name))," ",""))))+1,1),"")),""))</f>
        <v/>
      </c>
      <c r="E143" s="16">
        <f>IF($H143="","",IFERROR(INDEX(EvID,MATCH(INDEX(FormData,$H143,f_Event),EvID,0)),IFERROR(INDEX(EvID,MATCH(INDEX(FormData,$H143,f_Event),EvName,0)),IFERROR(INDEX(EvID,MATCH(INT($C143),EvDate,0)),"(no event that day)"))))</f>
        <v/>
      </c>
      <c r="F143" s="16">
        <f>IF($H143="","",IFERROR(IF(SUMPRODUCT(MAX((WhoKW&lt;&gt;"")*ISNUMBER(SEARCH(WhoKW,INDEX(FormData,$H143,f_Who)&amp;""))*(ROW(WhoKW)-MIN(ROW(WhoKW))+1)))=0,"",INDEX(WhoVal,SUMPRODUCT(MAX((WhoKW&lt;&gt;"")*ISNUMBER(SEARCH(WhoKW,INDEX(FormData,$H143,f_Who)&amp;""))*(ROW(WhoKW)-MIN(ROW(WhoKW))+1))))),""))</f>
        <v/>
      </c>
      <c r="G143" s="14">
        <f>IF($H143="","",IF(COUNTIF(People!$U$5:$U$604,$B143)+COUNTIF(People!$U$5:$U$604,$B143&amp;"")&gt;0,"✓ logged","→ add"))</f>
        <v/>
      </c>
      <c r="H143">
        <f>IFERROR(IF(INDEX(FormData,140,f_Id)&amp;""="","",140),"")</f>
        <v/>
      </c>
      <c r="I143" s="16">
        <f>IF($H143="","",IFERROR(INDEX(FormData,$H143,f_Need)&amp;"",""))</f>
        <v/>
      </c>
    </row>
    <row r="144">
      <c r="A144" s="14" t="n">
        <v>140</v>
      </c>
      <c r="B144" s="14">
        <f>IF($H144="","",INDEX(FormData,$H144,f_Id))</f>
        <v/>
      </c>
      <c r="C144" s="15">
        <f>IF($H144="","",IFERROR(INDEX(FormData,$H144,f_Time),""))</f>
        <v/>
      </c>
      <c r="D144" s="14">
        <f>IF($H144="","",IFERROR(UPPER(LEFT(TRIM(INDEX(FormData,$H144,f_Name)),1)&amp;IFERROR(MID(TRIM(INDEX(FormData,$H144,f_Name)),FIND("^",SUBSTITUTE(TRIM(INDEX(FormData,$H144,f_Name))," ","^",LEN(TRIM(INDEX(FormData,$H144,f_Name)))-LEN(SUBSTITUTE(TRIM(INDEX(FormData,$H144,f_Name))," ",""))))+1,1),"")),""))</f>
        <v/>
      </c>
      <c r="E144" s="16">
        <f>IF($H144="","",IFERROR(INDEX(EvID,MATCH(INDEX(FormData,$H144,f_Event),EvID,0)),IFERROR(INDEX(EvID,MATCH(INDEX(FormData,$H144,f_Event),EvName,0)),IFERROR(INDEX(EvID,MATCH(INT($C144),EvDate,0)),"(no event that day)"))))</f>
        <v/>
      </c>
      <c r="F144" s="16">
        <f>IF($H144="","",IFERROR(IF(SUMPRODUCT(MAX((WhoKW&lt;&gt;"")*ISNUMBER(SEARCH(WhoKW,INDEX(FormData,$H144,f_Who)&amp;""))*(ROW(WhoKW)-MIN(ROW(WhoKW))+1)))=0,"",INDEX(WhoVal,SUMPRODUCT(MAX((WhoKW&lt;&gt;"")*ISNUMBER(SEARCH(WhoKW,INDEX(FormData,$H144,f_Who)&amp;""))*(ROW(WhoKW)-MIN(ROW(WhoKW))+1))))),""))</f>
        <v/>
      </c>
      <c r="G144" s="14">
        <f>IF($H144="","",IF(COUNTIF(People!$U$5:$U$604,$B144)+COUNTIF(People!$U$5:$U$604,$B144&amp;"")&gt;0,"✓ logged","→ add"))</f>
        <v/>
      </c>
      <c r="H144">
        <f>IFERROR(IF(INDEX(FormData,141,f_Id)&amp;""="","",141),"")</f>
        <v/>
      </c>
      <c r="I144" s="16">
        <f>IF($H144="","",IFERROR(INDEX(FormData,$H144,f_Need)&amp;"",""))</f>
        <v/>
      </c>
    </row>
    <row r="145">
      <c r="A145" s="14" t="n">
        <v>141</v>
      </c>
      <c r="B145" s="14">
        <f>IF($H145="","",INDEX(FormData,$H145,f_Id))</f>
        <v/>
      </c>
      <c r="C145" s="15">
        <f>IF($H145="","",IFERROR(INDEX(FormData,$H145,f_Time),""))</f>
        <v/>
      </c>
      <c r="D145" s="14">
        <f>IF($H145="","",IFERROR(UPPER(LEFT(TRIM(INDEX(FormData,$H145,f_Name)),1)&amp;IFERROR(MID(TRIM(INDEX(FormData,$H145,f_Name)),FIND("^",SUBSTITUTE(TRIM(INDEX(FormData,$H145,f_Name))," ","^",LEN(TRIM(INDEX(FormData,$H145,f_Name)))-LEN(SUBSTITUTE(TRIM(INDEX(FormData,$H145,f_Name))," ",""))))+1,1),"")),""))</f>
        <v/>
      </c>
      <c r="E145" s="16">
        <f>IF($H145="","",IFERROR(INDEX(EvID,MATCH(INDEX(FormData,$H145,f_Event),EvID,0)),IFERROR(INDEX(EvID,MATCH(INDEX(FormData,$H145,f_Event),EvName,0)),IFERROR(INDEX(EvID,MATCH(INT($C145),EvDate,0)),"(no event that day)"))))</f>
        <v/>
      </c>
      <c r="F145" s="16">
        <f>IF($H145="","",IFERROR(IF(SUMPRODUCT(MAX((WhoKW&lt;&gt;"")*ISNUMBER(SEARCH(WhoKW,INDEX(FormData,$H145,f_Who)&amp;""))*(ROW(WhoKW)-MIN(ROW(WhoKW))+1)))=0,"",INDEX(WhoVal,SUMPRODUCT(MAX((WhoKW&lt;&gt;"")*ISNUMBER(SEARCH(WhoKW,INDEX(FormData,$H145,f_Who)&amp;""))*(ROW(WhoKW)-MIN(ROW(WhoKW))+1))))),""))</f>
        <v/>
      </c>
      <c r="G145" s="14">
        <f>IF($H145="","",IF(COUNTIF(People!$U$5:$U$604,$B145)+COUNTIF(People!$U$5:$U$604,$B145&amp;"")&gt;0,"✓ logged","→ add"))</f>
        <v/>
      </c>
      <c r="H145">
        <f>IFERROR(IF(INDEX(FormData,142,f_Id)&amp;""="","",142),"")</f>
        <v/>
      </c>
      <c r="I145" s="16">
        <f>IF($H145="","",IFERROR(INDEX(FormData,$H145,f_Need)&amp;"",""))</f>
        <v/>
      </c>
    </row>
    <row r="146">
      <c r="A146" s="14" t="n">
        <v>142</v>
      </c>
      <c r="B146" s="14">
        <f>IF($H146="","",INDEX(FormData,$H146,f_Id))</f>
        <v/>
      </c>
      <c r="C146" s="15">
        <f>IF($H146="","",IFERROR(INDEX(FormData,$H146,f_Time),""))</f>
        <v/>
      </c>
      <c r="D146" s="14">
        <f>IF($H146="","",IFERROR(UPPER(LEFT(TRIM(INDEX(FormData,$H146,f_Name)),1)&amp;IFERROR(MID(TRIM(INDEX(FormData,$H146,f_Name)),FIND("^",SUBSTITUTE(TRIM(INDEX(FormData,$H146,f_Name))," ","^",LEN(TRIM(INDEX(FormData,$H146,f_Name)))-LEN(SUBSTITUTE(TRIM(INDEX(FormData,$H146,f_Name))," ",""))))+1,1),"")),""))</f>
        <v/>
      </c>
      <c r="E146" s="16">
        <f>IF($H146="","",IFERROR(INDEX(EvID,MATCH(INDEX(FormData,$H146,f_Event),EvID,0)),IFERROR(INDEX(EvID,MATCH(INDEX(FormData,$H146,f_Event),EvName,0)),IFERROR(INDEX(EvID,MATCH(INT($C146),EvDate,0)),"(no event that day)"))))</f>
        <v/>
      </c>
      <c r="F146" s="16">
        <f>IF($H146="","",IFERROR(IF(SUMPRODUCT(MAX((WhoKW&lt;&gt;"")*ISNUMBER(SEARCH(WhoKW,INDEX(FormData,$H146,f_Who)&amp;""))*(ROW(WhoKW)-MIN(ROW(WhoKW))+1)))=0,"",INDEX(WhoVal,SUMPRODUCT(MAX((WhoKW&lt;&gt;"")*ISNUMBER(SEARCH(WhoKW,INDEX(FormData,$H146,f_Who)&amp;""))*(ROW(WhoKW)-MIN(ROW(WhoKW))+1))))),""))</f>
        <v/>
      </c>
      <c r="G146" s="14">
        <f>IF($H146="","",IF(COUNTIF(People!$U$5:$U$604,$B146)+COUNTIF(People!$U$5:$U$604,$B146&amp;"")&gt;0,"✓ logged","→ add"))</f>
        <v/>
      </c>
      <c r="H146">
        <f>IFERROR(IF(INDEX(FormData,143,f_Id)&amp;""="","",143),"")</f>
        <v/>
      </c>
      <c r="I146" s="16">
        <f>IF($H146="","",IFERROR(INDEX(FormData,$H146,f_Need)&amp;"",""))</f>
        <v/>
      </c>
    </row>
    <row r="147">
      <c r="A147" s="14" t="n">
        <v>143</v>
      </c>
      <c r="B147" s="14">
        <f>IF($H147="","",INDEX(FormData,$H147,f_Id))</f>
        <v/>
      </c>
      <c r="C147" s="15">
        <f>IF($H147="","",IFERROR(INDEX(FormData,$H147,f_Time),""))</f>
        <v/>
      </c>
      <c r="D147" s="14">
        <f>IF($H147="","",IFERROR(UPPER(LEFT(TRIM(INDEX(FormData,$H147,f_Name)),1)&amp;IFERROR(MID(TRIM(INDEX(FormData,$H147,f_Name)),FIND("^",SUBSTITUTE(TRIM(INDEX(FormData,$H147,f_Name))," ","^",LEN(TRIM(INDEX(FormData,$H147,f_Name)))-LEN(SUBSTITUTE(TRIM(INDEX(FormData,$H147,f_Name))," ",""))))+1,1),"")),""))</f>
        <v/>
      </c>
      <c r="E147" s="16">
        <f>IF($H147="","",IFERROR(INDEX(EvID,MATCH(INDEX(FormData,$H147,f_Event),EvID,0)),IFERROR(INDEX(EvID,MATCH(INDEX(FormData,$H147,f_Event),EvName,0)),IFERROR(INDEX(EvID,MATCH(INT($C147),EvDate,0)),"(no event that day)"))))</f>
        <v/>
      </c>
      <c r="F147" s="16">
        <f>IF($H147="","",IFERROR(IF(SUMPRODUCT(MAX((WhoKW&lt;&gt;"")*ISNUMBER(SEARCH(WhoKW,INDEX(FormData,$H147,f_Who)&amp;""))*(ROW(WhoKW)-MIN(ROW(WhoKW))+1)))=0,"",INDEX(WhoVal,SUMPRODUCT(MAX((WhoKW&lt;&gt;"")*ISNUMBER(SEARCH(WhoKW,INDEX(FormData,$H147,f_Who)&amp;""))*(ROW(WhoKW)-MIN(ROW(WhoKW))+1))))),""))</f>
        <v/>
      </c>
      <c r="G147" s="14">
        <f>IF($H147="","",IF(COUNTIF(People!$U$5:$U$604,$B147)+COUNTIF(People!$U$5:$U$604,$B147&amp;"")&gt;0,"✓ logged","→ add"))</f>
        <v/>
      </c>
      <c r="H147">
        <f>IFERROR(IF(INDEX(FormData,144,f_Id)&amp;""="","",144),"")</f>
        <v/>
      </c>
      <c r="I147" s="16">
        <f>IF($H147="","",IFERROR(INDEX(FormData,$H147,f_Need)&amp;"",""))</f>
        <v/>
      </c>
    </row>
    <row r="148">
      <c r="A148" s="14" t="n">
        <v>144</v>
      </c>
      <c r="B148" s="14">
        <f>IF($H148="","",INDEX(FormData,$H148,f_Id))</f>
        <v/>
      </c>
      <c r="C148" s="15">
        <f>IF($H148="","",IFERROR(INDEX(FormData,$H148,f_Time),""))</f>
        <v/>
      </c>
      <c r="D148" s="14">
        <f>IF($H148="","",IFERROR(UPPER(LEFT(TRIM(INDEX(FormData,$H148,f_Name)),1)&amp;IFERROR(MID(TRIM(INDEX(FormData,$H148,f_Name)),FIND("^",SUBSTITUTE(TRIM(INDEX(FormData,$H148,f_Name))," ","^",LEN(TRIM(INDEX(FormData,$H148,f_Name)))-LEN(SUBSTITUTE(TRIM(INDEX(FormData,$H148,f_Name))," ",""))))+1,1),"")),""))</f>
        <v/>
      </c>
      <c r="E148" s="16">
        <f>IF($H148="","",IFERROR(INDEX(EvID,MATCH(INDEX(FormData,$H148,f_Event),EvID,0)),IFERROR(INDEX(EvID,MATCH(INDEX(FormData,$H148,f_Event),EvName,0)),IFERROR(INDEX(EvID,MATCH(INT($C148),EvDate,0)),"(no event that day)"))))</f>
        <v/>
      </c>
      <c r="F148" s="16">
        <f>IF($H148="","",IFERROR(IF(SUMPRODUCT(MAX((WhoKW&lt;&gt;"")*ISNUMBER(SEARCH(WhoKW,INDEX(FormData,$H148,f_Who)&amp;""))*(ROW(WhoKW)-MIN(ROW(WhoKW))+1)))=0,"",INDEX(WhoVal,SUMPRODUCT(MAX((WhoKW&lt;&gt;"")*ISNUMBER(SEARCH(WhoKW,INDEX(FormData,$H148,f_Who)&amp;""))*(ROW(WhoKW)-MIN(ROW(WhoKW))+1))))),""))</f>
        <v/>
      </c>
      <c r="G148" s="14">
        <f>IF($H148="","",IF(COUNTIF(People!$U$5:$U$604,$B148)+COUNTIF(People!$U$5:$U$604,$B148&amp;"")&gt;0,"✓ logged","→ add"))</f>
        <v/>
      </c>
      <c r="H148">
        <f>IFERROR(IF(INDEX(FormData,145,f_Id)&amp;""="","",145),"")</f>
        <v/>
      </c>
      <c r="I148" s="16">
        <f>IF($H148="","",IFERROR(INDEX(FormData,$H148,f_Need)&amp;"",""))</f>
        <v/>
      </c>
    </row>
    <row r="149">
      <c r="A149" s="14" t="n">
        <v>145</v>
      </c>
      <c r="B149" s="14">
        <f>IF($H149="","",INDEX(FormData,$H149,f_Id))</f>
        <v/>
      </c>
      <c r="C149" s="15">
        <f>IF($H149="","",IFERROR(INDEX(FormData,$H149,f_Time),""))</f>
        <v/>
      </c>
      <c r="D149" s="14">
        <f>IF($H149="","",IFERROR(UPPER(LEFT(TRIM(INDEX(FormData,$H149,f_Name)),1)&amp;IFERROR(MID(TRIM(INDEX(FormData,$H149,f_Name)),FIND("^",SUBSTITUTE(TRIM(INDEX(FormData,$H149,f_Name))," ","^",LEN(TRIM(INDEX(FormData,$H149,f_Name)))-LEN(SUBSTITUTE(TRIM(INDEX(FormData,$H149,f_Name))," ",""))))+1,1),"")),""))</f>
        <v/>
      </c>
      <c r="E149" s="16">
        <f>IF($H149="","",IFERROR(INDEX(EvID,MATCH(INDEX(FormData,$H149,f_Event),EvID,0)),IFERROR(INDEX(EvID,MATCH(INDEX(FormData,$H149,f_Event),EvName,0)),IFERROR(INDEX(EvID,MATCH(INT($C149),EvDate,0)),"(no event that day)"))))</f>
        <v/>
      </c>
      <c r="F149" s="16">
        <f>IF($H149="","",IFERROR(IF(SUMPRODUCT(MAX((WhoKW&lt;&gt;"")*ISNUMBER(SEARCH(WhoKW,INDEX(FormData,$H149,f_Who)&amp;""))*(ROW(WhoKW)-MIN(ROW(WhoKW))+1)))=0,"",INDEX(WhoVal,SUMPRODUCT(MAX((WhoKW&lt;&gt;"")*ISNUMBER(SEARCH(WhoKW,INDEX(FormData,$H149,f_Who)&amp;""))*(ROW(WhoKW)-MIN(ROW(WhoKW))+1))))),""))</f>
        <v/>
      </c>
      <c r="G149" s="14">
        <f>IF($H149="","",IF(COUNTIF(People!$U$5:$U$604,$B149)+COUNTIF(People!$U$5:$U$604,$B149&amp;"")&gt;0,"✓ logged","→ add"))</f>
        <v/>
      </c>
      <c r="H149">
        <f>IFERROR(IF(INDEX(FormData,146,f_Id)&amp;""="","",146),"")</f>
        <v/>
      </c>
      <c r="I149" s="16">
        <f>IF($H149="","",IFERROR(INDEX(FormData,$H149,f_Need)&amp;"",""))</f>
        <v/>
      </c>
    </row>
    <row r="150">
      <c r="A150" s="14" t="n">
        <v>146</v>
      </c>
      <c r="B150" s="14">
        <f>IF($H150="","",INDEX(FormData,$H150,f_Id))</f>
        <v/>
      </c>
      <c r="C150" s="15">
        <f>IF($H150="","",IFERROR(INDEX(FormData,$H150,f_Time),""))</f>
        <v/>
      </c>
      <c r="D150" s="14">
        <f>IF($H150="","",IFERROR(UPPER(LEFT(TRIM(INDEX(FormData,$H150,f_Name)),1)&amp;IFERROR(MID(TRIM(INDEX(FormData,$H150,f_Name)),FIND("^",SUBSTITUTE(TRIM(INDEX(FormData,$H150,f_Name))," ","^",LEN(TRIM(INDEX(FormData,$H150,f_Name)))-LEN(SUBSTITUTE(TRIM(INDEX(FormData,$H150,f_Name))," ",""))))+1,1),"")),""))</f>
        <v/>
      </c>
      <c r="E150" s="16">
        <f>IF($H150="","",IFERROR(INDEX(EvID,MATCH(INDEX(FormData,$H150,f_Event),EvID,0)),IFERROR(INDEX(EvID,MATCH(INDEX(FormData,$H150,f_Event),EvName,0)),IFERROR(INDEX(EvID,MATCH(INT($C150),EvDate,0)),"(no event that day)"))))</f>
        <v/>
      </c>
      <c r="F150" s="16">
        <f>IF($H150="","",IFERROR(IF(SUMPRODUCT(MAX((WhoKW&lt;&gt;"")*ISNUMBER(SEARCH(WhoKW,INDEX(FormData,$H150,f_Who)&amp;""))*(ROW(WhoKW)-MIN(ROW(WhoKW))+1)))=0,"",INDEX(WhoVal,SUMPRODUCT(MAX((WhoKW&lt;&gt;"")*ISNUMBER(SEARCH(WhoKW,INDEX(FormData,$H150,f_Who)&amp;""))*(ROW(WhoKW)-MIN(ROW(WhoKW))+1))))),""))</f>
        <v/>
      </c>
      <c r="G150" s="14">
        <f>IF($H150="","",IF(COUNTIF(People!$U$5:$U$604,$B150)+COUNTIF(People!$U$5:$U$604,$B150&amp;"")&gt;0,"✓ logged","→ add"))</f>
        <v/>
      </c>
      <c r="H150">
        <f>IFERROR(IF(INDEX(FormData,147,f_Id)&amp;""="","",147),"")</f>
        <v/>
      </c>
      <c r="I150" s="16">
        <f>IF($H150="","",IFERROR(INDEX(FormData,$H150,f_Need)&amp;"",""))</f>
        <v/>
      </c>
    </row>
    <row r="151">
      <c r="A151" s="14" t="n">
        <v>147</v>
      </c>
      <c r="B151" s="14">
        <f>IF($H151="","",INDEX(FormData,$H151,f_Id))</f>
        <v/>
      </c>
      <c r="C151" s="15">
        <f>IF($H151="","",IFERROR(INDEX(FormData,$H151,f_Time),""))</f>
        <v/>
      </c>
      <c r="D151" s="14">
        <f>IF($H151="","",IFERROR(UPPER(LEFT(TRIM(INDEX(FormData,$H151,f_Name)),1)&amp;IFERROR(MID(TRIM(INDEX(FormData,$H151,f_Name)),FIND("^",SUBSTITUTE(TRIM(INDEX(FormData,$H151,f_Name))," ","^",LEN(TRIM(INDEX(FormData,$H151,f_Name)))-LEN(SUBSTITUTE(TRIM(INDEX(FormData,$H151,f_Name))," ",""))))+1,1),"")),""))</f>
        <v/>
      </c>
      <c r="E151" s="16">
        <f>IF($H151="","",IFERROR(INDEX(EvID,MATCH(INDEX(FormData,$H151,f_Event),EvID,0)),IFERROR(INDEX(EvID,MATCH(INDEX(FormData,$H151,f_Event),EvName,0)),IFERROR(INDEX(EvID,MATCH(INT($C151),EvDate,0)),"(no event that day)"))))</f>
        <v/>
      </c>
      <c r="F151" s="16">
        <f>IF($H151="","",IFERROR(IF(SUMPRODUCT(MAX((WhoKW&lt;&gt;"")*ISNUMBER(SEARCH(WhoKW,INDEX(FormData,$H151,f_Who)&amp;""))*(ROW(WhoKW)-MIN(ROW(WhoKW))+1)))=0,"",INDEX(WhoVal,SUMPRODUCT(MAX((WhoKW&lt;&gt;"")*ISNUMBER(SEARCH(WhoKW,INDEX(FormData,$H151,f_Who)&amp;""))*(ROW(WhoKW)-MIN(ROW(WhoKW))+1))))),""))</f>
        <v/>
      </c>
      <c r="G151" s="14">
        <f>IF($H151="","",IF(COUNTIF(People!$U$5:$U$604,$B151)+COUNTIF(People!$U$5:$U$604,$B151&amp;"")&gt;0,"✓ logged","→ add"))</f>
        <v/>
      </c>
      <c r="H151">
        <f>IFERROR(IF(INDEX(FormData,148,f_Id)&amp;""="","",148),"")</f>
        <v/>
      </c>
      <c r="I151" s="16">
        <f>IF($H151="","",IFERROR(INDEX(FormData,$H151,f_Need)&amp;"",""))</f>
        <v/>
      </c>
    </row>
    <row r="152">
      <c r="A152" s="14" t="n">
        <v>148</v>
      </c>
      <c r="B152" s="14">
        <f>IF($H152="","",INDEX(FormData,$H152,f_Id))</f>
        <v/>
      </c>
      <c r="C152" s="15">
        <f>IF($H152="","",IFERROR(INDEX(FormData,$H152,f_Time),""))</f>
        <v/>
      </c>
      <c r="D152" s="14">
        <f>IF($H152="","",IFERROR(UPPER(LEFT(TRIM(INDEX(FormData,$H152,f_Name)),1)&amp;IFERROR(MID(TRIM(INDEX(FormData,$H152,f_Name)),FIND("^",SUBSTITUTE(TRIM(INDEX(FormData,$H152,f_Name))," ","^",LEN(TRIM(INDEX(FormData,$H152,f_Name)))-LEN(SUBSTITUTE(TRIM(INDEX(FormData,$H152,f_Name))," ",""))))+1,1),"")),""))</f>
        <v/>
      </c>
      <c r="E152" s="16">
        <f>IF($H152="","",IFERROR(INDEX(EvID,MATCH(INDEX(FormData,$H152,f_Event),EvID,0)),IFERROR(INDEX(EvID,MATCH(INDEX(FormData,$H152,f_Event),EvName,0)),IFERROR(INDEX(EvID,MATCH(INT($C152),EvDate,0)),"(no event that day)"))))</f>
        <v/>
      </c>
      <c r="F152" s="16">
        <f>IF($H152="","",IFERROR(IF(SUMPRODUCT(MAX((WhoKW&lt;&gt;"")*ISNUMBER(SEARCH(WhoKW,INDEX(FormData,$H152,f_Who)&amp;""))*(ROW(WhoKW)-MIN(ROW(WhoKW))+1)))=0,"",INDEX(WhoVal,SUMPRODUCT(MAX((WhoKW&lt;&gt;"")*ISNUMBER(SEARCH(WhoKW,INDEX(FormData,$H152,f_Who)&amp;""))*(ROW(WhoKW)-MIN(ROW(WhoKW))+1))))),""))</f>
        <v/>
      </c>
      <c r="G152" s="14">
        <f>IF($H152="","",IF(COUNTIF(People!$U$5:$U$604,$B152)+COUNTIF(People!$U$5:$U$604,$B152&amp;"")&gt;0,"✓ logged","→ add"))</f>
        <v/>
      </c>
      <c r="H152">
        <f>IFERROR(IF(INDEX(FormData,149,f_Id)&amp;""="","",149),"")</f>
        <v/>
      </c>
      <c r="I152" s="16">
        <f>IF($H152="","",IFERROR(INDEX(FormData,$H152,f_Need)&amp;"",""))</f>
        <v/>
      </c>
    </row>
    <row r="153">
      <c r="A153" s="14" t="n">
        <v>149</v>
      </c>
      <c r="B153" s="14">
        <f>IF($H153="","",INDEX(FormData,$H153,f_Id))</f>
        <v/>
      </c>
      <c r="C153" s="15">
        <f>IF($H153="","",IFERROR(INDEX(FormData,$H153,f_Time),""))</f>
        <v/>
      </c>
      <c r="D153" s="14">
        <f>IF($H153="","",IFERROR(UPPER(LEFT(TRIM(INDEX(FormData,$H153,f_Name)),1)&amp;IFERROR(MID(TRIM(INDEX(FormData,$H153,f_Name)),FIND("^",SUBSTITUTE(TRIM(INDEX(FormData,$H153,f_Name))," ","^",LEN(TRIM(INDEX(FormData,$H153,f_Name)))-LEN(SUBSTITUTE(TRIM(INDEX(FormData,$H153,f_Name))," ",""))))+1,1),"")),""))</f>
        <v/>
      </c>
      <c r="E153" s="16">
        <f>IF($H153="","",IFERROR(INDEX(EvID,MATCH(INDEX(FormData,$H153,f_Event),EvID,0)),IFERROR(INDEX(EvID,MATCH(INDEX(FormData,$H153,f_Event),EvName,0)),IFERROR(INDEX(EvID,MATCH(INT($C153),EvDate,0)),"(no event that day)"))))</f>
        <v/>
      </c>
      <c r="F153" s="16">
        <f>IF($H153="","",IFERROR(IF(SUMPRODUCT(MAX((WhoKW&lt;&gt;"")*ISNUMBER(SEARCH(WhoKW,INDEX(FormData,$H153,f_Who)&amp;""))*(ROW(WhoKW)-MIN(ROW(WhoKW))+1)))=0,"",INDEX(WhoVal,SUMPRODUCT(MAX((WhoKW&lt;&gt;"")*ISNUMBER(SEARCH(WhoKW,INDEX(FormData,$H153,f_Who)&amp;""))*(ROW(WhoKW)-MIN(ROW(WhoKW))+1))))),""))</f>
        <v/>
      </c>
      <c r="G153" s="14">
        <f>IF($H153="","",IF(COUNTIF(People!$U$5:$U$604,$B153)+COUNTIF(People!$U$5:$U$604,$B153&amp;"")&gt;0,"✓ logged","→ add"))</f>
        <v/>
      </c>
      <c r="H153">
        <f>IFERROR(IF(INDEX(FormData,150,f_Id)&amp;""="","",150),"")</f>
        <v/>
      </c>
      <c r="I153" s="16">
        <f>IF($H153="","",IFERROR(INDEX(FormData,$H153,f_Need)&amp;"",""))</f>
        <v/>
      </c>
    </row>
    <row r="154">
      <c r="A154" s="14" t="n">
        <v>150</v>
      </c>
      <c r="B154" s="14">
        <f>IF($H154="","",INDEX(FormData,$H154,f_Id))</f>
        <v/>
      </c>
      <c r="C154" s="15">
        <f>IF($H154="","",IFERROR(INDEX(FormData,$H154,f_Time),""))</f>
        <v/>
      </c>
      <c r="D154" s="14">
        <f>IF($H154="","",IFERROR(UPPER(LEFT(TRIM(INDEX(FormData,$H154,f_Name)),1)&amp;IFERROR(MID(TRIM(INDEX(FormData,$H154,f_Name)),FIND("^",SUBSTITUTE(TRIM(INDEX(FormData,$H154,f_Name))," ","^",LEN(TRIM(INDEX(FormData,$H154,f_Name)))-LEN(SUBSTITUTE(TRIM(INDEX(FormData,$H154,f_Name))," ",""))))+1,1),"")),""))</f>
        <v/>
      </c>
      <c r="E154" s="16">
        <f>IF($H154="","",IFERROR(INDEX(EvID,MATCH(INDEX(FormData,$H154,f_Event),EvID,0)),IFERROR(INDEX(EvID,MATCH(INDEX(FormData,$H154,f_Event),EvName,0)),IFERROR(INDEX(EvID,MATCH(INT($C154),EvDate,0)),"(no event that day)"))))</f>
        <v/>
      </c>
      <c r="F154" s="16">
        <f>IF($H154="","",IFERROR(IF(SUMPRODUCT(MAX((WhoKW&lt;&gt;"")*ISNUMBER(SEARCH(WhoKW,INDEX(FormData,$H154,f_Who)&amp;""))*(ROW(WhoKW)-MIN(ROW(WhoKW))+1)))=0,"",INDEX(WhoVal,SUMPRODUCT(MAX((WhoKW&lt;&gt;"")*ISNUMBER(SEARCH(WhoKW,INDEX(FormData,$H154,f_Who)&amp;""))*(ROW(WhoKW)-MIN(ROW(WhoKW))+1))))),""))</f>
        <v/>
      </c>
      <c r="G154" s="14">
        <f>IF($H154="","",IF(COUNTIF(People!$U$5:$U$604,$B154)+COUNTIF(People!$U$5:$U$604,$B154&amp;"")&gt;0,"✓ logged","→ add"))</f>
        <v/>
      </c>
      <c r="H154">
        <f>IFERROR(IF(INDEX(FormData,151,f_Id)&amp;""="","",151),"")</f>
        <v/>
      </c>
      <c r="I154" s="16">
        <f>IF($H154="","",IFERROR(INDEX(FormData,$H154,f_Need)&amp;"",""))</f>
        <v/>
      </c>
    </row>
    <row r="155">
      <c r="A155" s="14" t="n">
        <v>151</v>
      </c>
      <c r="B155" s="14">
        <f>IF($H155="","",INDEX(FormData,$H155,f_Id))</f>
        <v/>
      </c>
      <c r="C155" s="15">
        <f>IF($H155="","",IFERROR(INDEX(FormData,$H155,f_Time),""))</f>
        <v/>
      </c>
      <c r="D155" s="14">
        <f>IF($H155="","",IFERROR(UPPER(LEFT(TRIM(INDEX(FormData,$H155,f_Name)),1)&amp;IFERROR(MID(TRIM(INDEX(FormData,$H155,f_Name)),FIND("^",SUBSTITUTE(TRIM(INDEX(FormData,$H155,f_Name))," ","^",LEN(TRIM(INDEX(FormData,$H155,f_Name)))-LEN(SUBSTITUTE(TRIM(INDEX(FormData,$H155,f_Name))," ",""))))+1,1),"")),""))</f>
        <v/>
      </c>
      <c r="E155" s="16">
        <f>IF($H155="","",IFERROR(INDEX(EvID,MATCH(INDEX(FormData,$H155,f_Event),EvID,0)),IFERROR(INDEX(EvID,MATCH(INDEX(FormData,$H155,f_Event),EvName,0)),IFERROR(INDEX(EvID,MATCH(INT($C155),EvDate,0)),"(no event that day)"))))</f>
        <v/>
      </c>
      <c r="F155" s="16">
        <f>IF($H155="","",IFERROR(IF(SUMPRODUCT(MAX((WhoKW&lt;&gt;"")*ISNUMBER(SEARCH(WhoKW,INDEX(FormData,$H155,f_Who)&amp;""))*(ROW(WhoKW)-MIN(ROW(WhoKW))+1)))=0,"",INDEX(WhoVal,SUMPRODUCT(MAX((WhoKW&lt;&gt;"")*ISNUMBER(SEARCH(WhoKW,INDEX(FormData,$H155,f_Who)&amp;""))*(ROW(WhoKW)-MIN(ROW(WhoKW))+1))))),""))</f>
        <v/>
      </c>
      <c r="G155" s="14">
        <f>IF($H155="","",IF(COUNTIF(People!$U$5:$U$604,$B155)+COUNTIF(People!$U$5:$U$604,$B155&amp;"")&gt;0,"✓ logged","→ add"))</f>
        <v/>
      </c>
      <c r="H155">
        <f>IFERROR(IF(INDEX(FormData,152,f_Id)&amp;""="","",152),"")</f>
        <v/>
      </c>
      <c r="I155" s="16">
        <f>IF($H155="","",IFERROR(INDEX(FormData,$H155,f_Need)&amp;"",""))</f>
        <v/>
      </c>
    </row>
    <row r="156">
      <c r="A156" s="14" t="n">
        <v>152</v>
      </c>
      <c r="B156" s="14">
        <f>IF($H156="","",INDEX(FormData,$H156,f_Id))</f>
        <v/>
      </c>
      <c r="C156" s="15">
        <f>IF($H156="","",IFERROR(INDEX(FormData,$H156,f_Time),""))</f>
        <v/>
      </c>
      <c r="D156" s="14">
        <f>IF($H156="","",IFERROR(UPPER(LEFT(TRIM(INDEX(FormData,$H156,f_Name)),1)&amp;IFERROR(MID(TRIM(INDEX(FormData,$H156,f_Name)),FIND("^",SUBSTITUTE(TRIM(INDEX(FormData,$H156,f_Name))," ","^",LEN(TRIM(INDEX(FormData,$H156,f_Name)))-LEN(SUBSTITUTE(TRIM(INDEX(FormData,$H156,f_Name))," ",""))))+1,1),"")),""))</f>
        <v/>
      </c>
      <c r="E156" s="16">
        <f>IF($H156="","",IFERROR(INDEX(EvID,MATCH(INDEX(FormData,$H156,f_Event),EvID,0)),IFERROR(INDEX(EvID,MATCH(INDEX(FormData,$H156,f_Event),EvName,0)),IFERROR(INDEX(EvID,MATCH(INT($C156),EvDate,0)),"(no event that day)"))))</f>
        <v/>
      </c>
      <c r="F156" s="16">
        <f>IF($H156="","",IFERROR(IF(SUMPRODUCT(MAX((WhoKW&lt;&gt;"")*ISNUMBER(SEARCH(WhoKW,INDEX(FormData,$H156,f_Who)&amp;""))*(ROW(WhoKW)-MIN(ROW(WhoKW))+1)))=0,"",INDEX(WhoVal,SUMPRODUCT(MAX((WhoKW&lt;&gt;"")*ISNUMBER(SEARCH(WhoKW,INDEX(FormData,$H156,f_Who)&amp;""))*(ROW(WhoKW)-MIN(ROW(WhoKW))+1))))),""))</f>
        <v/>
      </c>
      <c r="G156" s="14">
        <f>IF($H156="","",IF(COUNTIF(People!$U$5:$U$604,$B156)+COUNTIF(People!$U$5:$U$604,$B156&amp;"")&gt;0,"✓ logged","→ add"))</f>
        <v/>
      </c>
      <c r="H156">
        <f>IFERROR(IF(INDEX(FormData,153,f_Id)&amp;""="","",153),"")</f>
        <v/>
      </c>
      <c r="I156" s="16">
        <f>IF($H156="","",IFERROR(INDEX(FormData,$H156,f_Need)&amp;"",""))</f>
        <v/>
      </c>
    </row>
    <row r="157">
      <c r="A157" s="14" t="n">
        <v>153</v>
      </c>
      <c r="B157" s="14">
        <f>IF($H157="","",INDEX(FormData,$H157,f_Id))</f>
        <v/>
      </c>
      <c r="C157" s="15">
        <f>IF($H157="","",IFERROR(INDEX(FormData,$H157,f_Time),""))</f>
        <v/>
      </c>
      <c r="D157" s="14">
        <f>IF($H157="","",IFERROR(UPPER(LEFT(TRIM(INDEX(FormData,$H157,f_Name)),1)&amp;IFERROR(MID(TRIM(INDEX(FormData,$H157,f_Name)),FIND("^",SUBSTITUTE(TRIM(INDEX(FormData,$H157,f_Name))," ","^",LEN(TRIM(INDEX(FormData,$H157,f_Name)))-LEN(SUBSTITUTE(TRIM(INDEX(FormData,$H157,f_Name))," ",""))))+1,1),"")),""))</f>
        <v/>
      </c>
      <c r="E157" s="16">
        <f>IF($H157="","",IFERROR(INDEX(EvID,MATCH(INDEX(FormData,$H157,f_Event),EvID,0)),IFERROR(INDEX(EvID,MATCH(INDEX(FormData,$H157,f_Event),EvName,0)),IFERROR(INDEX(EvID,MATCH(INT($C157),EvDate,0)),"(no event that day)"))))</f>
        <v/>
      </c>
      <c r="F157" s="16">
        <f>IF($H157="","",IFERROR(IF(SUMPRODUCT(MAX((WhoKW&lt;&gt;"")*ISNUMBER(SEARCH(WhoKW,INDEX(FormData,$H157,f_Who)&amp;""))*(ROW(WhoKW)-MIN(ROW(WhoKW))+1)))=0,"",INDEX(WhoVal,SUMPRODUCT(MAX((WhoKW&lt;&gt;"")*ISNUMBER(SEARCH(WhoKW,INDEX(FormData,$H157,f_Who)&amp;""))*(ROW(WhoKW)-MIN(ROW(WhoKW))+1))))),""))</f>
        <v/>
      </c>
      <c r="G157" s="14">
        <f>IF($H157="","",IF(COUNTIF(People!$U$5:$U$604,$B157)+COUNTIF(People!$U$5:$U$604,$B157&amp;"")&gt;0,"✓ logged","→ add"))</f>
        <v/>
      </c>
      <c r="H157">
        <f>IFERROR(IF(INDEX(FormData,154,f_Id)&amp;""="","",154),"")</f>
        <v/>
      </c>
      <c r="I157" s="16">
        <f>IF($H157="","",IFERROR(INDEX(FormData,$H157,f_Need)&amp;"",""))</f>
        <v/>
      </c>
    </row>
    <row r="158">
      <c r="A158" s="14" t="n">
        <v>154</v>
      </c>
      <c r="B158" s="14">
        <f>IF($H158="","",INDEX(FormData,$H158,f_Id))</f>
        <v/>
      </c>
      <c r="C158" s="15">
        <f>IF($H158="","",IFERROR(INDEX(FormData,$H158,f_Time),""))</f>
        <v/>
      </c>
      <c r="D158" s="14">
        <f>IF($H158="","",IFERROR(UPPER(LEFT(TRIM(INDEX(FormData,$H158,f_Name)),1)&amp;IFERROR(MID(TRIM(INDEX(FormData,$H158,f_Name)),FIND("^",SUBSTITUTE(TRIM(INDEX(FormData,$H158,f_Name))," ","^",LEN(TRIM(INDEX(FormData,$H158,f_Name)))-LEN(SUBSTITUTE(TRIM(INDEX(FormData,$H158,f_Name))," ",""))))+1,1),"")),""))</f>
        <v/>
      </c>
      <c r="E158" s="16">
        <f>IF($H158="","",IFERROR(INDEX(EvID,MATCH(INDEX(FormData,$H158,f_Event),EvID,0)),IFERROR(INDEX(EvID,MATCH(INDEX(FormData,$H158,f_Event),EvName,0)),IFERROR(INDEX(EvID,MATCH(INT($C158),EvDate,0)),"(no event that day)"))))</f>
        <v/>
      </c>
      <c r="F158" s="16">
        <f>IF($H158="","",IFERROR(IF(SUMPRODUCT(MAX((WhoKW&lt;&gt;"")*ISNUMBER(SEARCH(WhoKW,INDEX(FormData,$H158,f_Who)&amp;""))*(ROW(WhoKW)-MIN(ROW(WhoKW))+1)))=0,"",INDEX(WhoVal,SUMPRODUCT(MAX((WhoKW&lt;&gt;"")*ISNUMBER(SEARCH(WhoKW,INDEX(FormData,$H158,f_Who)&amp;""))*(ROW(WhoKW)-MIN(ROW(WhoKW))+1))))),""))</f>
        <v/>
      </c>
      <c r="G158" s="14">
        <f>IF($H158="","",IF(COUNTIF(People!$U$5:$U$604,$B158)+COUNTIF(People!$U$5:$U$604,$B158&amp;"")&gt;0,"✓ logged","→ add"))</f>
        <v/>
      </c>
      <c r="H158">
        <f>IFERROR(IF(INDEX(FormData,155,f_Id)&amp;""="","",155),"")</f>
        <v/>
      </c>
      <c r="I158" s="16">
        <f>IF($H158="","",IFERROR(INDEX(FormData,$H158,f_Need)&amp;"",""))</f>
        <v/>
      </c>
    </row>
    <row r="159">
      <c r="A159" s="14" t="n">
        <v>155</v>
      </c>
      <c r="B159" s="14">
        <f>IF($H159="","",INDEX(FormData,$H159,f_Id))</f>
        <v/>
      </c>
      <c r="C159" s="15">
        <f>IF($H159="","",IFERROR(INDEX(FormData,$H159,f_Time),""))</f>
        <v/>
      </c>
      <c r="D159" s="14">
        <f>IF($H159="","",IFERROR(UPPER(LEFT(TRIM(INDEX(FormData,$H159,f_Name)),1)&amp;IFERROR(MID(TRIM(INDEX(FormData,$H159,f_Name)),FIND("^",SUBSTITUTE(TRIM(INDEX(FormData,$H159,f_Name))," ","^",LEN(TRIM(INDEX(FormData,$H159,f_Name)))-LEN(SUBSTITUTE(TRIM(INDEX(FormData,$H159,f_Name))," ",""))))+1,1),"")),""))</f>
        <v/>
      </c>
      <c r="E159" s="16">
        <f>IF($H159="","",IFERROR(INDEX(EvID,MATCH(INDEX(FormData,$H159,f_Event),EvID,0)),IFERROR(INDEX(EvID,MATCH(INDEX(FormData,$H159,f_Event),EvName,0)),IFERROR(INDEX(EvID,MATCH(INT($C159),EvDate,0)),"(no event that day)"))))</f>
        <v/>
      </c>
      <c r="F159" s="16">
        <f>IF($H159="","",IFERROR(IF(SUMPRODUCT(MAX((WhoKW&lt;&gt;"")*ISNUMBER(SEARCH(WhoKW,INDEX(FormData,$H159,f_Who)&amp;""))*(ROW(WhoKW)-MIN(ROW(WhoKW))+1)))=0,"",INDEX(WhoVal,SUMPRODUCT(MAX((WhoKW&lt;&gt;"")*ISNUMBER(SEARCH(WhoKW,INDEX(FormData,$H159,f_Who)&amp;""))*(ROW(WhoKW)-MIN(ROW(WhoKW))+1))))),""))</f>
        <v/>
      </c>
      <c r="G159" s="14">
        <f>IF($H159="","",IF(COUNTIF(People!$U$5:$U$604,$B159)+COUNTIF(People!$U$5:$U$604,$B159&amp;"")&gt;0,"✓ logged","→ add"))</f>
        <v/>
      </c>
      <c r="H159">
        <f>IFERROR(IF(INDEX(FormData,156,f_Id)&amp;""="","",156),"")</f>
        <v/>
      </c>
      <c r="I159" s="16">
        <f>IF($H159="","",IFERROR(INDEX(FormData,$H159,f_Need)&amp;"",""))</f>
        <v/>
      </c>
    </row>
    <row r="160">
      <c r="A160" s="14" t="n">
        <v>156</v>
      </c>
      <c r="B160" s="14">
        <f>IF($H160="","",INDEX(FormData,$H160,f_Id))</f>
        <v/>
      </c>
      <c r="C160" s="15">
        <f>IF($H160="","",IFERROR(INDEX(FormData,$H160,f_Time),""))</f>
        <v/>
      </c>
      <c r="D160" s="14">
        <f>IF($H160="","",IFERROR(UPPER(LEFT(TRIM(INDEX(FormData,$H160,f_Name)),1)&amp;IFERROR(MID(TRIM(INDEX(FormData,$H160,f_Name)),FIND("^",SUBSTITUTE(TRIM(INDEX(FormData,$H160,f_Name))," ","^",LEN(TRIM(INDEX(FormData,$H160,f_Name)))-LEN(SUBSTITUTE(TRIM(INDEX(FormData,$H160,f_Name))," ",""))))+1,1),"")),""))</f>
        <v/>
      </c>
      <c r="E160" s="16">
        <f>IF($H160="","",IFERROR(INDEX(EvID,MATCH(INDEX(FormData,$H160,f_Event),EvID,0)),IFERROR(INDEX(EvID,MATCH(INDEX(FormData,$H160,f_Event),EvName,0)),IFERROR(INDEX(EvID,MATCH(INT($C160),EvDate,0)),"(no event that day)"))))</f>
        <v/>
      </c>
      <c r="F160" s="16">
        <f>IF($H160="","",IFERROR(IF(SUMPRODUCT(MAX((WhoKW&lt;&gt;"")*ISNUMBER(SEARCH(WhoKW,INDEX(FormData,$H160,f_Who)&amp;""))*(ROW(WhoKW)-MIN(ROW(WhoKW))+1)))=0,"",INDEX(WhoVal,SUMPRODUCT(MAX((WhoKW&lt;&gt;"")*ISNUMBER(SEARCH(WhoKW,INDEX(FormData,$H160,f_Who)&amp;""))*(ROW(WhoKW)-MIN(ROW(WhoKW))+1))))),""))</f>
        <v/>
      </c>
      <c r="G160" s="14">
        <f>IF($H160="","",IF(COUNTIF(People!$U$5:$U$604,$B160)+COUNTIF(People!$U$5:$U$604,$B160&amp;"")&gt;0,"✓ logged","→ add"))</f>
        <v/>
      </c>
      <c r="H160">
        <f>IFERROR(IF(INDEX(FormData,157,f_Id)&amp;""="","",157),"")</f>
        <v/>
      </c>
      <c r="I160" s="16">
        <f>IF($H160="","",IFERROR(INDEX(FormData,$H160,f_Need)&amp;"",""))</f>
        <v/>
      </c>
    </row>
    <row r="161">
      <c r="A161" s="14" t="n">
        <v>157</v>
      </c>
      <c r="B161" s="14">
        <f>IF($H161="","",INDEX(FormData,$H161,f_Id))</f>
        <v/>
      </c>
      <c r="C161" s="15">
        <f>IF($H161="","",IFERROR(INDEX(FormData,$H161,f_Time),""))</f>
        <v/>
      </c>
      <c r="D161" s="14">
        <f>IF($H161="","",IFERROR(UPPER(LEFT(TRIM(INDEX(FormData,$H161,f_Name)),1)&amp;IFERROR(MID(TRIM(INDEX(FormData,$H161,f_Name)),FIND("^",SUBSTITUTE(TRIM(INDEX(FormData,$H161,f_Name))," ","^",LEN(TRIM(INDEX(FormData,$H161,f_Name)))-LEN(SUBSTITUTE(TRIM(INDEX(FormData,$H161,f_Name))," ",""))))+1,1),"")),""))</f>
        <v/>
      </c>
      <c r="E161" s="16">
        <f>IF($H161="","",IFERROR(INDEX(EvID,MATCH(INDEX(FormData,$H161,f_Event),EvID,0)),IFERROR(INDEX(EvID,MATCH(INDEX(FormData,$H161,f_Event),EvName,0)),IFERROR(INDEX(EvID,MATCH(INT($C161),EvDate,0)),"(no event that day)"))))</f>
        <v/>
      </c>
      <c r="F161" s="16">
        <f>IF($H161="","",IFERROR(IF(SUMPRODUCT(MAX((WhoKW&lt;&gt;"")*ISNUMBER(SEARCH(WhoKW,INDEX(FormData,$H161,f_Who)&amp;""))*(ROW(WhoKW)-MIN(ROW(WhoKW))+1)))=0,"",INDEX(WhoVal,SUMPRODUCT(MAX((WhoKW&lt;&gt;"")*ISNUMBER(SEARCH(WhoKW,INDEX(FormData,$H161,f_Who)&amp;""))*(ROW(WhoKW)-MIN(ROW(WhoKW))+1))))),""))</f>
        <v/>
      </c>
      <c r="G161" s="14">
        <f>IF($H161="","",IF(COUNTIF(People!$U$5:$U$604,$B161)+COUNTIF(People!$U$5:$U$604,$B161&amp;"")&gt;0,"✓ logged","→ add"))</f>
        <v/>
      </c>
      <c r="H161">
        <f>IFERROR(IF(INDEX(FormData,158,f_Id)&amp;""="","",158),"")</f>
        <v/>
      </c>
      <c r="I161" s="16">
        <f>IF($H161="","",IFERROR(INDEX(FormData,$H161,f_Need)&amp;"",""))</f>
        <v/>
      </c>
    </row>
    <row r="162">
      <c r="A162" s="14" t="n">
        <v>158</v>
      </c>
      <c r="B162" s="14">
        <f>IF($H162="","",INDEX(FormData,$H162,f_Id))</f>
        <v/>
      </c>
      <c r="C162" s="15">
        <f>IF($H162="","",IFERROR(INDEX(FormData,$H162,f_Time),""))</f>
        <v/>
      </c>
      <c r="D162" s="14">
        <f>IF($H162="","",IFERROR(UPPER(LEFT(TRIM(INDEX(FormData,$H162,f_Name)),1)&amp;IFERROR(MID(TRIM(INDEX(FormData,$H162,f_Name)),FIND("^",SUBSTITUTE(TRIM(INDEX(FormData,$H162,f_Name))," ","^",LEN(TRIM(INDEX(FormData,$H162,f_Name)))-LEN(SUBSTITUTE(TRIM(INDEX(FormData,$H162,f_Name))," ",""))))+1,1),"")),""))</f>
        <v/>
      </c>
      <c r="E162" s="16">
        <f>IF($H162="","",IFERROR(INDEX(EvID,MATCH(INDEX(FormData,$H162,f_Event),EvID,0)),IFERROR(INDEX(EvID,MATCH(INDEX(FormData,$H162,f_Event),EvName,0)),IFERROR(INDEX(EvID,MATCH(INT($C162),EvDate,0)),"(no event that day)"))))</f>
        <v/>
      </c>
      <c r="F162" s="16">
        <f>IF($H162="","",IFERROR(IF(SUMPRODUCT(MAX((WhoKW&lt;&gt;"")*ISNUMBER(SEARCH(WhoKW,INDEX(FormData,$H162,f_Who)&amp;""))*(ROW(WhoKW)-MIN(ROW(WhoKW))+1)))=0,"",INDEX(WhoVal,SUMPRODUCT(MAX((WhoKW&lt;&gt;"")*ISNUMBER(SEARCH(WhoKW,INDEX(FormData,$H162,f_Who)&amp;""))*(ROW(WhoKW)-MIN(ROW(WhoKW))+1))))),""))</f>
        <v/>
      </c>
      <c r="G162" s="14">
        <f>IF($H162="","",IF(COUNTIF(People!$U$5:$U$604,$B162)+COUNTIF(People!$U$5:$U$604,$B162&amp;"")&gt;0,"✓ logged","→ add"))</f>
        <v/>
      </c>
      <c r="H162">
        <f>IFERROR(IF(INDEX(FormData,159,f_Id)&amp;""="","",159),"")</f>
        <v/>
      </c>
      <c r="I162" s="16">
        <f>IF($H162="","",IFERROR(INDEX(FormData,$H162,f_Need)&amp;"",""))</f>
        <v/>
      </c>
    </row>
    <row r="163">
      <c r="A163" s="14" t="n">
        <v>159</v>
      </c>
      <c r="B163" s="14">
        <f>IF($H163="","",INDEX(FormData,$H163,f_Id))</f>
        <v/>
      </c>
      <c r="C163" s="15">
        <f>IF($H163="","",IFERROR(INDEX(FormData,$H163,f_Time),""))</f>
        <v/>
      </c>
      <c r="D163" s="14">
        <f>IF($H163="","",IFERROR(UPPER(LEFT(TRIM(INDEX(FormData,$H163,f_Name)),1)&amp;IFERROR(MID(TRIM(INDEX(FormData,$H163,f_Name)),FIND("^",SUBSTITUTE(TRIM(INDEX(FormData,$H163,f_Name))," ","^",LEN(TRIM(INDEX(FormData,$H163,f_Name)))-LEN(SUBSTITUTE(TRIM(INDEX(FormData,$H163,f_Name))," ",""))))+1,1),"")),""))</f>
        <v/>
      </c>
      <c r="E163" s="16">
        <f>IF($H163="","",IFERROR(INDEX(EvID,MATCH(INDEX(FormData,$H163,f_Event),EvID,0)),IFERROR(INDEX(EvID,MATCH(INDEX(FormData,$H163,f_Event),EvName,0)),IFERROR(INDEX(EvID,MATCH(INT($C163),EvDate,0)),"(no event that day)"))))</f>
        <v/>
      </c>
      <c r="F163" s="16">
        <f>IF($H163="","",IFERROR(IF(SUMPRODUCT(MAX((WhoKW&lt;&gt;"")*ISNUMBER(SEARCH(WhoKW,INDEX(FormData,$H163,f_Who)&amp;""))*(ROW(WhoKW)-MIN(ROW(WhoKW))+1)))=0,"",INDEX(WhoVal,SUMPRODUCT(MAX((WhoKW&lt;&gt;"")*ISNUMBER(SEARCH(WhoKW,INDEX(FormData,$H163,f_Who)&amp;""))*(ROW(WhoKW)-MIN(ROW(WhoKW))+1))))),""))</f>
        <v/>
      </c>
      <c r="G163" s="14">
        <f>IF($H163="","",IF(COUNTIF(People!$U$5:$U$604,$B163)+COUNTIF(People!$U$5:$U$604,$B163&amp;"")&gt;0,"✓ logged","→ add"))</f>
        <v/>
      </c>
      <c r="H163">
        <f>IFERROR(IF(INDEX(FormData,160,f_Id)&amp;""="","",160),"")</f>
        <v/>
      </c>
      <c r="I163" s="16">
        <f>IF($H163="","",IFERROR(INDEX(FormData,$H163,f_Need)&amp;"",""))</f>
        <v/>
      </c>
    </row>
    <row r="164">
      <c r="A164" s="14" t="n">
        <v>160</v>
      </c>
      <c r="B164" s="14">
        <f>IF($H164="","",INDEX(FormData,$H164,f_Id))</f>
        <v/>
      </c>
      <c r="C164" s="15">
        <f>IF($H164="","",IFERROR(INDEX(FormData,$H164,f_Time),""))</f>
        <v/>
      </c>
      <c r="D164" s="14">
        <f>IF($H164="","",IFERROR(UPPER(LEFT(TRIM(INDEX(FormData,$H164,f_Name)),1)&amp;IFERROR(MID(TRIM(INDEX(FormData,$H164,f_Name)),FIND("^",SUBSTITUTE(TRIM(INDEX(FormData,$H164,f_Name))," ","^",LEN(TRIM(INDEX(FormData,$H164,f_Name)))-LEN(SUBSTITUTE(TRIM(INDEX(FormData,$H164,f_Name))," ",""))))+1,1),"")),""))</f>
        <v/>
      </c>
      <c r="E164" s="16">
        <f>IF($H164="","",IFERROR(INDEX(EvID,MATCH(INDEX(FormData,$H164,f_Event),EvID,0)),IFERROR(INDEX(EvID,MATCH(INDEX(FormData,$H164,f_Event),EvName,0)),IFERROR(INDEX(EvID,MATCH(INT($C164),EvDate,0)),"(no event that day)"))))</f>
        <v/>
      </c>
      <c r="F164" s="16">
        <f>IF($H164="","",IFERROR(IF(SUMPRODUCT(MAX((WhoKW&lt;&gt;"")*ISNUMBER(SEARCH(WhoKW,INDEX(FormData,$H164,f_Who)&amp;""))*(ROW(WhoKW)-MIN(ROW(WhoKW))+1)))=0,"",INDEX(WhoVal,SUMPRODUCT(MAX((WhoKW&lt;&gt;"")*ISNUMBER(SEARCH(WhoKW,INDEX(FormData,$H164,f_Who)&amp;""))*(ROW(WhoKW)-MIN(ROW(WhoKW))+1))))),""))</f>
        <v/>
      </c>
      <c r="G164" s="14">
        <f>IF($H164="","",IF(COUNTIF(People!$U$5:$U$604,$B164)+COUNTIF(People!$U$5:$U$604,$B164&amp;"")&gt;0,"✓ logged","→ add"))</f>
        <v/>
      </c>
      <c r="H164">
        <f>IFERROR(IF(INDEX(FormData,161,f_Id)&amp;""="","",161),"")</f>
        <v/>
      </c>
      <c r="I164" s="16">
        <f>IF($H164="","",IFERROR(INDEX(FormData,$H164,f_Need)&amp;"",""))</f>
        <v/>
      </c>
    </row>
    <row r="165">
      <c r="A165" s="14" t="n">
        <v>161</v>
      </c>
      <c r="B165" s="14">
        <f>IF($H165="","",INDEX(FormData,$H165,f_Id))</f>
        <v/>
      </c>
      <c r="C165" s="15">
        <f>IF($H165="","",IFERROR(INDEX(FormData,$H165,f_Time),""))</f>
        <v/>
      </c>
      <c r="D165" s="14">
        <f>IF($H165="","",IFERROR(UPPER(LEFT(TRIM(INDEX(FormData,$H165,f_Name)),1)&amp;IFERROR(MID(TRIM(INDEX(FormData,$H165,f_Name)),FIND("^",SUBSTITUTE(TRIM(INDEX(FormData,$H165,f_Name))," ","^",LEN(TRIM(INDEX(FormData,$H165,f_Name)))-LEN(SUBSTITUTE(TRIM(INDEX(FormData,$H165,f_Name))," ",""))))+1,1),"")),""))</f>
        <v/>
      </c>
      <c r="E165" s="16">
        <f>IF($H165="","",IFERROR(INDEX(EvID,MATCH(INDEX(FormData,$H165,f_Event),EvID,0)),IFERROR(INDEX(EvID,MATCH(INDEX(FormData,$H165,f_Event),EvName,0)),IFERROR(INDEX(EvID,MATCH(INT($C165),EvDate,0)),"(no event that day)"))))</f>
        <v/>
      </c>
      <c r="F165" s="16">
        <f>IF($H165="","",IFERROR(IF(SUMPRODUCT(MAX((WhoKW&lt;&gt;"")*ISNUMBER(SEARCH(WhoKW,INDEX(FormData,$H165,f_Who)&amp;""))*(ROW(WhoKW)-MIN(ROW(WhoKW))+1)))=0,"",INDEX(WhoVal,SUMPRODUCT(MAX((WhoKW&lt;&gt;"")*ISNUMBER(SEARCH(WhoKW,INDEX(FormData,$H165,f_Who)&amp;""))*(ROW(WhoKW)-MIN(ROW(WhoKW))+1))))),""))</f>
        <v/>
      </c>
      <c r="G165" s="14">
        <f>IF($H165="","",IF(COUNTIF(People!$U$5:$U$604,$B165)+COUNTIF(People!$U$5:$U$604,$B165&amp;"")&gt;0,"✓ logged","→ add"))</f>
        <v/>
      </c>
      <c r="H165">
        <f>IFERROR(IF(INDEX(FormData,162,f_Id)&amp;""="","",162),"")</f>
        <v/>
      </c>
      <c r="I165" s="16">
        <f>IF($H165="","",IFERROR(INDEX(FormData,$H165,f_Need)&amp;"",""))</f>
        <v/>
      </c>
    </row>
    <row r="166">
      <c r="A166" s="14" t="n">
        <v>162</v>
      </c>
      <c r="B166" s="14">
        <f>IF($H166="","",INDEX(FormData,$H166,f_Id))</f>
        <v/>
      </c>
      <c r="C166" s="15">
        <f>IF($H166="","",IFERROR(INDEX(FormData,$H166,f_Time),""))</f>
        <v/>
      </c>
      <c r="D166" s="14">
        <f>IF($H166="","",IFERROR(UPPER(LEFT(TRIM(INDEX(FormData,$H166,f_Name)),1)&amp;IFERROR(MID(TRIM(INDEX(FormData,$H166,f_Name)),FIND("^",SUBSTITUTE(TRIM(INDEX(FormData,$H166,f_Name))," ","^",LEN(TRIM(INDEX(FormData,$H166,f_Name)))-LEN(SUBSTITUTE(TRIM(INDEX(FormData,$H166,f_Name))," ",""))))+1,1),"")),""))</f>
        <v/>
      </c>
      <c r="E166" s="16">
        <f>IF($H166="","",IFERROR(INDEX(EvID,MATCH(INDEX(FormData,$H166,f_Event),EvID,0)),IFERROR(INDEX(EvID,MATCH(INDEX(FormData,$H166,f_Event),EvName,0)),IFERROR(INDEX(EvID,MATCH(INT($C166),EvDate,0)),"(no event that day)"))))</f>
        <v/>
      </c>
      <c r="F166" s="16">
        <f>IF($H166="","",IFERROR(IF(SUMPRODUCT(MAX((WhoKW&lt;&gt;"")*ISNUMBER(SEARCH(WhoKW,INDEX(FormData,$H166,f_Who)&amp;""))*(ROW(WhoKW)-MIN(ROW(WhoKW))+1)))=0,"",INDEX(WhoVal,SUMPRODUCT(MAX((WhoKW&lt;&gt;"")*ISNUMBER(SEARCH(WhoKW,INDEX(FormData,$H166,f_Who)&amp;""))*(ROW(WhoKW)-MIN(ROW(WhoKW))+1))))),""))</f>
        <v/>
      </c>
      <c r="G166" s="14">
        <f>IF($H166="","",IF(COUNTIF(People!$U$5:$U$604,$B166)+COUNTIF(People!$U$5:$U$604,$B166&amp;"")&gt;0,"✓ logged","→ add"))</f>
        <v/>
      </c>
      <c r="H166">
        <f>IFERROR(IF(INDEX(FormData,163,f_Id)&amp;""="","",163),"")</f>
        <v/>
      </c>
      <c r="I166" s="16">
        <f>IF($H166="","",IFERROR(INDEX(FormData,$H166,f_Need)&amp;"",""))</f>
        <v/>
      </c>
    </row>
    <row r="167">
      <c r="A167" s="14" t="n">
        <v>163</v>
      </c>
      <c r="B167" s="14">
        <f>IF($H167="","",INDEX(FormData,$H167,f_Id))</f>
        <v/>
      </c>
      <c r="C167" s="15">
        <f>IF($H167="","",IFERROR(INDEX(FormData,$H167,f_Time),""))</f>
        <v/>
      </c>
      <c r="D167" s="14">
        <f>IF($H167="","",IFERROR(UPPER(LEFT(TRIM(INDEX(FormData,$H167,f_Name)),1)&amp;IFERROR(MID(TRIM(INDEX(FormData,$H167,f_Name)),FIND("^",SUBSTITUTE(TRIM(INDEX(FormData,$H167,f_Name))," ","^",LEN(TRIM(INDEX(FormData,$H167,f_Name)))-LEN(SUBSTITUTE(TRIM(INDEX(FormData,$H167,f_Name))," ",""))))+1,1),"")),""))</f>
        <v/>
      </c>
      <c r="E167" s="16">
        <f>IF($H167="","",IFERROR(INDEX(EvID,MATCH(INDEX(FormData,$H167,f_Event),EvID,0)),IFERROR(INDEX(EvID,MATCH(INDEX(FormData,$H167,f_Event),EvName,0)),IFERROR(INDEX(EvID,MATCH(INT($C167),EvDate,0)),"(no event that day)"))))</f>
        <v/>
      </c>
      <c r="F167" s="16">
        <f>IF($H167="","",IFERROR(IF(SUMPRODUCT(MAX((WhoKW&lt;&gt;"")*ISNUMBER(SEARCH(WhoKW,INDEX(FormData,$H167,f_Who)&amp;""))*(ROW(WhoKW)-MIN(ROW(WhoKW))+1)))=0,"",INDEX(WhoVal,SUMPRODUCT(MAX((WhoKW&lt;&gt;"")*ISNUMBER(SEARCH(WhoKW,INDEX(FormData,$H167,f_Who)&amp;""))*(ROW(WhoKW)-MIN(ROW(WhoKW))+1))))),""))</f>
        <v/>
      </c>
      <c r="G167" s="14">
        <f>IF($H167="","",IF(COUNTIF(People!$U$5:$U$604,$B167)+COUNTIF(People!$U$5:$U$604,$B167&amp;"")&gt;0,"✓ logged","→ add"))</f>
        <v/>
      </c>
      <c r="H167">
        <f>IFERROR(IF(INDEX(FormData,164,f_Id)&amp;""="","",164),"")</f>
        <v/>
      </c>
      <c r="I167" s="16">
        <f>IF($H167="","",IFERROR(INDEX(FormData,$H167,f_Need)&amp;"",""))</f>
        <v/>
      </c>
    </row>
    <row r="168">
      <c r="A168" s="14" t="n">
        <v>164</v>
      </c>
      <c r="B168" s="14">
        <f>IF($H168="","",INDEX(FormData,$H168,f_Id))</f>
        <v/>
      </c>
      <c r="C168" s="15">
        <f>IF($H168="","",IFERROR(INDEX(FormData,$H168,f_Time),""))</f>
        <v/>
      </c>
      <c r="D168" s="14">
        <f>IF($H168="","",IFERROR(UPPER(LEFT(TRIM(INDEX(FormData,$H168,f_Name)),1)&amp;IFERROR(MID(TRIM(INDEX(FormData,$H168,f_Name)),FIND("^",SUBSTITUTE(TRIM(INDEX(FormData,$H168,f_Name))," ","^",LEN(TRIM(INDEX(FormData,$H168,f_Name)))-LEN(SUBSTITUTE(TRIM(INDEX(FormData,$H168,f_Name))," ",""))))+1,1),"")),""))</f>
        <v/>
      </c>
      <c r="E168" s="16">
        <f>IF($H168="","",IFERROR(INDEX(EvID,MATCH(INDEX(FormData,$H168,f_Event),EvID,0)),IFERROR(INDEX(EvID,MATCH(INDEX(FormData,$H168,f_Event),EvName,0)),IFERROR(INDEX(EvID,MATCH(INT($C168),EvDate,0)),"(no event that day)"))))</f>
        <v/>
      </c>
      <c r="F168" s="16">
        <f>IF($H168="","",IFERROR(IF(SUMPRODUCT(MAX((WhoKW&lt;&gt;"")*ISNUMBER(SEARCH(WhoKW,INDEX(FormData,$H168,f_Who)&amp;""))*(ROW(WhoKW)-MIN(ROW(WhoKW))+1)))=0,"",INDEX(WhoVal,SUMPRODUCT(MAX((WhoKW&lt;&gt;"")*ISNUMBER(SEARCH(WhoKW,INDEX(FormData,$H168,f_Who)&amp;""))*(ROW(WhoKW)-MIN(ROW(WhoKW))+1))))),""))</f>
        <v/>
      </c>
      <c r="G168" s="14">
        <f>IF($H168="","",IF(COUNTIF(People!$U$5:$U$604,$B168)+COUNTIF(People!$U$5:$U$604,$B168&amp;"")&gt;0,"✓ logged","→ add"))</f>
        <v/>
      </c>
      <c r="H168">
        <f>IFERROR(IF(INDEX(FormData,165,f_Id)&amp;""="","",165),"")</f>
        <v/>
      </c>
      <c r="I168" s="16">
        <f>IF($H168="","",IFERROR(INDEX(FormData,$H168,f_Need)&amp;"",""))</f>
        <v/>
      </c>
    </row>
    <row r="169">
      <c r="A169" s="14" t="n">
        <v>165</v>
      </c>
      <c r="B169" s="14">
        <f>IF($H169="","",INDEX(FormData,$H169,f_Id))</f>
        <v/>
      </c>
      <c r="C169" s="15">
        <f>IF($H169="","",IFERROR(INDEX(FormData,$H169,f_Time),""))</f>
        <v/>
      </c>
      <c r="D169" s="14">
        <f>IF($H169="","",IFERROR(UPPER(LEFT(TRIM(INDEX(FormData,$H169,f_Name)),1)&amp;IFERROR(MID(TRIM(INDEX(FormData,$H169,f_Name)),FIND("^",SUBSTITUTE(TRIM(INDEX(FormData,$H169,f_Name))," ","^",LEN(TRIM(INDEX(FormData,$H169,f_Name)))-LEN(SUBSTITUTE(TRIM(INDEX(FormData,$H169,f_Name))," ",""))))+1,1),"")),""))</f>
        <v/>
      </c>
      <c r="E169" s="16">
        <f>IF($H169="","",IFERROR(INDEX(EvID,MATCH(INDEX(FormData,$H169,f_Event),EvID,0)),IFERROR(INDEX(EvID,MATCH(INDEX(FormData,$H169,f_Event),EvName,0)),IFERROR(INDEX(EvID,MATCH(INT($C169),EvDate,0)),"(no event that day)"))))</f>
        <v/>
      </c>
      <c r="F169" s="16">
        <f>IF($H169="","",IFERROR(IF(SUMPRODUCT(MAX((WhoKW&lt;&gt;"")*ISNUMBER(SEARCH(WhoKW,INDEX(FormData,$H169,f_Who)&amp;""))*(ROW(WhoKW)-MIN(ROW(WhoKW))+1)))=0,"",INDEX(WhoVal,SUMPRODUCT(MAX((WhoKW&lt;&gt;"")*ISNUMBER(SEARCH(WhoKW,INDEX(FormData,$H169,f_Who)&amp;""))*(ROW(WhoKW)-MIN(ROW(WhoKW))+1))))),""))</f>
        <v/>
      </c>
      <c r="G169" s="14">
        <f>IF($H169="","",IF(COUNTIF(People!$U$5:$U$604,$B169)+COUNTIF(People!$U$5:$U$604,$B169&amp;"")&gt;0,"✓ logged","→ add"))</f>
        <v/>
      </c>
      <c r="H169">
        <f>IFERROR(IF(INDEX(FormData,166,f_Id)&amp;""="","",166),"")</f>
        <v/>
      </c>
      <c r="I169" s="16">
        <f>IF($H169="","",IFERROR(INDEX(FormData,$H169,f_Need)&amp;"",""))</f>
        <v/>
      </c>
    </row>
    <row r="170">
      <c r="A170" s="14" t="n">
        <v>166</v>
      </c>
      <c r="B170" s="14">
        <f>IF($H170="","",INDEX(FormData,$H170,f_Id))</f>
        <v/>
      </c>
      <c r="C170" s="15">
        <f>IF($H170="","",IFERROR(INDEX(FormData,$H170,f_Time),""))</f>
        <v/>
      </c>
      <c r="D170" s="14">
        <f>IF($H170="","",IFERROR(UPPER(LEFT(TRIM(INDEX(FormData,$H170,f_Name)),1)&amp;IFERROR(MID(TRIM(INDEX(FormData,$H170,f_Name)),FIND("^",SUBSTITUTE(TRIM(INDEX(FormData,$H170,f_Name))," ","^",LEN(TRIM(INDEX(FormData,$H170,f_Name)))-LEN(SUBSTITUTE(TRIM(INDEX(FormData,$H170,f_Name))," ",""))))+1,1),"")),""))</f>
        <v/>
      </c>
      <c r="E170" s="16">
        <f>IF($H170="","",IFERROR(INDEX(EvID,MATCH(INDEX(FormData,$H170,f_Event),EvID,0)),IFERROR(INDEX(EvID,MATCH(INDEX(FormData,$H170,f_Event),EvName,0)),IFERROR(INDEX(EvID,MATCH(INT($C170),EvDate,0)),"(no event that day)"))))</f>
        <v/>
      </c>
      <c r="F170" s="16">
        <f>IF($H170="","",IFERROR(IF(SUMPRODUCT(MAX((WhoKW&lt;&gt;"")*ISNUMBER(SEARCH(WhoKW,INDEX(FormData,$H170,f_Who)&amp;""))*(ROW(WhoKW)-MIN(ROW(WhoKW))+1)))=0,"",INDEX(WhoVal,SUMPRODUCT(MAX((WhoKW&lt;&gt;"")*ISNUMBER(SEARCH(WhoKW,INDEX(FormData,$H170,f_Who)&amp;""))*(ROW(WhoKW)-MIN(ROW(WhoKW))+1))))),""))</f>
        <v/>
      </c>
      <c r="G170" s="14">
        <f>IF($H170="","",IF(COUNTIF(People!$U$5:$U$604,$B170)+COUNTIF(People!$U$5:$U$604,$B170&amp;"")&gt;0,"✓ logged","→ add"))</f>
        <v/>
      </c>
      <c r="H170">
        <f>IFERROR(IF(INDEX(FormData,167,f_Id)&amp;""="","",167),"")</f>
        <v/>
      </c>
      <c r="I170" s="16">
        <f>IF($H170="","",IFERROR(INDEX(FormData,$H170,f_Need)&amp;"",""))</f>
        <v/>
      </c>
    </row>
    <row r="171">
      <c r="A171" s="14" t="n">
        <v>167</v>
      </c>
      <c r="B171" s="14">
        <f>IF($H171="","",INDEX(FormData,$H171,f_Id))</f>
        <v/>
      </c>
      <c r="C171" s="15">
        <f>IF($H171="","",IFERROR(INDEX(FormData,$H171,f_Time),""))</f>
        <v/>
      </c>
      <c r="D171" s="14">
        <f>IF($H171="","",IFERROR(UPPER(LEFT(TRIM(INDEX(FormData,$H171,f_Name)),1)&amp;IFERROR(MID(TRIM(INDEX(FormData,$H171,f_Name)),FIND("^",SUBSTITUTE(TRIM(INDEX(FormData,$H171,f_Name))," ","^",LEN(TRIM(INDEX(FormData,$H171,f_Name)))-LEN(SUBSTITUTE(TRIM(INDEX(FormData,$H171,f_Name))," ",""))))+1,1),"")),""))</f>
        <v/>
      </c>
      <c r="E171" s="16">
        <f>IF($H171="","",IFERROR(INDEX(EvID,MATCH(INDEX(FormData,$H171,f_Event),EvID,0)),IFERROR(INDEX(EvID,MATCH(INDEX(FormData,$H171,f_Event),EvName,0)),IFERROR(INDEX(EvID,MATCH(INT($C171),EvDate,0)),"(no event that day)"))))</f>
        <v/>
      </c>
      <c r="F171" s="16">
        <f>IF($H171="","",IFERROR(IF(SUMPRODUCT(MAX((WhoKW&lt;&gt;"")*ISNUMBER(SEARCH(WhoKW,INDEX(FormData,$H171,f_Who)&amp;""))*(ROW(WhoKW)-MIN(ROW(WhoKW))+1)))=0,"",INDEX(WhoVal,SUMPRODUCT(MAX((WhoKW&lt;&gt;"")*ISNUMBER(SEARCH(WhoKW,INDEX(FormData,$H171,f_Who)&amp;""))*(ROW(WhoKW)-MIN(ROW(WhoKW))+1))))),""))</f>
        <v/>
      </c>
      <c r="G171" s="14">
        <f>IF($H171="","",IF(COUNTIF(People!$U$5:$U$604,$B171)+COUNTIF(People!$U$5:$U$604,$B171&amp;"")&gt;0,"✓ logged","→ add"))</f>
        <v/>
      </c>
      <c r="H171">
        <f>IFERROR(IF(INDEX(FormData,168,f_Id)&amp;""="","",168),"")</f>
        <v/>
      </c>
      <c r="I171" s="16">
        <f>IF($H171="","",IFERROR(INDEX(FormData,$H171,f_Need)&amp;"",""))</f>
        <v/>
      </c>
    </row>
    <row r="172">
      <c r="A172" s="14" t="n">
        <v>168</v>
      </c>
      <c r="B172" s="14">
        <f>IF($H172="","",INDEX(FormData,$H172,f_Id))</f>
        <v/>
      </c>
      <c r="C172" s="15">
        <f>IF($H172="","",IFERROR(INDEX(FormData,$H172,f_Time),""))</f>
        <v/>
      </c>
      <c r="D172" s="14">
        <f>IF($H172="","",IFERROR(UPPER(LEFT(TRIM(INDEX(FormData,$H172,f_Name)),1)&amp;IFERROR(MID(TRIM(INDEX(FormData,$H172,f_Name)),FIND("^",SUBSTITUTE(TRIM(INDEX(FormData,$H172,f_Name))," ","^",LEN(TRIM(INDEX(FormData,$H172,f_Name)))-LEN(SUBSTITUTE(TRIM(INDEX(FormData,$H172,f_Name))," ",""))))+1,1),"")),""))</f>
        <v/>
      </c>
      <c r="E172" s="16">
        <f>IF($H172="","",IFERROR(INDEX(EvID,MATCH(INDEX(FormData,$H172,f_Event),EvID,0)),IFERROR(INDEX(EvID,MATCH(INDEX(FormData,$H172,f_Event),EvName,0)),IFERROR(INDEX(EvID,MATCH(INT($C172),EvDate,0)),"(no event that day)"))))</f>
        <v/>
      </c>
      <c r="F172" s="16">
        <f>IF($H172="","",IFERROR(IF(SUMPRODUCT(MAX((WhoKW&lt;&gt;"")*ISNUMBER(SEARCH(WhoKW,INDEX(FormData,$H172,f_Who)&amp;""))*(ROW(WhoKW)-MIN(ROW(WhoKW))+1)))=0,"",INDEX(WhoVal,SUMPRODUCT(MAX((WhoKW&lt;&gt;"")*ISNUMBER(SEARCH(WhoKW,INDEX(FormData,$H172,f_Who)&amp;""))*(ROW(WhoKW)-MIN(ROW(WhoKW))+1))))),""))</f>
        <v/>
      </c>
      <c r="G172" s="14">
        <f>IF($H172="","",IF(COUNTIF(People!$U$5:$U$604,$B172)+COUNTIF(People!$U$5:$U$604,$B172&amp;"")&gt;0,"✓ logged","→ add"))</f>
        <v/>
      </c>
      <c r="H172">
        <f>IFERROR(IF(INDEX(FormData,169,f_Id)&amp;""="","",169),"")</f>
        <v/>
      </c>
      <c r="I172" s="16">
        <f>IF($H172="","",IFERROR(INDEX(FormData,$H172,f_Need)&amp;"",""))</f>
        <v/>
      </c>
    </row>
    <row r="173">
      <c r="A173" s="14" t="n">
        <v>169</v>
      </c>
      <c r="B173" s="14">
        <f>IF($H173="","",INDEX(FormData,$H173,f_Id))</f>
        <v/>
      </c>
      <c r="C173" s="15">
        <f>IF($H173="","",IFERROR(INDEX(FormData,$H173,f_Time),""))</f>
        <v/>
      </c>
      <c r="D173" s="14">
        <f>IF($H173="","",IFERROR(UPPER(LEFT(TRIM(INDEX(FormData,$H173,f_Name)),1)&amp;IFERROR(MID(TRIM(INDEX(FormData,$H173,f_Name)),FIND("^",SUBSTITUTE(TRIM(INDEX(FormData,$H173,f_Name))," ","^",LEN(TRIM(INDEX(FormData,$H173,f_Name)))-LEN(SUBSTITUTE(TRIM(INDEX(FormData,$H173,f_Name))," ",""))))+1,1),"")),""))</f>
        <v/>
      </c>
      <c r="E173" s="16">
        <f>IF($H173="","",IFERROR(INDEX(EvID,MATCH(INDEX(FormData,$H173,f_Event),EvID,0)),IFERROR(INDEX(EvID,MATCH(INDEX(FormData,$H173,f_Event),EvName,0)),IFERROR(INDEX(EvID,MATCH(INT($C173),EvDate,0)),"(no event that day)"))))</f>
        <v/>
      </c>
      <c r="F173" s="16">
        <f>IF($H173="","",IFERROR(IF(SUMPRODUCT(MAX((WhoKW&lt;&gt;"")*ISNUMBER(SEARCH(WhoKW,INDEX(FormData,$H173,f_Who)&amp;""))*(ROW(WhoKW)-MIN(ROW(WhoKW))+1)))=0,"",INDEX(WhoVal,SUMPRODUCT(MAX((WhoKW&lt;&gt;"")*ISNUMBER(SEARCH(WhoKW,INDEX(FormData,$H173,f_Who)&amp;""))*(ROW(WhoKW)-MIN(ROW(WhoKW))+1))))),""))</f>
        <v/>
      </c>
      <c r="G173" s="14">
        <f>IF($H173="","",IF(COUNTIF(People!$U$5:$U$604,$B173)+COUNTIF(People!$U$5:$U$604,$B173&amp;"")&gt;0,"✓ logged","→ add"))</f>
        <v/>
      </c>
      <c r="H173">
        <f>IFERROR(IF(INDEX(FormData,170,f_Id)&amp;""="","",170),"")</f>
        <v/>
      </c>
      <c r="I173" s="16">
        <f>IF($H173="","",IFERROR(INDEX(FormData,$H173,f_Need)&amp;"",""))</f>
        <v/>
      </c>
    </row>
    <row r="174">
      <c r="A174" s="14" t="n">
        <v>170</v>
      </c>
      <c r="B174" s="14">
        <f>IF($H174="","",INDEX(FormData,$H174,f_Id))</f>
        <v/>
      </c>
      <c r="C174" s="15">
        <f>IF($H174="","",IFERROR(INDEX(FormData,$H174,f_Time),""))</f>
        <v/>
      </c>
      <c r="D174" s="14">
        <f>IF($H174="","",IFERROR(UPPER(LEFT(TRIM(INDEX(FormData,$H174,f_Name)),1)&amp;IFERROR(MID(TRIM(INDEX(FormData,$H174,f_Name)),FIND("^",SUBSTITUTE(TRIM(INDEX(FormData,$H174,f_Name))," ","^",LEN(TRIM(INDEX(FormData,$H174,f_Name)))-LEN(SUBSTITUTE(TRIM(INDEX(FormData,$H174,f_Name))," ",""))))+1,1),"")),""))</f>
        <v/>
      </c>
      <c r="E174" s="16">
        <f>IF($H174="","",IFERROR(INDEX(EvID,MATCH(INDEX(FormData,$H174,f_Event),EvID,0)),IFERROR(INDEX(EvID,MATCH(INDEX(FormData,$H174,f_Event),EvName,0)),IFERROR(INDEX(EvID,MATCH(INT($C174),EvDate,0)),"(no event that day)"))))</f>
        <v/>
      </c>
      <c r="F174" s="16">
        <f>IF($H174="","",IFERROR(IF(SUMPRODUCT(MAX((WhoKW&lt;&gt;"")*ISNUMBER(SEARCH(WhoKW,INDEX(FormData,$H174,f_Who)&amp;""))*(ROW(WhoKW)-MIN(ROW(WhoKW))+1)))=0,"",INDEX(WhoVal,SUMPRODUCT(MAX((WhoKW&lt;&gt;"")*ISNUMBER(SEARCH(WhoKW,INDEX(FormData,$H174,f_Who)&amp;""))*(ROW(WhoKW)-MIN(ROW(WhoKW))+1))))),""))</f>
        <v/>
      </c>
      <c r="G174" s="14">
        <f>IF($H174="","",IF(COUNTIF(People!$U$5:$U$604,$B174)+COUNTIF(People!$U$5:$U$604,$B174&amp;"")&gt;0,"✓ logged","→ add"))</f>
        <v/>
      </c>
      <c r="H174">
        <f>IFERROR(IF(INDEX(FormData,171,f_Id)&amp;""="","",171),"")</f>
        <v/>
      </c>
      <c r="I174" s="16">
        <f>IF($H174="","",IFERROR(INDEX(FormData,$H174,f_Need)&amp;"",""))</f>
        <v/>
      </c>
    </row>
    <row r="175">
      <c r="A175" s="14" t="n">
        <v>171</v>
      </c>
      <c r="B175" s="14">
        <f>IF($H175="","",INDEX(FormData,$H175,f_Id))</f>
        <v/>
      </c>
      <c r="C175" s="15">
        <f>IF($H175="","",IFERROR(INDEX(FormData,$H175,f_Time),""))</f>
        <v/>
      </c>
      <c r="D175" s="14">
        <f>IF($H175="","",IFERROR(UPPER(LEFT(TRIM(INDEX(FormData,$H175,f_Name)),1)&amp;IFERROR(MID(TRIM(INDEX(FormData,$H175,f_Name)),FIND("^",SUBSTITUTE(TRIM(INDEX(FormData,$H175,f_Name))," ","^",LEN(TRIM(INDEX(FormData,$H175,f_Name)))-LEN(SUBSTITUTE(TRIM(INDEX(FormData,$H175,f_Name))," ",""))))+1,1),"")),""))</f>
        <v/>
      </c>
      <c r="E175" s="16">
        <f>IF($H175="","",IFERROR(INDEX(EvID,MATCH(INDEX(FormData,$H175,f_Event),EvID,0)),IFERROR(INDEX(EvID,MATCH(INDEX(FormData,$H175,f_Event),EvName,0)),IFERROR(INDEX(EvID,MATCH(INT($C175),EvDate,0)),"(no event that day)"))))</f>
        <v/>
      </c>
      <c r="F175" s="16">
        <f>IF($H175="","",IFERROR(IF(SUMPRODUCT(MAX((WhoKW&lt;&gt;"")*ISNUMBER(SEARCH(WhoKW,INDEX(FormData,$H175,f_Who)&amp;""))*(ROW(WhoKW)-MIN(ROW(WhoKW))+1)))=0,"",INDEX(WhoVal,SUMPRODUCT(MAX((WhoKW&lt;&gt;"")*ISNUMBER(SEARCH(WhoKW,INDEX(FormData,$H175,f_Who)&amp;""))*(ROW(WhoKW)-MIN(ROW(WhoKW))+1))))),""))</f>
        <v/>
      </c>
      <c r="G175" s="14">
        <f>IF($H175="","",IF(COUNTIF(People!$U$5:$U$604,$B175)+COUNTIF(People!$U$5:$U$604,$B175&amp;"")&gt;0,"✓ logged","→ add"))</f>
        <v/>
      </c>
      <c r="H175">
        <f>IFERROR(IF(INDEX(FormData,172,f_Id)&amp;""="","",172),"")</f>
        <v/>
      </c>
      <c r="I175" s="16">
        <f>IF($H175="","",IFERROR(INDEX(FormData,$H175,f_Need)&amp;"",""))</f>
        <v/>
      </c>
    </row>
    <row r="176">
      <c r="A176" s="14" t="n">
        <v>172</v>
      </c>
      <c r="B176" s="14">
        <f>IF($H176="","",INDEX(FormData,$H176,f_Id))</f>
        <v/>
      </c>
      <c r="C176" s="15">
        <f>IF($H176="","",IFERROR(INDEX(FormData,$H176,f_Time),""))</f>
        <v/>
      </c>
      <c r="D176" s="14">
        <f>IF($H176="","",IFERROR(UPPER(LEFT(TRIM(INDEX(FormData,$H176,f_Name)),1)&amp;IFERROR(MID(TRIM(INDEX(FormData,$H176,f_Name)),FIND("^",SUBSTITUTE(TRIM(INDEX(FormData,$H176,f_Name))," ","^",LEN(TRIM(INDEX(FormData,$H176,f_Name)))-LEN(SUBSTITUTE(TRIM(INDEX(FormData,$H176,f_Name))," ",""))))+1,1),"")),""))</f>
        <v/>
      </c>
      <c r="E176" s="16">
        <f>IF($H176="","",IFERROR(INDEX(EvID,MATCH(INDEX(FormData,$H176,f_Event),EvID,0)),IFERROR(INDEX(EvID,MATCH(INDEX(FormData,$H176,f_Event),EvName,0)),IFERROR(INDEX(EvID,MATCH(INT($C176),EvDate,0)),"(no event that day)"))))</f>
        <v/>
      </c>
      <c r="F176" s="16">
        <f>IF($H176="","",IFERROR(IF(SUMPRODUCT(MAX((WhoKW&lt;&gt;"")*ISNUMBER(SEARCH(WhoKW,INDEX(FormData,$H176,f_Who)&amp;""))*(ROW(WhoKW)-MIN(ROW(WhoKW))+1)))=0,"",INDEX(WhoVal,SUMPRODUCT(MAX((WhoKW&lt;&gt;"")*ISNUMBER(SEARCH(WhoKW,INDEX(FormData,$H176,f_Who)&amp;""))*(ROW(WhoKW)-MIN(ROW(WhoKW))+1))))),""))</f>
        <v/>
      </c>
      <c r="G176" s="14">
        <f>IF($H176="","",IF(COUNTIF(People!$U$5:$U$604,$B176)+COUNTIF(People!$U$5:$U$604,$B176&amp;"")&gt;0,"✓ logged","→ add"))</f>
        <v/>
      </c>
      <c r="H176">
        <f>IFERROR(IF(INDEX(FormData,173,f_Id)&amp;""="","",173),"")</f>
        <v/>
      </c>
      <c r="I176" s="16">
        <f>IF($H176="","",IFERROR(INDEX(FormData,$H176,f_Need)&amp;"",""))</f>
        <v/>
      </c>
    </row>
    <row r="177">
      <c r="A177" s="14" t="n">
        <v>173</v>
      </c>
      <c r="B177" s="14">
        <f>IF($H177="","",INDEX(FormData,$H177,f_Id))</f>
        <v/>
      </c>
      <c r="C177" s="15">
        <f>IF($H177="","",IFERROR(INDEX(FormData,$H177,f_Time),""))</f>
        <v/>
      </c>
      <c r="D177" s="14">
        <f>IF($H177="","",IFERROR(UPPER(LEFT(TRIM(INDEX(FormData,$H177,f_Name)),1)&amp;IFERROR(MID(TRIM(INDEX(FormData,$H177,f_Name)),FIND("^",SUBSTITUTE(TRIM(INDEX(FormData,$H177,f_Name))," ","^",LEN(TRIM(INDEX(FormData,$H177,f_Name)))-LEN(SUBSTITUTE(TRIM(INDEX(FormData,$H177,f_Name))," ",""))))+1,1),"")),""))</f>
        <v/>
      </c>
      <c r="E177" s="16">
        <f>IF($H177="","",IFERROR(INDEX(EvID,MATCH(INDEX(FormData,$H177,f_Event),EvID,0)),IFERROR(INDEX(EvID,MATCH(INDEX(FormData,$H177,f_Event),EvName,0)),IFERROR(INDEX(EvID,MATCH(INT($C177),EvDate,0)),"(no event that day)"))))</f>
        <v/>
      </c>
      <c r="F177" s="16">
        <f>IF($H177="","",IFERROR(IF(SUMPRODUCT(MAX((WhoKW&lt;&gt;"")*ISNUMBER(SEARCH(WhoKW,INDEX(FormData,$H177,f_Who)&amp;""))*(ROW(WhoKW)-MIN(ROW(WhoKW))+1)))=0,"",INDEX(WhoVal,SUMPRODUCT(MAX((WhoKW&lt;&gt;"")*ISNUMBER(SEARCH(WhoKW,INDEX(FormData,$H177,f_Who)&amp;""))*(ROW(WhoKW)-MIN(ROW(WhoKW))+1))))),""))</f>
        <v/>
      </c>
      <c r="G177" s="14">
        <f>IF($H177="","",IF(COUNTIF(People!$U$5:$U$604,$B177)+COUNTIF(People!$U$5:$U$604,$B177&amp;"")&gt;0,"✓ logged","→ add"))</f>
        <v/>
      </c>
      <c r="H177">
        <f>IFERROR(IF(INDEX(FormData,174,f_Id)&amp;""="","",174),"")</f>
        <v/>
      </c>
      <c r="I177" s="16">
        <f>IF($H177="","",IFERROR(INDEX(FormData,$H177,f_Need)&amp;"",""))</f>
        <v/>
      </c>
    </row>
    <row r="178">
      <c r="A178" s="14" t="n">
        <v>174</v>
      </c>
      <c r="B178" s="14">
        <f>IF($H178="","",INDEX(FormData,$H178,f_Id))</f>
        <v/>
      </c>
      <c r="C178" s="15">
        <f>IF($H178="","",IFERROR(INDEX(FormData,$H178,f_Time),""))</f>
        <v/>
      </c>
      <c r="D178" s="14">
        <f>IF($H178="","",IFERROR(UPPER(LEFT(TRIM(INDEX(FormData,$H178,f_Name)),1)&amp;IFERROR(MID(TRIM(INDEX(FormData,$H178,f_Name)),FIND("^",SUBSTITUTE(TRIM(INDEX(FormData,$H178,f_Name))," ","^",LEN(TRIM(INDEX(FormData,$H178,f_Name)))-LEN(SUBSTITUTE(TRIM(INDEX(FormData,$H178,f_Name))," ",""))))+1,1),"")),""))</f>
        <v/>
      </c>
      <c r="E178" s="16">
        <f>IF($H178="","",IFERROR(INDEX(EvID,MATCH(INDEX(FormData,$H178,f_Event),EvID,0)),IFERROR(INDEX(EvID,MATCH(INDEX(FormData,$H178,f_Event),EvName,0)),IFERROR(INDEX(EvID,MATCH(INT($C178),EvDate,0)),"(no event that day)"))))</f>
        <v/>
      </c>
      <c r="F178" s="16">
        <f>IF($H178="","",IFERROR(IF(SUMPRODUCT(MAX((WhoKW&lt;&gt;"")*ISNUMBER(SEARCH(WhoKW,INDEX(FormData,$H178,f_Who)&amp;""))*(ROW(WhoKW)-MIN(ROW(WhoKW))+1)))=0,"",INDEX(WhoVal,SUMPRODUCT(MAX((WhoKW&lt;&gt;"")*ISNUMBER(SEARCH(WhoKW,INDEX(FormData,$H178,f_Who)&amp;""))*(ROW(WhoKW)-MIN(ROW(WhoKW))+1))))),""))</f>
        <v/>
      </c>
      <c r="G178" s="14">
        <f>IF($H178="","",IF(COUNTIF(People!$U$5:$U$604,$B178)+COUNTIF(People!$U$5:$U$604,$B178&amp;"")&gt;0,"✓ logged","→ add"))</f>
        <v/>
      </c>
      <c r="H178">
        <f>IFERROR(IF(INDEX(FormData,175,f_Id)&amp;""="","",175),"")</f>
        <v/>
      </c>
      <c r="I178" s="16">
        <f>IF($H178="","",IFERROR(INDEX(FormData,$H178,f_Need)&amp;"",""))</f>
        <v/>
      </c>
    </row>
    <row r="179">
      <c r="A179" s="14" t="n">
        <v>175</v>
      </c>
      <c r="B179" s="14">
        <f>IF($H179="","",INDEX(FormData,$H179,f_Id))</f>
        <v/>
      </c>
      <c r="C179" s="15">
        <f>IF($H179="","",IFERROR(INDEX(FormData,$H179,f_Time),""))</f>
        <v/>
      </c>
      <c r="D179" s="14">
        <f>IF($H179="","",IFERROR(UPPER(LEFT(TRIM(INDEX(FormData,$H179,f_Name)),1)&amp;IFERROR(MID(TRIM(INDEX(FormData,$H179,f_Name)),FIND("^",SUBSTITUTE(TRIM(INDEX(FormData,$H179,f_Name))," ","^",LEN(TRIM(INDEX(FormData,$H179,f_Name)))-LEN(SUBSTITUTE(TRIM(INDEX(FormData,$H179,f_Name))," ",""))))+1,1),"")),""))</f>
        <v/>
      </c>
      <c r="E179" s="16">
        <f>IF($H179="","",IFERROR(INDEX(EvID,MATCH(INDEX(FormData,$H179,f_Event),EvID,0)),IFERROR(INDEX(EvID,MATCH(INDEX(FormData,$H179,f_Event),EvName,0)),IFERROR(INDEX(EvID,MATCH(INT($C179),EvDate,0)),"(no event that day)"))))</f>
        <v/>
      </c>
      <c r="F179" s="16">
        <f>IF($H179="","",IFERROR(IF(SUMPRODUCT(MAX((WhoKW&lt;&gt;"")*ISNUMBER(SEARCH(WhoKW,INDEX(FormData,$H179,f_Who)&amp;""))*(ROW(WhoKW)-MIN(ROW(WhoKW))+1)))=0,"",INDEX(WhoVal,SUMPRODUCT(MAX((WhoKW&lt;&gt;"")*ISNUMBER(SEARCH(WhoKW,INDEX(FormData,$H179,f_Who)&amp;""))*(ROW(WhoKW)-MIN(ROW(WhoKW))+1))))),""))</f>
        <v/>
      </c>
      <c r="G179" s="14">
        <f>IF($H179="","",IF(COUNTIF(People!$U$5:$U$604,$B179)+COUNTIF(People!$U$5:$U$604,$B179&amp;"")&gt;0,"✓ logged","→ add"))</f>
        <v/>
      </c>
      <c r="H179">
        <f>IFERROR(IF(INDEX(FormData,176,f_Id)&amp;""="","",176),"")</f>
        <v/>
      </c>
      <c r="I179" s="16">
        <f>IF($H179="","",IFERROR(INDEX(FormData,$H179,f_Need)&amp;"",""))</f>
        <v/>
      </c>
    </row>
    <row r="180">
      <c r="A180" s="14" t="n">
        <v>176</v>
      </c>
      <c r="B180" s="14">
        <f>IF($H180="","",INDEX(FormData,$H180,f_Id))</f>
        <v/>
      </c>
      <c r="C180" s="15">
        <f>IF($H180="","",IFERROR(INDEX(FormData,$H180,f_Time),""))</f>
        <v/>
      </c>
      <c r="D180" s="14">
        <f>IF($H180="","",IFERROR(UPPER(LEFT(TRIM(INDEX(FormData,$H180,f_Name)),1)&amp;IFERROR(MID(TRIM(INDEX(FormData,$H180,f_Name)),FIND("^",SUBSTITUTE(TRIM(INDEX(FormData,$H180,f_Name))," ","^",LEN(TRIM(INDEX(FormData,$H180,f_Name)))-LEN(SUBSTITUTE(TRIM(INDEX(FormData,$H180,f_Name))," ",""))))+1,1),"")),""))</f>
        <v/>
      </c>
      <c r="E180" s="16">
        <f>IF($H180="","",IFERROR(INDEX(EvID,MATCH(INDEX(FormData,$H180,f_Event),EvID,0)),IFERROR(INDEX(EvID,MATCH(INDEX(FormData,$H180,f_Event),EvName,0)),IFERROR(INDEX(EvID,MATCH(INT($C180),EvDate,0)),"(no event that day)"))))</f>
        <v/>
      </c>
      <c r="F180" s="16">
        <f>IF($H180="","",IFERROR(IF(SUMPRODUCT(MAX((WhoKW&lt;&gt;"")*ISNUMBER(SEARCH(WhoKW,INDEX(FormData,$H180,f_Who)&amp;""))*(ROW(WhoKW)-MIN(ROW(WhoKW))+1)))=0,"",INDEX(WhoVal,SUMPRODUCT(MAX((WhoKW&lt;&gt;"")*ISNUMBER(SEARCH(WhoKW,INDEX(FormData,$H180,f_Who)&amp;""))*(ROW(WhoKW)-MIN(ROW(WhoKW))+1))))),""))</f>
        <v/>
      </c>
      <c r="G180" s="14">
        <f>IF($H180="","",IF(COUNTIF(People!$U$5:$U$604,$B180)+COUNTIF(People!$U$5:$U$604,$B180&amp;"")&gt;0,"✓ logged","→ add"))</f>
        <v/>
      </c>
      <c r="H180">
        <f>IFERROR(IF(INDEX(FormData,177,f_Id)&amp;""="","",177),"")</f>
        <v/>
      </c>
      <c r="I180" s="16">
        <f>IF($H180="","",IFERROR(INDEX(FormData,$H180,f_Need)&amp;"",""))</f>
        <v/>
      </c>
    </row>
    <row r="181">
      <c r="A181" s="14" t="n">
        <v>177</v>
      </c>
      <c r="B181" s="14">
        <f>IF($H181="","",INDEX(FormData,$H181,f_Id))</f>
        <v/>
      </c>
      <c r="C181" s="15">
        <f>IF($H181="","",IFERROR(INDEX(FormData,$H181,f_Time),""))</f>
        <v/>
      </c>
      <c r="D181" s="14">
        <f>IF($H181="","",IFERROR(UPPER(LEFT(TRIM(INDEX(FormData,$H181,f_Name)),1)&amp;IFERROR(MID(TRIM(INDEX(FormData,$H181,f_Name)),FIND("^",SUBSTITUTE(TRIM(INDEX(FormData,$H181,f_Name))," ","^",LEN(TRIM(INDEX(FormData,$H181,f_Name)))-LEN(SUBSTITUTE(TRIM(INDEX(FormData,$H181,f_Name))," ",""))))+1,1),"")),""))</f>
        <v/>
      </c>
      <c r="E181" s="16">
        <f>IF($H181="","",IFERROR(INDEX(EvID,MATCH(INDEX(FormData,$H181,f_Event),EvID,0)),IFERROR(INDEX(EvID,MATCH(INDEX(FormData,$H181,f_Event),EvName,0)),IFERROR(INDEX(EvID,MATCH(INT($C181),EvDate,0)),"(no event that day)"))))</f>
        <v/>
      </c>
      <c r="F181" s="16">
        <f>IF($H181="","",IFERROR(IF(SUMPRODUCT(MAX((WhoKW&lt;&gt;"")*ISNUMBER(SEARCH(WhoKW,INDEX(FormData,$H181,f_Who)&amp;""))*(ROW(WhoKW)-MIN(ROW(WhoKW))+1)))=0,"",INDEX(WhoVal,SUMPRODUCT(MAX((WhoKW&lt;&gt;"")*ISNUMBER(SEARCH(WhoKW,INDEX(FormData,$H181,f_Who)&amp;""))*(ROW(WhoKW)-MIN(ROW(WhoKW))+1))))),""))</f>
        <v/>
      </c>
      <c r="G181" s="14">
        <f>IF($H181="","",IF(COUNTIF(People!$U$5:$U$604,$B181)+COUNTIF(People!$U$5:$U$604,$B181&amp;"")&gt;0,"✓ logged","→ add"))</f>
        <v/>
      </c>
      <c r="H181">
        <f>IFERROR(IF(INDEX(FormData,178,f_Id)&amp;""="","",178),"")</f>
        <v/>
      </c>
      <c r="I181" s="16">
        <f>IF($H181="","",IFERROR(INDEX(FormData,$H181,f_Need)&amp;"",""))</f>
        <v/>
      </c>
    </row>
    <row r="182">
      <c r="A182" s="14" t="n">
        <v>178</v>
      </c>
      <c r="B182" s="14">
        <f>IF($H182="","",INDEX(FormData,$H182,f_Id))</f>
        <v/>
      </c>
      <c r="C182" s="15">
        <f>IF($H182="","",IFERROR(INDEX(FormData,$H182,f_Time),""))</f>
        <v/>
      </c>
      <c r="D182" s="14">
        <f>IF($H182="","",IFERROR(UPPER(LEFT(TRIM(INDEX(FormData,$H182,f_Name)),1)&amp;IFERROR(MID(TRIM(INDEX(FormData,$H182,f_Name)),FIND("^",SUBSTITUTE(TRIM(INDEX(FormData,$H182,f_Name))," ","^",LEN(TRIM(INDEX(FormData,$H182,f_Name)))-LEN(SUBSTITUTE(TRIM(INDEX(FormData,$H182,f_Name))," ",""))))+1,1),"")),""))</f>
        <v/>
      </c>
      <c r="E182" s="16">
        <f>IF($H182="","",IFERROR(INDEX(EvID,MATCH(INDEX(FormData,$H182,f_Event),EvID,0)),IFERROR(INDEX(EvID,MATCH(INDEX(FormData,$H182,f_Event),EvName,0)),IFERROR(INDEX(EvID,MATCH(INT($C182),EvDate,0)),"(no event that day)"))))</f>
        <v/>
      </c>
      <c r="F182" s="16">
        <f>IF($H182="","",IFERROR(IF(SUMPRODUCT(MAX((WhoKW&lt;&gt;"")*ISNUMBER(SEARCH(WhoKW,INDEX(FormData,$H182,f_Who)&amp;""))*(ROW(WhoKW)-MIN(ROW(WhoKW))+1)))=0,"",INDEX(WhoVal,SUMPRODUCT(MAX((WhoKW&lt;&gt;"")*ISNUMBER(SEARCH(WhoKW,INDEX(FormData,$H182,f_Who)&amp;""))*(ROW(WhoKW)-MIN(ROW(WhoKW))+1))))),""))</f>
        <v/>
      </c>
      <c r="G182" s="14">
        <f>IF($H182="","",IF(COUNTIF(People!$U$5:$U$604,$B182)+COUNTIF(People!$U$5:$U$604,$B182&amp;"")&gt;0,"✓ logged","→ add"))</f>
        <v/>
      </c>
      <c r="H182">
        <f>IFERROR(IF(INDEX(FormData,179,f_Id)&amp;""="","",179),"")</f>
        <v/>
      </c>
      <c r="I182" s="16">
        <f>IF($H182="","",IFERROR(INDEX(FormData,$H182,f_Need)&amp;"",""))</f>
        <v/>
      </c>
    </row>
    <row r="183">
      <c r="A183" s="14" t="n">
        <v>179</v>
      </c>
      <c r="B183" s="14">
        <f>IF($H183="","",INDEX(FormData,$H183,f_Id))</f>
        <v/>
      </c>
      <c r="C183" s="15">
        <f>IF($H183="","",IFERROR(INDEX(FormData,$H183,f_Time),""))</f>
        <v/>
      </c>
      <c r="D183" s="14">
        <f>IF($H183="","",IFERROR(UPPER(LEFT(TRIM(INDEX(FormData,$H183,f_Name)),1)&amp;IFERROR(MID(TRIM(INDEX(FormData,$H183,f_Name)),FIND("^",SUBSTITUTE(TRIM(INDEX(FormData,$H183,f_Name))," ","^",LEN(TRIM(INDEX(FormData,$H183,f_Name)))-LEN(SUBSTITUTE(TRIM(INDEX(FormData,$H183,f_Name))," ",""))))+1,1),"")),""))</f>
        <v/>
      </c>
      <c r="E183" s="16">
        <f>IF($H183="","",IFERROR(INDEX(EvID,MATCH(INDEX(FormData,$H183,f_Event),EvID,0)),IFERROR(INDEX(EvID,MATCH(INDEX(FormData,$H183,f_Event),EvName,0)),IFERROR(INDEX(EvID,MATCH(INT($C183),EvDate,0)),"(no event that day)"))))</f>
        <v/>
      </c>
      <c r="F183" s="16">
        <f>IF($H183="","",IFERROR(IF(SUMPRODUCT(MAX((WhoKW&lt;&gt;"")*ISNUMBER(SEARCH(WhoKW,INDEX(FormData,$H183,f_Who)&amp;""))*(ROW(WhoKW)-MIN(ROW(WhoKW))+1)))=0,"",INDEX(WhoVal,SUMPRODUCT(MAX((WhoKW&lt;&gt;"")*ISNUMBER(SEARCH(WhoKW,INDEX(FormData,$H183,f_Who)&amp;""))*(ROW(WhoKW)-MIN(ROW(WhoKW))+1))))),""))</f>
        <v/>
      </c>
      <c r="G183" s="14">
        <f>IF($H183="","",IF(COUNTIF(People!$U$5:$U$604,$B183)+COUNTIF(People!$U$5:$U$604,$B183&amp;"")&gt;0,"✓ logged","→ add"))</f>
        <v/>
      </c>
      <c r="H183">
        <f>IFERROR(IF(INDEX(FormData,180,f_Id)&amp;""="","",180),"")</f>
        <v/>
      </c>
      <c r="I183" s="16">
        <f>IF($H183="","",IFERROR(INDEX(FormData,$H183,f_Need)&amp;"",""))</f>
        <v/>
      </c>
    </row>
    <row r="184">
      <c r="A184" s="14" t="n">
        <v>180</v>
      </c>
      <c r="B184" s="14">
        <f>IF($H184="","",INDEX(FormData,$H184,f_Id))</f>
        <v/>
      </c>
      <c r="C184" s="15">
        <f>IF($H184="","",IFERROR(INDEX(FormData,$H184,f_Time),""))</f>
        <v/>
      </c>
      <c r="D184" s="14">
        <f>IF($H184="","",IFERROR(UPPER(LEFT(TRIM(INDEX(FormData,$H184,f_Name)),1)&amp;IFERROR(MID(TRIM(INDEX(FormData,$H184,f_Name)),FIND("^",SUBSTITUTE(TRIM(INDEX(FormData,$H184,f_Name))," ","^",LEN(TRIM(INDEX(FormData,$H184,f_Name)))-LEN(SUBSTITUTE(TRIM(INDEX(FormData,$H184,f_Name))," ",""))))+1,1),"")),""))</f>
        <v/>
      </c>
      <c r="E184" s="16">
        <f>IF($H184="","",IFERROR(INDEX(EvID,MATCH(INDEX(FormData,$H184,f_Event),EvID,0)),IFERROR(INDEX(EvID,MATCH(INDEX(FormData,$H184,f_Event),EvName,0)),IFERROR(INDEX(EvID,MATCH(INT($C184),EvDate,0)),"(no event that day)"))))</f>
        <v/>
      </c>
      <c r="F184" s="16">
        <f>IF($H184="","",IFERROR(IF(SUMPRODUCT(MAX((WhoKW&lt;&gt;"")*ISNUMBER(SEARCH(WhoKW,INDEX(FormData,$H184,f_Who)&amp;""))*(ROW(WhoKW)-MIN(ROW(WhoKW))+1)))=0,"",INDEX(WhoVal,SUMPRODUCT(MAX((WhoKW&lt;&gt;"")*ISNUMBER(SEARCH(WhoKW,INDEX(FormData,$H184,f_Who)&amp;""))*(ROW(WhoKW)-MIN(ROW(WhoKW))+1))))),""))</f>
        <v/>
      </c>
      <c r="G184" s="14">
        <f>IF($H184="","",IF(COUNTIF(People!$U$5:$U$604,$B184)+COUNTIF(People!$U$5:$U$604,$B184&amp;"")&gt;0,"✓ logged","→ add"))</f>
        <v/>
      </c>
      <c r="H184">
        <f>IFERROR(IF(INDEX(FormData,181,f_Id)&amp;""="","",181),"")</f>
        <v/>
      </c>
      <c r="I184" s="16">
        <f>IF($H184="","",IFERROR(INDEX(FormData,$H184,f_Need)&amp;"",""))</f>
        <v/>
      </c>
    </row>
    <row r="185">
      <c r="A185" s="14" t="n">
        <v>181</v>
      </c>
      <c r="B185" s="14">
        <f>IF($H185="","",INDEX(FormData,$H185,f_Id))</f>
        <v/>
      </c>
      <c r="C185" s="15">
        <f>IF($H185="","",IFERROR(INDEX(FormData,$H185,f_Time),""))</f>
        <v/>
      </c>
      <c r="D185" s="14">
        <f>IF($H185="","",IFERROR(UPPER(LEFT(TRIM(INDEX(FormData,$H185,f_Name)),1)&amp;IFERROR(MID(TRIM(INDEX(FormData,$H185,f_Name)),FIND("^",SUBSTITUTE(TRIM(INDEX(FormData,$H185,f_Name))," ","^",LEN(TRIM(INDEX(FormData,$H185,f_Name)))-LEN(SUBSTITUTE(TRIM(INDEX(FormData,$H185,f_Name))," ",""))))+1,1),"")),""))</f>
        <v/>
      </c>
      <c r="E185" s="16">
        <f>IF($H185="","",IFERROR(INDEX(EvID,MATCH(INDEX(FormData,$H185,f_Event),EvID,0)),IFERROR(INDEX(EvID,MATCH(INDEX(FormData,$H185,f_Event),EvName,0)),IFERROR(INDEX(EvID,MATCH(INT($C185),EvDate,0)),"(no event that day)"))))</f>
        <v/>
      </c>
      <c r="F185" s="16">
        <f>IF($H185="","",IFERROR(IF(SUMPRODUCT(MAX((WhoKW&lt;&gt;"")*ISNUMBER(SEARCH(WhoKW,INDEX(FormData,$H185,f_Who)&amp;""))*(ROW(WhoKW)-MIN(ROW(WhoKW))+1)))=0,"",INDEX(WhoVal,SUMPRODUCT(MAX((WhoKW&lt;&gt;"")*ISNUMBER(SEARCH(WhoKW,INDEX(FormData,$H185,f_Who)&amp;""))*(ROW(WhoKW)-MIN(ROW(WhoKW))+1))))),""))</f>
        <v/>
      </c>
      <c r="G185" s="14">
        <f>IF($H185="","",IF(COUNTIF(People!$U$5:$U$604,$B185)+COUNTIF(People!$U$5:$U$604,$B185&amp;"")&gt;0,"✓ logged","→ add"))</f>
        <v/>
      </c>
      <c r="H185">
        <f>IFERROR(IF(INDEX(FormData,182,f_Id)&amp;""="","",182),"")</f>
        <v/>
      </c>
      <c r="I185" s="16">
        <f>IF($H185="","",IFERROR(INDEX(FormData,$H185,f_Need)&amp;"",""))</f>
        <v/>
      </c>
    </row>
    <row r="186">
      <c r="A186" s="14" t="n">
        <v>182</v>
      </c>
      <c r="B186" s="14">
        <f>IF($H186="","",INDEX(FormData,$H186,f_Id))</f>
        <v/>
      </c>
      <c r="C186" s="15">
        <f>IF($H186="","",IFERROR(INDEX(FormData,$H186,f_Time),""))</f>
        <v/>
      </c>
      <c r="D186" s="14">
        <f>IF($H186="","",IFERROR(UPPER(LEFT(TRIM(INDEX(FormData,$H186,f_Name)),1)&amp;IFERROR(MID(TRIM(INDEX(FormData,$H186,f_Name)),FIND("^",SUBSTITUTE(TRIM(INDEX(FormData,$H186,f_Name))," ","^",LEN(TRIM(INDEX(FormData,$H186,f_Name)))-LEN(SUBSTITUTE(TRIM(INDEX(FormData,$H186,f_Name))," ",""))))+1,1),"")),""))</f>
        <v/>
      </c>
      <c r="E186" s="16">
        <f>IF($H186="","",IFERROR(INDEX(EvID,MATCH(INDEX(FormData,$H186,f_Event),EvID,0)),IFERROR(INDEX(EvID,MATCH(INDEX(FormData,$H186,f_Event),EvName,0)),IFERROR(INDEX(EvID,MATCH(INT($C186),EvDate,0)),"(no event that day)"))))</f>
        <v/>
      </c>
      <c r="F186" s="16">
        <f>IF($H186="","",IFERROR(IF(SUMPRODUCT(MAX((WhoKW&lt;&gt;"")*ISNUMBER(SEARCH(WhoKW,INDEX(FormData,$H186,f_Who)&amp;""))*(ROW(WhoKW)-MIN(ROW(WhoKW))+1)))=0,"",INDEX(WhoVal,SUMPRODUCT(MAX((WhoKW&lt;&gt;"")*ISNUMBER(SEARCH(WhoKW,INDEX(FormData,$H186,f_Who)&amp;""))*(ROW(WhoKW)-MIN(ROW(WhoKW))+1))))),""))</f>
        <v/>
      </c>
      <c r="G186" s="14">
        <f>IF($H186="","",IF(COUNTIF(People!$U$5:$U$604,$B186)+COUNTIF(People!$U$5:$U$604,$B186&amp;"")&gt;0,"✓ logged","→ add"))</f>
        <v/>
      </c>
      <c r="H186">
        <f>IFERROR(IF(INDEX(FormData,183,f_Id)&amp;""="","",183),"")</f>
        <v/>
      </c>
      <c r="I186" s="16">
        <f>IF($H186="","",IFERROR(INDEX(FormData,$H186,f_Need)&amp;"",""))</f>
        <v/>
      </c>
    </row>
    <row r="187">
      <c r="A187" s="14" t="n">
        <v>183</v>
      </c>
      <c r="B187" s="14">
        <f>IF($H187="","",INDEX(FormData,$H187,f_Id))</f>
        <v/>
      </c>
      <c r="C187" s="15">
        <f>IF($H187="","",IFERROR(INDEX(FormData,$H187,f_Time),""))</f>
        <v/>
      </c>
      <c r="D187" s="14">
        <f>IF($H187="","",IFERROR(UPPER(LEFT(TRIM(INDEX(FormData,$H187,f_Name)),1)&amp;IFERROR(MID(TRIM(INDEX(FormData,$H187,f_Name)),FIND("^",SUBSTITUTE(TRIM(INDEX(FormData,$H187,f_Name))," ","^",LEN(TRIM(INDEX(FormData,$H187,f_Name)))-LEN(SUBSTITUTE(TRIM(INDEX(FormData,$H187,f_Name))," ",""))))+1,1),"")),""))</f>
        <v/>
      </c>
      <c r="E187" s="16">
        <f>IF($H187="","",IFERROR(INDEX(EvID,MATCH(INDEX(FormData,$H187,f_Event),EvID,0)),IFERROR(INDEX(EvID,MATCH(INDEX(FormData,$H187,f_Event),EvName,0)),IFERROR(INDEX(EvID,MATCH(INT($C187),EvDate,0)),"(no event that day)"))))</f>
        <v/>
      </c>
      <c r="F187" s="16">
        <f>IF($H187="","",IFERROR(IF(SUMPRODUCT(MAX((WhoKW&lt;&gt;"")*ISNUMBER(SEARCH(WhoKW,INDEX(FormData,$H187,f_Who)&amp;""))*(ROW(WhoKW)-MIN(ROW(WhoKW))+1)))=0,"",INDEX(WhoVal,SUMPRODUCT(MAX((WhoKW&lt;&gt;"")*ISNUMBER(SEARCH(WhoKW,INDEX(FormData,$H187,f_Who)&amp;""))*(ROW(WhoKW)-MIN(ROW(WhoKW))+1))))),""))</f>
        <v/>
      </c>
      <c r="G187" s="14">
        <f>IF($H187="","",IF(COUNTIF(People!$U$5:$U$604,$B187)+COUNTIF(People!$U$5:$U$604,$B187&amp;"")&gt;0,"✓ logged","→ add"))</f>
        <v/>
      </c>
      <c r="H187">
        <f>IFERROR(IF(INDEX(FormData,184,f_Id)&amp;""="","",184),"")</f>
        <v/>
      </c>
      <c r="I187" s="16">
        <f>IF($H187="","",IFERROR(INDEX(FormData,$H187,f_Need)&amp;"",""))</f>
        <v/>
      </c>
    </row>
    <row r="188">
      <c r="A188" s="14" t="n">
        <v>184</v>
      </c>
      <c r="B188" s="14">
        <f>IF($H188="","",INDEX(FormData,$H188,f_Id))</f>
        <v/>
      </c>
      <c r="C188" s="15">
        <f>IF($H188="","",IFERROR(INDEX(FormData,$H188,f_Time),""))</f>
        <v/>
      </c>
      <c r="D188" s="14">
        <f>IF($H188="","",IFERROR(UPPER(LEFT(TRIM(INDEX(FormData,$H188,f_Name)),1)&amp;IFERROR(MID(TRIM(INDEX(FormData,$H188,f_Name)),FIND("^",SUBSTITUTE(TRIM(INDEX(FormData,$H188,f_Name))," ","^",LEN(TRIM(INDEX(FormData,$H188,f_Name)))-LEN(SUBSTITUTE(TRIM(INDEX(FormData,$H188,f_Name))," ",""))))+1,1),"")),""))</f>
        <v/>
      </c>
      <c r="E188" s="16">
        <f>IF($H188="","",IFERROR(INDEX(EvID,MATCH(INDEX(FormData,$H188,f_Event),EvID,0)),IFERROR(INDEX(EvID,MATCH(INDEX(FormData,$H188,f_Event),EvName,0)),IFERROR(INDEX(EvID,MATCH(INT($C188),EvDate,0)),"(no event that day)"))))</f>
        <v/>
      </c>
      <c r="F188" s="16">
        <f>IF($H188="","",IFERROR(IF(SUMPRODUCT(MAX((WhoKW&lt;&gt;"")*ISNUMBER(SEARCH(WhoKW,INDEX(FormData,$H188,f_Who)&amp;""))*(ROW(WhoKW)-MIN(ROW(WhoKW))+1)))=0,"",INDEX(WhoVal,SUMPRODUCT(MAX((WhoKW&lt;&gt;"")*ISNUMBER(SEARCH(WhoKW,INDEX(FormData,$H188,f_Who)&amp;""))*(ROW(WhoKW)-MIN(ROW(WhoKW))+1))))),""))</f>
        <v/>
      </c>
      <c r="G188" s="14">
        <f>IF($H188="","",IF(COUNTIF(People!$U$5:$U$604,$B188)+COUNTIF(People!$U$5:$U$604,$B188&amp;"")&gt;0,"✓ logged","→ add"))</f>
        <v/>
      </c>
      <c r="H188">
        <f>IFERROR(IF(INDEX(FormData,185,f_Id)&amp;""="","",185),"")</f>
        <v/>
      </c>
      <c r="I188" s="16">
        <f>IF($H188="","",IFERROR(INDEX(FormData,$H188,f_Need)&amp;"",""))</f>
        <v/>
      </c>
    </row>
    <row r="189">
      <c r="A189" s="14" t="n">
        <v>185</v>
      </c>
      <c r="B189" s="14">
        <f>IF($H189="","",INDEX(FormData,$H189,f_Id))</f>
        <v/>
      </c>
      <c r="C189" s="15">
        <f>IF($H189="","",IFERROR(INDEX(FormData,$H189,f_Time),""))</f>
        <v/>
      </c>
      <c r="D189" s="14">
        <f>IF($H189="","",IFERROR(UPPER(LEFT(TRIM(INDEX(FormData,$H189,f_Name)),1)&amp;IFERROR(MID(TRIM(INDEX(FormData,$H189,f_Name)),FIND("^",SUBSTITUTE(TRIM(INDEX(FormData,$H189,f_Name))," ","^",LEN(TRIM(INDEX(FormData,$H189,f_Name)))-LEN(SUBSTITUTE(TRIM(INDEX(FormData,$H189,f_Name))," ",""))))+1,1),"")),""))</f>
        <v/>
      </c>
      <c r="E189" s="16">
        <f>IF($H189="","",IFERROR(INDEX(EvID,MATCH(INDEX(FormData,$H189,f_Event),EvID,0)),IFERROR(INDEX(EvID,MATCH(INDEX(FormData,$H189,f_Event),EvName,0)),IFERROR(INDEX(EvID,MATCH(INT($C189),EvDate,0)),"(no event that day)"))))</f>
        <v/>
      </c>
      <c r="F189" s="16">
        <f>IF($H189="","",IFERROR(IF(SUMPRODUCT(MAX((WhoKW&lt;&gt;"")*ISNUMBER(SEARCH(WhoKW,INDEX(FormData,$H189,f_Who)&amp;""))*(ROW(WhoKW)-MIN(ROW(WhoKW))+1)))=0,"",INDEX(WhoVal,SUMPRODUCT(MAX((WhoKW&lt;&gt;"")*ISNUMBER(SEARCH(WhoKW,INDEX(FormData,$H189,f_Who)&amp;""))*(ROW(WhoKW)-MIN(ROW(WhoKW))+1))))),""))</f>
        <v/>
      </c>
      <c r="G189" s="14">
        <f>IF($H189="","",IF(COUNTIF(People!$U$5:$U$604,$B189)+COUNTIF(People!$U$5:$U$604,$B189&amp;"")&gt;0,"✓ logged","→ add"))</f>
        <v/>
      </c>
      <c r="H189">
        <f>IFERROR(IF(INDEX(FormData,186,f_Id)&amp;""="","",186),"")</f>
        <v/>
      </c>
      <c r="I189" s="16">
        <f>IF($H189="","",IFERROR(INDEX(FormData,$H189,f_Need)&amp;"",""))</f>
        <v/>
      </c>
    </row>
    <row r="190">
      <c r="A190" s="14" t="n">
        <v>186</v>
      </c>
      <c r="B190" s="14">
        <f>IF($H190="","",INDEX(FormData,$H190,f_Id))</f>
        <v/>
      </c>
      <c r="C190" s="15">
        <f>IF($H190="","",IFERROR(INDEX(FormData,$H190,f_Time),""))</f>
        <v/>
      </c>
      <c r="D190" s="14">
        <f>IF($H190="","",IFERROR(UPPER(LEFT(TRIM(INDEX(FormData,$H190,f_Name)),1)&amp;IFERROR(MID(TRIM(INDEX(FormData,$H190,f_Name)),FIND("^",SUBSTITUTE(TRIM(INDEX(FormData,$H190,f_Name))," ","^",LEN(TRIM(INDEX(FormData,$H190,f_Name)))-LEN(SUBSTITUTE(TRIM(INDEX(FormData,$H190,f_Name))," ",""))))+1,1),"")),""))</f>
        <v/>
      </c>
      <c r="E190" s="16">
        <f>IF($H190="","",IFERROR(INDEX(EvID,MATCH(INDEX(FormData,$H190,f_Event),EvID,0)),IFERROR(INDEX(EvID,MATCH(INDEX(FormData,$H190,f_Event),EvName,0)),IFERROR(INDEX(EvID,MATCH(INT($C190),EvDate,0)),"(no event that day)"))))</f>
        <v/>
      </c>
      <c r="F190" s="16">
        <f>IF($H190="","",IFERROR(IF(SUMPRODUCT(MAX((WhoKW&lt;&gt;"")*ISNUMBER(SEARCH(WhoKW,INDEX(FormData,$H190,f_Who)&amp;""))*(ROW(WhoKW)-MIN(ROW(WhoKW))+1)))=0,"",INDEX(WhoVal,SUMPRODUCT(MAX((WhoKW&lt;&gt;"")*ISNUMBER(SEARCH(WhoKW,INDEX(FormData,$H190,f_Who)&amp;""))*(ROW(WhoKW)-MIN(ROW(WhoKW))+1))))),""))</f>
        <v/>
      </c>
      <c r="G190" s="14">
        <f>IF($H190="","",IF(COUNTIF(People!$U$5:$U$604,$B190)+COUNTIF(People!$U$5:$U$604,$B190&amp;"")&gt;0,"✓ logged","→ add"))</f>
        <v/>
      </c>
      <c r="H190">
        <f>IFERROR(IF(INDEX(FormData,187,f_Id)&amp;""="","",187),"")</f>
        <v/>
      </c>
      <c r="I190" s="16">
        <f>IF($H190="","",IFERROR(INDEX(FormData,$H190,f_Need)&amp;"",""))</f>
        <v/>
      </c>
    </row>
    <row r="191">
      <c r="A191" s="14" t="n">
        <v>187</v>
      </c>
      <c r="B191" s="14">
        <f>IF($H191="","",INDEX(FormData,$H191,f_Id))</f>
        <v/>
      </c>
      <c r="C191" s="15">
        <f>IF($H191="","",IFERROR(INDEX(FormData,$H191,f_Time),""))</f>
        <v/>
      </c>
      <c r="D191" s="14">
        <f>IF($H191="","",IFERROR(UPPER(LEFT(TRIM(INDEX(FormData,$H191,f_Name)),1)&amp;IFERROR(MID(TRIM(INDEX(FormData,$H191,f_Name)),FIND("^",SUBSTITUTE(TRIM(INDEX(FormData,$H191,f_Name))," ","^",LEN(TRIM(INDEX(FormData,$H191,f_Name)))-LEN(SUBSTITUTE(TRIM(INDEX(FormData,$H191,f_Name))," ",""))))+1,1),"")),""))</f>
        <v/>
      </c>
      <c r="E191" s="16">
        <f>IF($H191="","",IFERROR(INDEX(EvID,MATCH(INDEX(FormData,$H191,f_Event),EvID,0)),IFERROR(INDEX(EvID,MATCH(INDEX(FormData,$H191,f_Event),EvName,0)),IFERROR(INDEX(EvID,MATCH(INT($C191),EvDate,0)),"(no event that day)"))))</f>
        <v/>
      </c>
      <c r="F191" s="16">
        <f>IF($H191="","",IFERROR(IF(SUMPRODUCT(MAX((WhoKW&lt;&gt;"")*ISNUMBER(SEARCH(WhoKW,INDEX(FormData,$H191,f_Who)&amp;""))*(ROW(WhoKW)-MIN(ROW(WhoKW))+1)))=0,"",INDEX(WhoVal,SUMPRODUCT(MAX((WhoKW&lt;&gt;"")*ISNUMBER(SEARCH(WhoKW,INDEX(FormData,$H191,f_Who)&amp;""))*(ROW(WhoKW)-MIN(ROW(WhoKW))+1))))),""))</f>
        <v/>
      </c>
      <c r="G191" s="14">
        <f>IF($H191="","",IF(COUNTIF(People!$U$5:$U$604,$B191)+COUNTIF(People!$U$5:$U$604,$B191&amp;"")&gt;0,"✓ logged","→ add"))</f>
        <v/>
      </c>
      <c r="H191">
        <f>IFERROR(IF(INDEX(FormData,188,f_Id)&amp;""="","",188),"")</f>
        <v/>
      </c>
      <c r="I191" s="16">
        <f>IF($H191="","",IFERROR(INDEX(FormData,$H191,f_Need)&amp;"",""))</f>
        <v/>
      </c>
    </row>
    <row r="192">
      <c r="A192" s="14" t="n">
        <v>188</v>
      </c>
      <c r="B192" s="14">
        <f>IF($H192="","",INDEX(FormData,$H192,f_Id))</f>
        <v/>
      </c>
      <c r="C192" s="15">
        <f>IF($H192="","",IFERROR(INDEX(FormData,$H192,f_Time),""))</f>
        <v/>
      </c>
      <c r="D192" s="14">
        <f>IF($H192="","",IFERROR(UPPER(LEFT(TRIM(INDEX(FormData,$H192,f_Name)),1)&amp;IFERROR(MID(TRIM(INDEX(FormData,$H192,f_Name)),FIND("^",SUBSTITUTE(TRIM(INDEX(FormData,$H192,f_Name))," ","^",LEN(TRIM(INDEX(FormData,$H192,f_Name)))-LEN(SUBSTITUTE(TRIM(INDEX(FormData,$H192,f_Name))," ",""))))+1,1),"")),""))</f>
        <v/>
      </c>
      <c r="E192" s="16">
        <f>IF($H192="","",IFERROR(INDEX(EvID,MATCH(INDEX(FormData,$H192,f_Event),EvID,0)),IFERROR(INDEX(EvID,MATCH(INDEX(FormData,$H192,f_Event),EvName,0)),IFERROR(INDEX(EvID,MATCH(INT($C192),EvDate,0)),"(no event that day)"))))</f>
        <v/>
      </c>
      <c r="F192" s="16">
        <f>IF($H192="","",IFERROR(IF(SUMPRODUCT(MAX((WhoKW&lt;&gt;"")*ISNUMBER(SEARCH(WhoKW,INDEX(FormData,$H192,f_Who)&amp;""))*(ROW(WhoKW)-MIN(ROW(WhoKW))+1)))=0,"",INDEX(WhoVal,SUMPRODUCT(MAX((WhoKW&lt;&gt;"")*ISNUMBER(SEARCH(WhoKW,INDEX(FormData,$H192,f_Who)&amp;""))*(ROW(WhoKW)-MIN(ROW(WhoKW))+1))))),""))</f>
        <v/>
      </c>
      <c r="G192" s="14">
        <f>IF($H192="","",IF(COUNTIF(People!$U$5:$U$604,$B192)+COUNTIF(People!$U$5:$U$604,$B192&amp;"")&gt;0,"✓ logged","→ add"))</f>
        <v/>
      </c>
      <c r="H192">
        <f>IFERROR(IF(INDEX(FormData,189,f_Id)&amp;""="","",189),"")</f>
        <v/>
      </c>
      <c r="I192" s="16">
        <f>IF($H192="","",IFERROR(INDEX(FormData,$H192,f_Need)&amp;"",""))</f>
        <v/>
      </c>
    </row>
    <row r="193">
      <c r="A193" s="14" t="n">
        <v>189</v>
      </c>
      <c r="B193" s="14">
        <f>IF($H193="","",INDEX(FormData,$H193,f_Id))</f>
        <v/>
      </c>
      <c r="C193" s="15">
        <f>IF($H193="","",IFERROR(INDEX(FormData,$H193,f_Time),""))</f>
        <v/>
      </c>
      <c r="D193" s="14">
        <f>IF($H193="","",IFERROR(UPPER(LEFT(TRIM(INDEX(FormData,$H193,f_Name)),1)&amp;IFERROR(MID(TRIM(INDEX(FormData,$H193,f_Name)),FIND("^",SUBSTITUTE(TRIM(INDEX(FormData,$H193,f_Name))," ","^",LEN(TRIM(INDEX(FormData,$H193,f_Name)))-LEN(SUBSTITUTE(TRIM(INDEX(FormData,$H193,f_Name))," ",""))))+1,1),"")),""))</f>
        <v/>
      </c>
      <c r="E193" s="16">
        <f>IF($H193="","",IFERROR(INDEX(EvID,MATCH(INDEX(FormData,$H193,f_Event),EvID,0)),IFERROR(INDEX(EvID,MATCH(INDEX(FormData,$H193,f_Event),EvName,0)),IFERROR(INDEX(EvID,MATCH(INT($C193),EvDate,0)),"(no event that day)"))))</f>
        <v/>
      </c>
      <c r="F193" s="16">
        <f>IF($H193="","",IFERROR(IF(SUMPRODUCT(MAX((WhoKW&lt;&gt;"")*ISNUMBER(SEARCH(WhoKW,INDEX(FormData,$H193,f_Who)&amp;""))*(ROW(WhoKW)-MIN(ROW(WhoKW))+1)))=0,"",INDEX(WhoVal,SUMPRODUCT(MAX((WhoKW&lt;&gt;"")*ISNUMBER(SEARCH(WhoKW,INDEX(FormData,$H193,f_Who)&amp;""))*(ROW(WhoKW)-MIN(ROW(WhoKW))+1))))),""))</f>
        <v/>
      </c>
      <c r="G193" s="14">
        <f>IF($H193="","",IF(COUNTIF(People!$U$5:$U$604,$B193)+COUNTIF(People!$U$5:$U$604,$B193&amp;"")&gt;0,"✓ logged","→ add"))</f>
        <v/>
      </c>
      <c r="H193">
        <f>IFERROR(IF(INDEX(FormData,190,f_Id)&amp;""="","",190),"")</f>
        <v/>
      </c>
      <c r="I193" s="16">
        <f>IF($H193="","",IFERROR(INDEX(FormData,$H193,f_Need)&amp;"",""))</f>
        <v/>
      </c>
    </row>
    <row r="194">
      <c r="A194" s="14" t="n">
        <v>190</v>
      </c>
      <c r="B194" s="14">
        <f>IF($H194="","",INDEX(FormData,$H194,f_Id))</f>
        <v/>
      </c>
      <c r="C194" s="15">
        <f>IF($H194="","",IFERROR(INDEX(FormData,$H194,f_Time),""))</f>
        <v/>
      </c>
      <c r="D194" s="14">
        <f>IF($H194="","",IFERROR(UPPER(LEFT(TRIM(INDEX(FormData,$H194,f_Name)),1)&amp;IFERROR(MID(TRIM(INDEX(FormData,$H194,f_Name)),FIND("^",SUBSTITUTE(TRIM(INDEX(FormData,$H194,f_Name))," ","^",LEN(TRIM(INDEX(FormData,$H194,f_Name)))-LEN(SUBSTITUTE(TRIM(INDEX(FormData,$H194,f_Name))," ",""))))+1,1),"")),""))</f>
        <v/>
      </c>
      <c r="E194" s="16">
        <f>IF($H194="","",IFERROR(INDEX(EvID,MATCH(INDEX(FormData,$H194,f_Event),EvID,0)),IFERROR(INDEX(EvID,MATCH(INDEX(FormData,$H194,f_Event),EvName,0)),IFERROR(INDEX(EvID,MATCH(INT($C194),EvDate,0)),"(no event that day)"))))</f>
        <v/>
      </c>
      <c r="F194" s="16">
        <f>IF($H194="","",IFERROR(IF(SUMPRODUCT(MAX((WhoKW&lt;&gt;"")*ISNUMBER(SEARCH(WhoKW,INDEX(FormData,$H194,f_Who)&amp;""))*(ROW(WhoKW)-MIN(ROW(WhoKW))+1)))=0,"",INDEX(WhoVal,SUMPRODUCT(MAX((WhoKW&lt;&gt;"")*ISNUMBER(SEARCH(WhoKW,INDEX(FormData,$H194,f_Who)&amp;""))*(ROW(WhoKW)-MIN(ROW(WhoKW))+1))))),""))</f>
        <v/>
      </c>
      <c r="G194" s="14">
        <f>IF($H194="","",IF(COUNTIF(People!$U$5:$U$604,$B194)+COUNTIF(People!$U$5:$U$604,$B194&amp;"")&gt;0,"✓ logged","→ add"))</f>
        <v/>
      </c>
      <c r="H194">
        <f>IFERROR(IF(INDEX(FormData,191,f_Id)&amp;""="","",191),"")</f>
        <v/>
      </c>
      <c r="I194" s="16">
        <f>IF($H194="","",IFERROR(INDEX(FormData,$H194,f_Need)&amp;"",""))</f>
        <v/>
      </c>
    </row>
    <row r="195">
      <c r="A195" s="14" t="n">
        <v>191</v>
      </c>
      <c r="B195" s="14">
        <f>IF($H195="","",INDEX(FormData,$H195,f_Id))</f>
        <v/>
      </c>
      <c r="C195" s="15">
        <f>IF($H195="","",IFERROR(INDEX(FormData,$H195,f_Time),""))</f>
        <v/>
      </c>
      <c r="D195" s="14">
        <f>IF($H195="","",IFERROR(UPPER(LEFT(TRIM(INDEX(FormData,$H195,f_Name)),1)&amp;IFERROR(MID(TRIM(INDEX(FormData,$H195,f_Name)),FIND("^",SUBSTITUTE(TRIM(INDEX(FormData,$H195,f_Name))," ","^",LEN(TRIM(INDEX(FormData,$H195,f_Name)))-LEN(SUBSTITUTE(TRIM(INDEX(FormData,$H195,f_Name))," ",""))))+1,1),"")),""))</f>
        <v/>
      </c>
      <c r="E195" s="16">
        <f>IF($H195="","",IFERROR(INDEX(EvID,MATCH(INDEX(FormData,$H195,f_Event),EvID,0)),IFERROR(INDEX(EvID,MATCH(INDEX(FormData,$H195,f_Event),EvName,0)),IFERROR(INDEX(EvID,MATCH(INT($C195),EvDate,0)),"(no event that day)"))))</f>
        <v/>
      </c>
      <c r="F195" s="16">
        <f>IF($H195="","",IFERROR(IF(SUMPRODUCT(MAX((WhoKW&lt;&gt;"")*ISNUMBER(SEARCH(WhoKW,INDEX(FormData,$H195,f_Who)&amp;""))*(ROW(WhoKW)-MIN(ROW(WhoKW))+1)))=0,"",INDEX(WhoVal,SUMPRODUCT(MAX((WhoKW&lt;&gt;"")*ISNUMBER(SEARCH(WhoKW,INDEX(FormData,$H195,f_Who)&amp;""))*(ROW(WhoKW)-MIN(ROW(WhoKW))+1))))),""))</f>
        <v/>
      </c>
      <c r="G195" s="14">
        <f>IF($H195="","",IF(COUNTIF(People!$U$5:$U$604,$B195)+COUNTIF(People!$U$5:$U$604,$B195&amp;"")&gt;0,"✓ logged","→ add"))</f>
        <v/>
      </c>
      <c r="H195">
        <f>IFERROR(IF(INDEX(FormData,192,f_Id)&amp;""="","",192),"")</f>
        <v/>
      </c>
      <c r="I195" s="16">
        <f>IF($H195="","",IFERROR(INDEX(FormData,$H195,f_Need)&amp;"",""))</f>
        <v/>
      </c>
    </row>
    <row r="196">
      <c r="A196" s="14" t="n">
        <v>192</v>
      </c>
      <c r="B196" s="14">
        <f>IF($H196="","",INDEX(FormData,$H196,f_Id))</f>
        <v/>
      </c>
      <c r="C196" s="15">
        <f>IF($H196="","",IFERROR(INDEX(FormData,$H196,f_Time),""))</f>
        <v/>
      </c>
      <c r="D196" s="14">
        <f>IF($H196="","",IFERROR(UPPER(LEFT(TRIM(INDEX(FormData,$H196,f_Name)),1)&amp;IFERROR(MID(TRIM(INDEX(FormData,$H196,f_Name)),FIND("^",SUBSTITUTE(TRIM(INDEX(FormData,$H196,f_Name))," ","^",LEN(TRIM(INDEX(FormData,$H196,f_Name)))-LEN(SUBSTITUTE(TRIM(INDEX(FormData,$H196,f_Name))," ",""))))+1,1),"")),""))</f>
        <v/>
      </c>
      <c r="E196" s="16">
        <f>IF($H196="","",IFERROR(INDEX(EvID,MATCH(INDEX(FormData,$H196,f_Event),EvID,0)),IFERROR(INDEX(EvID,MATCH(INDEX(FormData,$H196,f_Event),EvName,0)),IFERROR(INDEX(EvID,MATCH(INT($C196),EvDate,0)),"(no event that day)"))))</f>
        <v/>
      </c>
      <c r="F196" s="16">
        <f>IF($H196="","",IFERROR(IF(SUMPRODUCT(MAX((WhoKW&lt;&gt;"")*ISNUMBER(SEARCH(WhoKW,INDEX(FormData,$H196,f_Who)&amp;""))*(ROW(WhoKW)-MIN(ROW(WhoKW))+1)))=0,"",INDEX(WhoVal,SUMPRODUCT(MAX((WhoKW&lt;&gt;"")*ISNUMBER(SEARCH(WhoKW,INDEX(FormData,$H196,f_Who)&amp;""))*(ROW(WhoKW)-MIN(ROW(WhoKW))+1))))),""))</f>
        <v/>
      </c>
      <c r="G196" s="14">
        <f>IF($H196="","",IF(COUNTIF(People!$U$5:$U$604,$B196)+COUNTIF(People!$U$5:$U$604,$B196&amp;"")&gt;0,"✓ logged","→ add"))</f>
        <v/>
      </c>
      <c r="H196">
        <f>IFERROR(IF(INDEX(FormData,193,f_Id)&amp;""="","",193),"")</f>
        <v/>
      </c>
      <c r="I196" s="16">
        <f>IF($H196="","",IFERROR(INDEX(FormData,$H196,f_Need)&amp;"",""))</f>
        <v/>
      </c>
    </row>
    <row r="197">
      <c r="A197" s="14" t="n">
        <v>193</v>
      </c>
      <c r="B197" s="14">
        <f>IF($H197="","",INDEX(FormData,$H197,f_Id))</f>
        <v/>
      </c>
      <c r="C197" s="15">
        <f>IF($H197="","",IFERROR(INDEX(FormData,$H197,f_Time),""))</f>
        <v/>
      </c>
      <c r="D197" s="14">
        <f>IF($H197="","",IFERROR(UPPER(LEFT(TRIM(INDEX(FormData,$H197,f_Name)),1)&amp;IFERROR(MID(TRIM(INDEX(FormData,$H197,f_Name)),FIND("^",SUBSTITUTE(TRIM(INDEX(FormData,$H197,f_Name))," ","^",LEN(TRIM(INDEX(FormData,$H197,f_Name)))-LEN(SUBSTITUTE(TRIM(INDEX(FormData,$H197,f_Name))," ",""))))+1,1),"")),""))</f>
        <v/>
      </c>
      <c r="E197" s="16">
        <f>IF($H197="","",IFERROR(INDEX(EvID,MATCH(INDEX(FormData,$H197,f_Event),EvID,0)),IFERROR(INDEX(EvID,MATCH(INDEX(FormData,$H197,f_Event),EvName,0)),IFERROR(INDEX(EvID,MATCH(INT($C197),EvDate,0)),"(no event that day)"))))</f>
        <v/>
      </c>
      <c r="F197" s="16">
        <f>IF($H197="","",IFERROR(IF(SUMPRODUCT(MAX((WhoKW&lt;&gt;"")*ISNUMBER(SEARCH(WhoKW,INDEX(FormData,$H197,f_Who)&amp;""))*(ROW(WhoKW)-MIN(ROW(WhoKW))+1)))=0,"",INDEX(WhoVal,SUMPRODUCT(MAX((WhoKW&lt;&gt;"")*ISNUMBER(SEARCH(WhoKW,INDEX(FormData,$H197,f_Who)&amp;""))*(ROW(WhoKW)-MIN(ROW(WhoKW))+1))))),""))</f>
        <v/>
      </c>
      <c r="G197" s="14">
        <f>IF($H197="","",IF(COUNTIF(People!$U$5:$U$604,$B197)+COUNTIF(People!$U$5:$U$604,$B197&amp;"")&gt;0,"✓ logged","→ add"))</f>
        <v/>
      </c>
      <c r="H197">
        <f>IFERROR(IF(INDEX(FormData,194,f_Id)&amp;""="","",194),"")</f>
        <v/>
      </c>
      <c r="I197" s="16">
        <f>IF($H197="","",IFERROR(INDEX(FormData,$H197,f_Need)&amp;"",""))</f>
        <v/>
      </c>
    </row>
    <row r="198">
      <c r="A198" s="14" t="n">
        <v>194</v>
      </c>
      <c r="B198" s="14">
        <f>IF($H198="","",INDEX(FormData,$H198,f_Id))</f>
        <v/>
      </c>
      <c r="C198" s="15">
        <f>IF($H198="","",IFERROR(INDEX(FormData,$H198,f_Time),""))</f>
        <v/>
      </c>
      <c r="D198" s="14">
        <f>IF($H198="","",IFERROR(UPPER(LEFT(TRIM(INDEX(FormData,$H198,f_Name)),1)&amp;IFERROR(MID(TRIM(INDEX(FormData,$H198,f_Name)),FIND("^",SUBSTITUTE(TRIM(INDEX(FormData,$H198,f_Name))," ","^",LEN(TRIM(INDEX(FormData,$H198,f_Name)))-LEN(SUBSTITUTE(TRIM(INDEX(FormData,$H198,f_Name))," ",""))))+1,1),"")),""))</f>
        <v/>
      </c>
      <c r="E198" s="16">
        <f>IF($H198="","",IFERROR(INDEX(EvID,MATCH(INDEX(FormData,$H198,f_Event),EvID,0)),IFERROR(INDEX(EvID,MATCH(INDEX(FormData,$H198,f_Event),EvName,0)),IFERROR(INDEX(EvID,MATCH(INT($C198),EvDate,0)),"(no event that day)"))))</f>
        <v/>
      </c>
      <c r="F198" s="16">
        <f>IF($H198="","",IFERROR(IF(SUMPRODUCT(MAX((WhoKW&lt;&gt;"")*ISNUMBER(SEARCH(WhoKW,INDEX(FormData,$H198,f_Who)&amp;""))*(ROW(WhoKW)-MIN(ROW(WhoKW))+1)))=0,"",INDEX(WhoVal,SUMPRODUCT(MAX((WhoKW&lt;&gt;"")*ISNUMBER(SEARCH(WhoKW,INDEX(FormData,$H198,f_Who)&amp;""))*(ROW(WhoKW)-MIN(ROW(WhoKW))+1))))),""))</f>
        <v/>
      </c>
      <c r="G198" s="14">
        <f>IF($H198="","",IF(COUNTIF(People!$U$5:$U$604,$B198)+COUNTIF(People!$U$5:$U$604,$B198&amp;"")&gt;0,"✓ logged","→ add"))</f>
        <v/>
      </c>
      <c r="H198">
        <f>IFERROR(IF(INDEX(FormData,195,f_Id)&amp;""="","",195),"")</f>
        <v/>
      </c>
      <c r="I198" s="16">
        <f>IF($H198="","",IFERROR(INDEX(FormData,$H198,f_Need)&amp;"",""))</f>
        <v/>
      </c>
    </row>
    <row r="199">
      <c r="A199" s="14" t="n">
        <v>195</v>
      </c>
      <c r="B199" s="14">
        <f>IF($H199="","",INDEX(FormData,$H199,f_Id))</f>
        <v/>
      </c>
      <c r="C199" s="15">
        <f>IF($H199="","",IFERROR(INDEX(FormData,$H199,f_Time),""))</f>
        <v/>
      </c>
      <c r="D199" s="14">
        <f>IF($H199="","",IFERROR(UPPER(LEFT(TRIM(INDEX(FormData,$H199,f_Name)),1)&amp;IFERROR(MID(TRIM(INDEX(FormData,$H199,f_Name)),FIND("^",SUBSTITUTE(TRIM(INDEX(FormData,$H199,f_Name))," ","^",LEN(TRIM(INDEX(FormData,$H199,f_Name)))-LEN(SUBSTITUTE(TRIM(INDEX(FormData,$H199,f_Name))," ",""))))+1,1),"")),""))</f>
        <v/>
      </c>
      <c r="E199" s="16">
        <f>IF($H199="","",IFERROR(INDEX(EvID,MATCH(INDEX(FormData,$H199,f_Event),EvID,0)),IFERROR(INDEX(EvID,MATCH(INDEX(FormData,$H199,f_Event),EvName,0)),IFERROR(INDEX(EvID,MATCH(INT($C199),EvDate,0)),"(no event that day)"))))</f>
        <v/>
      </c>
      <c r="F199" s="16">
        <f>IF($H199="","",IFERROR(IF(SUMPRODUCT(MAX((WhoKW&lt;&gt;"")*ISNUMBER(SEARCH(WhoKW,INDEX(FormData,$H199,f_Who)&amp;""))*(ROW(WhoKW)-MIN(ROW(WhoKW))+1)))=0,"",INDEX(WhoVal,SUMPRODUCT(MAX((WhoKW&lt;&gt;"")*ISNUMBER(SEARCH(WhoKW,INDEX(FormData,$H199,f_Who)&amp;""))*(ROW(WhoKW)-MIN(ROW(WhoKW))+1))))),""))</f>
        <v/>
      </c>
      <c r="G199" s="14">
        <f>IF($H199="","",IF(COUNTIF(People!$U$5:$U$604,$B199)+COUNTIF(People!$U$5:$U$604,$B199&amp;"")&gt;0,"✓ logged","→ add"))</f>
        <v/>
      </c>
      <c r="H199">
        <f>IFERROR(IF(INDEX(FormData,196,f_Id)&amp;""="","",196),"")</f>
        <v/>
      </c>
      <c r="I199" s="16">
        <f>IF($H199="","",IFERROR(INDEX(FormData,$H199,f_Need)&amp;"",""))</f>
        <v/>
      </c>
    </row>
    <row r="200">
      <c r="A200" s="14" t="n">
        <v>196</v>
      </c>
      <c r="B200" s="14">
        <f>IF($H200="","",INDEX(FormData,$H200,f_Id))</f>
        <v/>
      </c>
      <c r="C200" s="15">
        <f>IF($H200="","",IFERROR(INDEX(FormData,$H200,f_Time),""))</f>
        <v/>
      </c>
      <c r="D200" s="14">
        <f>IF($H200="","",IFERROR(UPPER(LEFT(TRIM(INDEX(FormData,$H200,f_Name)),1)&amp;IFERROR(MID(TRIM(INDEX(FormData,$H200,f_Name)),FIND("^",SUBSTITUTE(TRIM(INDEX(FormData,$H200,f_Name))," ","^",LEN(TRIM(INDEX(FormData,$H200,f_Name)))-LEN(SUBSTITUTE(TRIM(INDEX(FormData,$H200,f_Name))," ",""))))+1,1),"")),""))</f>
        <v/>
      </c>
      <c r="E200" s="16">
        <f>IF($H200="","",IFERROR(INDEX(EvID,MATCH(INDEX(FormData,$H200,f_Event),EvID,0)),IFERROR(INDEX(EvID,MATCH(INDEX(FormData,$H200,f_Event),EvName,0)),IFERROR(INDEX(EvID,MATCH(INT($C200),EvDate,0)),"(no event that day)"))))</f>
        <v/>
      </c>
      <c r="F200" s="16">
        <f>IF($H200="","",IFERROR(IF(SUMPRODUCT(MAX((WhoKW&lt;&gt;"")*ISNUMBER(SEARCH(WhoKW,INDEX(FormData,$H200,f_Who)&amp;""))*(ROW(WhoKW)-MIN(ROW(WhoKW))+1)))=0,"",INDEX(WhoVal,SUMPRODUCT(MAX((WhoKW&lt;&gt;"")*ISNUMBER(SEARCH(WhoKW,INDEX(FormData,$H200,f_Who)&amp;""))*(ROW(WhoKW)-MIN(ROW(WhoKW))+1))))),""))</f>
        <v/>
      </c>
      <c r="G200" s="14">
        <f>IF($H200="","",IF(COUNTIF(People!$U$5:$U$604,$B200)+COUNTIF(People!$U$5:$U$604,$B200&amp;"")&gt;0,"✓ logged","→ add"))</f>
        <v/>
      </c>
      <c r="H200">
        <f>IFERROR(IF(INDEX(FormData,197,f_Id)&amp;""="","",197),"")</f>
        <v/>
      </c>
      <c r="I200" s="16">
        <f>IF($H200="","",IFERROR(INDEX(FormData,$H200,f_Need)&amp;"",""))</f>
        <v/>
      </c>
    </row>
    <row r="201">
      <c r="A201" s="14" t="n">
        <v>197</v>
      </c>
      <c r="B201" s="14">
        <f>IF($H201="","",INDEX(FormData,$H201,f_Id))</f>
        <v/>
      </c>
      <c r="C201" s="15">
        <f>IF($H201="","",IFERROR(INDEX(FormData,$H201,f_Time),""))</f>
        <v/>
      </c>
      <c r="D201" s="14">
        <f>IF($H201="","",IFERROR(UPPER(LEFT(TRIM(INDEX(FormData,$H201,f_Name)),1)&amp;IFERROR(MID(TRIM(INDEX(FormData,$H201,f_Name)),FIND("^",SUBSTITUTE(TRIM(INDEX(FormData,$H201,f_Name))," ","^",LEN(TRIM(INDEX(FormData,$H201,f_Name)))-LEN(SUBSTITUTE(TRIM(INDEX(FormData,$H201,f_Name))," ",""))))+1,1),"")),""))</f>
        <v/>
      </c>
      <c r="E201" s="16">
        <f>IF($H201="","",IFERROR(INDEX(EvID,MATCH(INDEX(FormData,$H201,f_Event),EvID,0)),IFERROR(INDEX(EvID,MATCH(INDEX(FormData,$H201,f_Event),EvName,0)),IFERROR(INDEX(EvID,MATCH(INT($C201),EvDate,0)),"(no event that day)"))))</f>
        <v/>
      </c>
      <c r="F201" s="16">
        <f>IF($H201="","",IFERROR(IF(SUMPRODUCT(MAX((WhoKW&lt;&gt;"")*ISNUMBER(SEARCH(WhoKW,INDEX(FormData,$H201,f_Who)&amp;""))*(ROW(WhoKW)-MIN(ROW(WhoKW))+1)))=0,"",INDEX(WhoVal,SUMPRODUCT(MAX((WhoKW&lt;&gt;"")*ISNUMBER(SEARCH(WhoKW,INDEX(FormData,$H201,f_Who)&amp;""))*(ROW(WhoKW)-MIN(ROW(WhoKW))+1))))),""))</f>
        <v/>
      </c>
      <c r="G201" s="14">
        <f>IF($H201="","",IF(COUNTIF(People!$U$5:$U$604,$B201)+COUNTIF(People!$U$5:$U$604,$B201&amp;"")&gt;0,"✓ logged","→ add"))</f>
        <v/>
      </c>
      <c r="H201">
        <f>IFERROR(IF(INDEX(FormData,198,f_Id)&amp;""="","",198),"")</f>
        <v/>
      </c>
      <c r="I201" s="16">
        <f>IF($H201="","",IFERROR(INDEX(FormData,$H201,f_Need)&amp;"",""))</f>
        <v/>
      </c>
    </row>
    <row r="202">
      <c r="A202" s="14" t="n">
        <v>198</v>
      </c>
      <c r="B202" s="14">
        <f>IF($H202="","",INDEX(FormData,$H202,f_Id))</f>
        <v/>
      </c>
      <c r="C202" s="15">
        <f>IF($H202="","",IFERROR(INDEX(FormData,$H202,f_Time),""))</f>
        <v/>
      </c>
      <c r="D202" s="14">
        <f>IF($H202="","",IFERROR(UPPER(LEFT(TRIM(INDEX(FormData,$H202,f_Name)),1)&amp;IFERROR(MID(TRIM(INDEX(FormData,$H202,f_Name)),FIND("^",SUBSTITUTE(TRIM(INDEX(FormData,$H202,f_Name))," ","^",LEN(TRIM(INDEX(FormData,$H202,f_Name)))-LEN(SUBSTITUTE(TRIM(INDEX(FormData,$H202,f_Name))," ",""))))+1,1),"")),""))</f>
        <v/>
      </c>
      <c r="E202" s="16">
        <f>IF($H202="","",IFERROR(INDEX(EvID,MATCH(INDEX(FormData,$H202,f_Event),EvID,0)),IFERROR(INDEX(EvID,MATCH(INDEX(FormData,$H202,f_Event),EvName,0)),IFERROR(INDEX(EvID,MATCH(INT($C202),EvDate,0)),"(no event that day)"))))</f>
        <v/>
      </c>
      <c r="F202" s="16">
        <f>IF($H202="","",IFERROR(IF(SUMPRODUCT(MAX((WhoKW&lt;&gt;"")*ISNUMBER(SEARCH(WhoKW,INDEX(FormData,$H202,f_Who)&amp;""))*(ROW(WhoKW)-MIN(ROW(WhoKW))+1)))=0,"",INDEX(WhoVal,SUMPRODUCT(MAX((WhoKW&lt;&gt;"")*ISNUMBER(SEARCH(WhoKW,INDEX(FormData,$H202,f_Who)&amp;""))*(ROW(WhoKW)-MIN(ROW(WhoKW))+1))))),""))</f>
        <v/>
      </c>
      <c r="G202" s="14">
        <f>IF($H202="","",IF(COUNTIF(People!$U$5:$U$604,$B202)+COUNTIF(People!$U$5:$U$604,$B202&amp;"")&gt;0,"✓ logged","→ add"))</f>
        <v/>
      </c>
      <c r="H202">
        <f>IFERROR(IF(INDEX(FormData,199,f_Id)&amp;""="","",199),"")</f>
        <v/>
      </c>
      <c r="I202" s="16">
        <f>IF($H202="","",IFERROR(INDEX(FormData,$H202,f_Need)&amp;"",""))</f>
        <v/>
      </c>
    </row>
    <row r="203">
      <c r="A203" s="14" t="n">
        <v>199</v>
      </c>
      <c r="B203" s="14">
        <f>IF($H203="","",INDEX(FormData,$H203,f_Id))</f>
        <v/>
      </c>
      <c r="C203" s="15">
        <f>IF($H203="","",IFERROR(INDEX(FormData,$H203,f_Time),""))</f>
        <v/>
      </c>
      <c r="D203" s="14">
        <f>IF($H203="","",IFERROR(UPPER(LEFT(TRIM(INDEX(FormData,$H203,f_Name)),1)&amp;IFERROR(MID(TRIM(INDEX(FormData,$H203,f_Name)),FIND("^",SUBSTITUTE(TRIM(INDEX(FormData,$H203,f_Name))," ","^",LEN(TRIM(INDEX(FormData,$H203,f_Name)))-LEN(SUBSTITUTE(TRIM(INDEX(FormData,$H203,f_Name))," ",""))))+1,1),"")),""))</f>
        <v/>
      </c>
      <c r="E203" s="16">
        <f>IF($H203="","",IFERROR(INDEX(EvID,MATCH(INDEX(FormData,$H203,f_Event),EvID,0)),IFERROR(INDEX(EvID,MATCH(INDEX(FormData,$H203,f_Event),EvName,0)),IFERROR(INDEX(EvID,MATCH(INT($C203),EvDate,0)),"(no event that day)"))))</f>
        <v/>
      </c>
      <c r="F203" s="16">
        <f>IF($H203="","",IFERROR(IF(SUMPRODUCT(MAX((WhoKW&lt;&gt;"")*ISNUMBER(SEARCH(WhoKW,INDEX(FormData,$H203,f_Who)&amp;""))*(ROW(WhoKW)-MIN(ROW(WhoKW))+1)))=0,"",INDEX(WhoVal,SUMPRODUCT(MAX((WhoKW&lt;&gt;"")*ISNUMBER(SEARCH(WhoKW,INDEX(FormData,$H203,f_Who)&amp;""))*(ROW(WhoKW)-MIN(ROW(WhoKW))+1))))),""))</f>
        <v/>
      </c>
      <c r="G203" s="14">
        <f>IF($H203="","",IF(COUNTIF(People!$U$5:$U$604,$B203)+COUNTIF(People!$U$5:$U$604,$B203&amp;"")&gt;0,"✓ logged","→ add"))</f>
        <v/>
      </c>
      <c r="H203">
        <f>IFERROR(IF(INDEX(FormData,200,f_Id)&amp;""="","",200),"")</f>
        <v/>
      </c>
      <c r="I203" s="16">
        <f>IF($H203="","",IFERROR(INDEX(FormData,$H203,f_Need)&amp;"",""))</f>
        <v/>
      </c>
    </row>
    <row r="204">
      <c r="A204" s="14" t="n">
        <v>200</v>
      </c>
      <c r="B204" s="14">
        <f>IF($H204="","",INDEX(FormData,$H204,f_Id))</f>
        <v/>
      </c>
      <c r="C204" s="15">
        <f>IF($H204="","",IFERROR(INDEX(FormData,$H204,f_Time),""))</f>
        <v/>
      </c>
      <c r="D204" s="14">
        <f>IF($H204="","",IFERROR(UPPER(LEFT(TRIM(INDEX(FormData,$H204,f_Name)),1)&amp;IFERROR(MID(TRIM(INDEX(FormData,$H204,f_Name)),FIND("^",SUBSTITUTE(TRIM(INDEX(FormData,$H204,f_Name))," ","^",LEN(TRIM(INDEX(FormData,$H204,f_Name)))-LEN(SUBSTITUTE(TRIM(INDEX(FormData,$H204,f_Name))," ",""))))+1,1),"")),""))</f>
        <v/>
      </c>
      <c r="E204" s="16">
        <f>IF($H204="","",IFERROR(INDEX(EvID,MATCH(INDEX(FormData,$H204,f_Event),EvID,0)),IFERROR(INDEX(EvID,MATCH(INDEX(FormData,$H204,f_Event),EvName,0)),IFERROR(INDEX(EvID,MATCH(INT($C204),EvDate,0)),"(no event that day)"))))</f>
        <v/>
      </c>
      <c r="F204" s="16">
        <f>IF($H204="","",IFERROR(IF(SUMPRODUCT(MAX((WhoKW&lt;&gt;"")*ISNUMBER(SEARCH(WhoKW,INDEX(FormData,$H204,f_Who)&amp;""))*(ROW(WhoKW)-MIN(ROW(WhoKW))+1)))=0,"",INDEX(WhoVal,SUMPRODUCT(MAX((WhoKW&lt;&gt;"")*ISNUMBER(SEARCH(WhoKW,INDEX(FormData,$H204,f_Who)&amp;""))*(ROW(WhoKW)-MIN(ROW(WhoKW))+1))))),""))</f>
        <v/>
      </c>
      <c r="G204" s="14">
        <f>IF($H204="","",IF(COUNTIF(People!$U$5:$U$604,$B204)+COUNTIF(People!$U$5:$U$604,$B204&amp;"")&gt;0,"✓ logged","→ add"))</f>
        <v/>
      </c>
      <c r="H204">
        <f>IFERROR(IF(INDEX(FormData,201,f_Id)&amp;""="","",201),"")</f>
        <v/>
      </c>
      <c r="I204" s="16">
        <f>IF($H204="","",IFERROR(INDEX(FormData,$H204,f_Need)&amp;"",""))</f>
        <v/>
      </c>
    </row>
    <row r="205">
      <c r="A205" s="14" t="n">
        <v>201</v>
      </c>
      <c r="B205" s="14">
        <f>IF($H205="","",INDEX(FormData,$H205,f_Id))</f>
        <v/>
      </c>
      <c r="C205" s="15">
        <f>IF($H205="","",IFERROR(INDEX(FormData,$H205,f_Time),""))</f>
        <v/>
      </c>
      <c r="D205" s="14">
        <f>IF($H205="","",IFERROR(UPPER(LEFT(TRIM(INDEX(FormData,$H205,f_Name)),1)&amp;IFERROR(MID(TRIM(INDEX(FormData,$H205,f_Name)),FIND("^",SUBSTITUTE(TRIM(INDEX(FormData,$H205,f_Name))," ","^",LEN(TRIM(INDEX(FormData,$H205,f_Name)))-LEN(SUBSTITUTE(TRIM(INDEX(FormData,$H205,f_Name))," ",""))))+1,1),"")),""))</f>
        <v/>
      </c>
      <c r="E205" s="16">
        <f>IF($H205="","",IFERROR(INDEX(EvID,MATCH(INDEX(FormData,$H205,f_Event),EvID,0)),IFERROR(INDEX(EvID,MATCH(INDEX(FormData,$H205,f_Event),EvName,0)),IFERROR(INDEX(EvID,MATCH(INT($C205),EvDate,0)),"(no event that day)"))))</f>
        <v/>
      </c>
      <c r="F205" s="16">
        <f>IF($H205="","",IFERROR(IF(SUMPRODUCT(MAX((WhoKW&lt;&gt;"")*ISNUMBER(SEARCH(WhoKW,INDEX(FormData,$H205,f_Who)&amp;""))*(ROW(WhoKW)-MIN(ROW(WhoKW))+1)))=0,"",INDEX(WhoVal,SUMPRODUCT(MAX((WhoKW&lt;&gt;"")*ISNUMBER(SEARCH(WhoKW,INDEX(FormData,$H205,f_Who)&amp;""))*(ROW(WhoKW)-MIN(ROW(WhoKW))+1))))),""))</f>
        <v/>
      </c>
      <c r="G205" s="14">
        <f>IF($H205="","",IF(COUNTIF(People!$U$5:$U$604,$B205)+COUNTIF(People!$U$5:$U$604,$B205&amp;"")&gt;0,"✓ logged","→ add"))</f>
        <v/>
      </c>
      <c r="H205">
        <f>IFERROR(IF(INDEX(FormData,202,f_Id)&amp;""="","",202),"")</f>
        <v/>
      </c>
      <c r="I205" s="16">
        <f>IF($H205="","",IFERROR(INDEX(FormData,$H205,f_Need)&amp;"",""))</f>
        <v/>
      </c>
    </row>
    <row r="206">
      <c r="A206" s="14" t="n">
        <v>202</v>
      </c>
      <c r="B206" s="14">
        <f>IF($H206="","",INDEX(FormData,$H206,f_Id))</f>
        <v/>
      </c>
      <c r="C206" s="15">
        <f>IF($H206="","",IFERROR(INDEX(FormData,$H206,f_Time),""))</f>
        <v/>
      </c>
      <c r="D206" s="14">
        <f>IF($H206="","",IFERROR(UPPER(LEFT(TRIM(INDEX(FormData,$H206,f_Name)),1)&amp;IFERROR(MID(TRIM(INDEX(FormData,$H206,f_Name)),FIND("^",SUBSTITUTE(TRIM(INDEX(FormData,$H206,f_Name))," ","^",LEN(TRIM(INDEX(FormData,$H206,f_Name)))-LEN(SUBSTITUTE(TRIM(INDEX(FormData,$H206,f_Name))," ",""))))+1,1),"")),""))</f>
        <v/>
      </c>
      <c r="E206" s="16">
        <f>IF($H206="","",IFERROR(INDEX(EvID,MATCH(INDEX(FormData,$H206,f_Event),EvID,0)),IFERROR(INDEX(EvID,MATCH(INDEX(FormData,$H206,f_Event),EvName,0)),IFERROR(INDEX(EvID,MATCH(INT($C206),EvDate,0)),"(no event that day)"))))</f>
        <v/>
      </c>
      <c r="F206" s="16">
        <f>IF($H206="","",IFERROR(IF(SUMPRODUCT(MAX((WhoKW&lt;&gt;"")*ISNUMBER(SEARCH(WhoKW,INDEX(FormData,$H206,f_Who)&amp;""))*(ROW(WhoKW)-MIN(ROW(WhoKW))+1)))=0,"",INDEX(WhoVal,SUMPRODUCT(MAX((WhoKW&lt;&gt;"")*ISNUMBER(SEARCH(WhoKW,INDEX(FormData,$H206,f_Who)&amp;""))*(ROW(WhoKW)-MIN(ROW(WhoKW))+1))))),""))</f>
        <v/>
      </c>
      <c r="G206" s="14">
        <f>IF($H206="","",IF(COUNTIF(People!$U$5:$U$604,$B206)+COUNTIF(People!$U$5:$U$604,$B206&amp;"")&gt;0,"✓ logged","→ add"))</f>
        <v/>
      </c>
      <c r="H206">
        <f>IFERROR(IF(INDEX(FormData,203,f_Id)&amp;""="","",203),"")</f>
        <v/>
      </c>
      <c r="I206" s="16">
        <f>IF($H206="","",IFERROR(INDEX(FormData,$H206,f_Need)&amp;"",""))</f>
        <v/>
      </c>
    </row>
    <row r="207">
      <c r="A207" s="14" t="n">
        <v>203</v>
      </c>
      <c r="B207" s="14">
        <f>IF($H207="","",INDEX(FormData,$H207,f_Id))</f>
        <v/>
      </c>
      <c r="C207" s="15">
        <f>IF($H207="","",IFERROR(INDEX(FormData,$H207,f_Time),""))</f>
        <v/>
      </c>
      <c r="D207" s="14">
        <f>IF($H207="","",IFERROR(UPPER(LEFT(TRIM(INDEX(FormData,$H207,f_Name)),1)&amp;IFERROR(MID(TRIM(INDEX(FormData,$H207,f_Name)),FIND("^",SUBSTITUTE(TRIM(INDEX(FormData,$H207,f_Name))," ","^",LEN(TRIM(INDEX(FormData,$H207,f_Name)))-LEN(SUBSTITUTE(TRIM(INDEX(FormData,$H207,f_Name))," ",""))))+1,1),"")),""))</f>
        <v/>
      </c>
      <c r="E207" s="16">
        <f>IF($H207="","",IFERROR(INDEX(EvID,MATCH(INDEX(FormData,$H207,f_Event),EvID,0)),IFERROR(INDEX(EvID,MATCH(INDEX(FormData,$H207,f_Event),EvName,0)),IFERROR(INDEX(EvID,MATCH(INT($C207),EvDate,0)),"(no event that day)"))))</f>
        <v/>
      </c>
      <c r="F207" s="16">
        <f>IF($H207="","",IFERROR(IF(SUMPRODUCT(MAX((WhoKW&lt;&gt;"")*ISNUMBER(SEARCH(WhoKW,INDEX(FormData,$H207,f_Who)&amp;""))*(ROW(WhoKW)-MIN(ROW(WhoKW))+1)))=0,"",INDEX(WhoVal,SUMPRODUCT(MAX((WhoKW&lt;&gt;"")*ISNUMBER(SEARCH(WhoKW,INDEX(FormData,$H207,f_Who)&amp;""))*(ROW(WhoKW)-MIN(ROW(WhoKW))+1))))),""))</f>
        <v/>
      </c>
      <c r="G207" s="14">
        <f>IF($H207="","",IF(COUNTIF(People!$U$5:$U$604,$B207)+COUNTIF(People!$U$5:$U$604,$B207&amp;"")&gt;0,"✓ logged","→ add"))</f>
        <v/>
      </c>
      <c r="H207">
        <f>IFERROR(IF(INDEX(FormData,204,f_Id)&amp;""="","",204),"")</f>
        <v/>
      </c>
      <c r="I207" s="16">
        <f>IF($H207="","",IFERROR(INDEX(FormData,$H207,f_Need)&amp;"",""))</f>
        <v/>
      </c>
    </row>
    <row r="208">
      <c r="A208" s="14" t="n">
        <v>204</v>
      </c>
      <c r="B208" s="14">
        <f>IF($H208="","",INDEX(FormData,$H208,f_Id))</f>
        <v/>
      </c>
      <c r="C208" s="15">
        <f>IF($H208="","",IFERROR(INDEX(FormData,$H208,f_Time),""))</f>
        <v/>
      </c>
      <c r="D208" s="14">
        <f>IF($H208="","",IFERROR(UPPER(LEFT(TRIM(INDEX(FormData,$H208,f_Name)),1)&amp;IFERROR(MID(TRIM(INDEX(FormData,$H208,f_Name)),FIND("^",SUBSTITUTE(TRIM(INDEX(FormData,$H208,f_Name))," ","^",LEN(TRIM(INDEX(FormData,$H208,f_Name)))-LEN(SUBSTITUTE(TRIM(INDEX(FormData,$H208,f_Name))," ",""))))+1,1),"")),""))</f>
        <v/>
      </c>
      <c r="E208" s="16">
        <f>IF($H208="","",IFERROR(INDEX(EvID,MATCH(INDEX(FormData,$H208,f_Event),EvID,0)),IFERROR(INDEX(EvID,MATCH(INDEX(FormData,$H208,f_Event),EvName,0)),IFERROR(INDEX(EvID,MATCH(INT($C208),EvDate,0)),"(no event that day)"))))</f>
        <v/>
      </c>
      <c r="F208" s="16">
        <f>IF($H208="","",IFERROR(IF(SUMPRODUCT(MAX((WhoKW&lt;&gt;"")*ISNUMBER(SEARCH(WhoKW,INDEX(FormData,$H208,f_Who)&amp;""))*(ROW(WhoKW)-MIN(ROW(WhoKW))+1)))=0,"",INDEX(WhoVal,SUMPRODUCT(MAX((WhoKW&lt;&gt;"")*ISNUMBER(SEARCH(WhoKW,INDEX(FormData,$H208,f_Who)&amp;""))*(ROW(WhoKW)-MIN(ROW(WhoKW))+1))))),""))</f>
        <v/>
      </c>
      <c r="G208" s="14">
        <f>IF($H208="","",IF(COUNTIF(People!$U$5:$U$604,$B208)+COUNTIF(People!$U$5:$U$604,$B208&amp;"")&gt;0,"✓ logged","→ add"))</f>
        <v/>
      </c>
      <c r="H208">
        <f>IFERROR(IF(INDEX(FormData,205,f_Id)&amp;""="","",205),"")</f>
        <v/>
      </c>
      <c r="I208" s="16">
        <f>IF($H208="","",IFERROR(INDEX(FormData,$H208,f_Need)&amp;"",""))</f>
        <v/>
      </c>
    </row>
    <row r="209">
      <c r="A209" s="14" t="n">
        <v>205</v>
      </c>
      <c r="B209" s="14">
        <f>IF($H209="","",INDEX(FormData,$H209,f_Id))</f>
        <v/>
      </c>
      <c r="C209" s="15">
        <f>IF($H209="","",IFERROR(INDEX(FormData,$H209,f_Time),""))</f>
        <v/>
      </c>
      <c r="D209" s="14">
        <f>IF($H209="","",IFERROR(UPPER(LEFT(TRIM(INDEX(FormData,$H209,f_Name)),1)&amp;IFERROR(MID(TRIM(INDEX(FormData,$H209,f_Name)),FIND("^",SUBSTITUTE(TRIM(INDEX(FormData,$H209,f_Name))," ","^",LEN(TRIM(INDEX(FormData,$H209,f_Name)))-LEN(SUBSTITUTE(TRIM(INDEX(FormData,$H209,f_Name))," ",""))))+1,1),"")),""))</f>
        <v/>
      </c>
      <c r="E209" s="16">
        <f>IF($H209="","",IFERROR(INDEX(EvID,MATCH(INDEX(FormData,$H209,f_Event),EvID,0)),IFERROR(INDEX(EvID,MATCH(INDEX(FormData,$H209,f_Event),EvName,0)),IFERROR(INDEX(EvID,MATCH(INT($C209),EvDate,0)),"(no event that day)"))))</f>
        <v/>
      </c>
      <c r="F209" s="16">
        <f>IF($H209="","",IFERROR(IF(SUMPRODUCT(MAX((WhoKW&lt;&gt;"")*ISNUMBER(SEARCH(WhoKW,INDEX(FormData,$H209,f_Who)&amp;""))*(ROW(WhoKW)-MIN(ROW(WhoKW))+1)))=0,"",INDEX(WhoVal,SUMPRODUCT(MAX((WhoKW&lt;&gt;"")*ISNUMBER(SEARCH(WhoKW,INDEX(FormData,$H209,f_Who)&amp;""))*(ROW(WhoKW)-MIN(ROW(WhoKW))+1))))),""))</f>
        <v/>
      </c>
      <c r="G209" s="14">
        <f>IF($H209="","",IF(COUNTIF(People!$U$5:$U$604,$B209)+COUNTIF(People!$U$5:$U$604,$B209&amp;"")&gt;0,"✓ logged","→ add"))</f>
        <v/>
      </c>
      <c r="H209">
        <f>IFERROR(IF(INDEX(FormData,206,f_Id)&amp;""="","",206),"")</f>
        <v/>
      </c>
      <c r="I209" s="16">
        <f>IF($H209="","",IFERROR(INDEX(FormData,$H209,f_Need)&amp;"",""))</f>
        <v/>
      </c>
    </row>
    <row r="210">
      <c r="A210" s="14" t="n">
        <v>206</v>
      </c>
      <c r="B210" s="14">
        <f>IF($H210="","",INDEX(FormData,$H210,f_Id))</f>
        <v/>
      </c>
      <c r="C210" s="15">
        <f>IF($H210="","",IFERROR(INDEX(FormData,$H210,f_Time),""))</f>
        <v/>
      </c>
      <c r="D210" s="14">
        <f>IF($H210="","",IFERROR(UPPER(LEFT(TRIM(INDEX(FormData,$H210,f_Name)),1)&amp;IFERROR(MID(TRIM(INDEX(FormData,$H210,f_Name)),FIND("^",SUBSTITUTE(TRIM(INDEX(FormData,$H210,f_Name))," ","^",LEN(TRIM(INDEX(FormData,$H210,f_Name)))-LEN(SUBSTITUTE(TRIM(INDEX(FormData,$H210,f_Name))," ",""))))+1,1),"")),""))</f>
        <v/>
      </c>
      <c r="E210" s="16">
        <f>IF($H210="","",IFERROR(INDEX(EvID,MATCH(INDEX(FormData,$H210,f_Event),EvID,0)),IFERROR(INDEX(EvID,MATCH(INDEX(FormData,$H210,f_Event),EvName,0)),IFERROR(INDEX(EvID,MATCH(INT($C210),EvDate,0)),"(no event that day)"))))</f>
        <v/>
      </c>
      <c r="F210" s="16">
        <f>IF($H210="","",IFERROR(IF(SUMPRODUCT(MAX((WhoKW&lt;&gt;"")*ISNUMBER(SEARCH(WhoKW,INDEX(FormData,$H210,f_Who)&amp;""))*(ROW(WhoKW)-MIN(ROW(WhoKW))+1)))=0,"",INDEX(WhoVal,SUMPRODUCT(MAX((WhoKW&lt;&gt;"")*ISNUMBER(SEARCH(WhoKW,INDEX(FormData,$H210,f_Who)&amp;""))*(ROW(WhoKW)-MIN(ROW(WhoKW))+1))))),""))</f>
        <v/>
      </c>
      <c r="G210" s="14">
        <f>IF($H210="","",IF(COUNTIF(People!$U$5:$U$604,$B210)+COUNTIF(People!$U$5:$U$604,$B210&amp;"")&gt;0,"✓ logged","→ add"))</f>
        <v/>
      </c>
      <c r="H210">
        <f>IFERROR(IF(INDEX(FormData,207,f_Id)&amp;""="","",207),"")</f>
        <v/>
      </c>
      <c r="I210" s="16">
        <f>IF($H210="","",IFERROR(INDEX(FormData,$H210,f_Need)&amp;"",""))</f>
        <v/>
      </c>
    </row>
    <row r="211">
      <c r="A211" s="14" t="n">
        <v>207</v>
      </c>
      <c r="B211" s="14">
        <f>IF($H211="","",INDEX(FormData,$H211,f_Id))</f>
        <v/>
      </c>
      <c r="C211" s="15">
        <f>IF($H211="","",IFERROR(INDEX(FormData,$H211,f_Time),""))</f>
        <v/>
      </c>
      <c r="D211" s="14">
        <f>IF($H211="","",IFERROR(UPPER(LEFT(TRIM(INDEX(FormData,$H211,f_Name)),1)&amp;IFERROR(MID(TRIM(INDEX(FormData,$H211,f_Name)),FIND("^",SUBSTITUTE(TRIM(INDEX(FormData,$H211,f_Name))," ","^",LEN(TRIM(INDEX(FormData,$H211,f_Name)))-LEN(SUBSTITUTE(TRIM(INDEX(FormData,$H211,f_Name))," ",""))))+1,1),"")),""))</f>
        <v/>
      </c>
      <c r="E211" s="16">
        <f>IF($H211="","",IFERROR(INDEX(EvID,MATCH(INDEX(FormData,$H211,f_Event),EvID,0)),IFERROR(INDEX(EvID,MATCH(INDEX(FormData,$H211,f_Event),EvName,0)),IFERROR(INDEX(EvID,MATCH(INT($C211),EvDate,0)),"(no event that day)"))))</f>
        <v/>
      </c>
      <c r="F211" s="16">
        <f>IF($H211="","",IFERROR(IF(SUMPRODUCT(MAX((WhoKW&lt;&gt;"")*ISNUMBER(SEARCH(WhoKW,INDEX(FormData,$H211,f_Who)&amp;""))*(ROW(WhoKW)-MIN(ROW(WhoKW))+1)))=0,"",INDEX(WhoVal,SUMPRODUCT(MAX((WhoKW&lt;&gt;"")*ISNUMBER(SEARCH(WhoKW,INDEX(FormData,$H211,f_Who)&amp;""))*(ROW(WhoKW)-MIN(ROW(WhoKW))+1))))),""))</f>
        <v/>
      </c>
      <c r="G211" s="14">
        <f>IF($H211="","",IF(COUNTIF(People!$U$5:$U$604,$B211)+COUNTIF(People!$U$5:$U$604,$B211&amp;"")&gt;0,"✓ logged","→ add"))</f>
        <v/>
      </c>
      <c r="H211">
        <f>IFERROR(IF(INDEX(FormData,208,f_Id)&amp;""="","",208),"")</f>
        <v/>
      </c>
      <c r="I211" s="16">
        <f>IF($H211="","",IFERROR(INDEX(FormData,$H211,f_Need)&amp;"",""))</f>
        <v/>
      </c>
    </row>
    <row r="212">
      <c r="A212" s="14" t="n">
        <v>208</v>
      </c>
      <c r="B212" s="14">
        <f>IF($H212="","",INDEX(FormData,$H212,f_Id))</f>
        <v/>
      </c>
      <c r="C212" s="15">
        <f>IF($H212="","",IFERROR(INDEX(FormData,$H212,f_Time),""))</f>
        <v/>
      </c>
      <c r="D212" s="14">
        <f>IF($H212="","",IFERROR(UPPER(LEFT(TRIM(INDEX(FormData,$H212,f_Name)),1)&amp;IFERROR(MID(TRIM(INDEX(FormData,$H212,f_Name)),FIND("^",SUBSTITUTE(TRIM(INDEX(FormData,$H212,f_Name))," ","^",LEN(TRIM(INDEX(FormData,$H212,f_Name)))-LEN(SUBSTITUTE(TRIM(INDEX(FormData,$H212,f_Name))," ",""))))+1,1),"")),""))</f>
        <v/>
      </c>
      <c r="E212" s="16">
        <f>IF($H212="","",IFERROR(INDEX(EvID,MATCH(INDEX(FormData,$H212,f_Event),EvID,0)),IFERROR(INDEX(EvID,MATCH(INDEX(FormData,$H212,f_Event),EvName,0)),IFERROR(INDEX(EvID,MATCH(INT($C212),EvDate,0)),"(no event that day)"))))</f>
        <v/>
      </c>
      <c r="F212" s="16">
        <f>IF($H212="","",IFERROR(IF(SUMPRODUCT(MAX((WhoKW&lt;&gt;"")*ISNUMBER(SEARCH(WhoKW,INDEX(FormData,$H212,f_Who)&amp;""))*(ROW(WhoKW)-MIN(ROW(WhoKW))+1)))=0,"",INDEX(WhoVal,SUMPRODUCT(MAX((WhoKW&lt;&gt;"")*ISNUMBER(SEARCH(WhoKW,INDEX(FormData,$H212,f_Who)&amp;""))*(ROW(WhoKW)-MIN(ROW(WhoKW))+1))))),""))</f>
        <v/>
      </c>
      <c r="G212" s="14">
        <f>IF($H212="","",IF(COUNTIF(People!$U$5:$U$604,$B212)+COUNTIF(People!$U$5:$U$604,$B212&amp;"")&gt;0,"✓ logged","→ add"))</f>
        <v/>
      </c>
      <c r="H212">
        <f>IFERROR(IF(INDEX(FormData,209,f_Id)&amp;""="","",209),"")</f>
        <v/>
      </c>
      <c r="I212" s="16">
        <f>IF($H212="","",IFERROR(INDEX(FormData,$H212,f_Need)&amp;"",""))</f>
        <v/>
      </c>
    </row>
    <row r="213">
      <c r="A213" s="14" t="n">
        <v>209</v>
      </c>
      <c r="B213" s="14">
        <f>IF($H213="","",INDEX(FormData,$H213,f_Id))</f>
        <v/>
      </c>
      <c r="C213" s="15">
        <f>IF($H213="","",IFERROR(INDEX(FormData,$H213,f_Time),""))</f>
        <v/>
      </c>
      <c r="D213" s="14">
        <f>IF($H213="","",IFERROR(UPPER(LEFT(TRIM(INDEX(FormData,$H213,f_Name)),1)&amp;IFERROR(MID(TRIM(INDEX(FormData,$H213,f_Name)),FIND("^",SUBSTITUTE(TRIM(INDEX(FormData,$H213,f_Name))," ","^",LEN(TRIM(INDEX(FormData,$H213,f_Name)))-LEN(SUBSTITUTE(TRIM(INDEX(FormData,$H213,f_Name))," ",""))))+1,1),"")),""))</f>
        <v/>
      </c>
      <c r="E213" s="16">
        <f>IF($H213="","",IFERROR(INDEX(EvID,MATCH(INDEX(FormData,$H213,f_Event),EvID,0)),IFERROR(INDEX(EvID,MATCH(INDEX(FormData,$H213,f_Event),EvName,0)),IFERROR(INDEX(EvID,MATCH(INT($C213),EvDate,0)),"(no event that day)"))))</f>
        <v/>
      </c>
      <c r="F213" s="16">
        <f>IF($H213="","",IFERROR(IF(SUMPRODUCT(MAX((WhoKW&lt;&gt;"")*ISNUMBER(SEARCH(WhoKW,INDEX(FormData,$H213,f_Who)&amp;""))*(ROW(WhoKW)-MIN(ROW(WhoKW))+1)))=0,"",INDEX(WhoVal,SUMPRODUCT(MAX((WhoKW&lt;&gt;"")*ISNUMBER(SEARCH(WhoKW,INDEX(FormData,$H213,f_Who)&amp;""))*(ROW(WhoKW)-MIN(ROW(WhoKW))+1))))),""))</f>
        <v/>
      </c>
      <c r="G213" s="14">
        <f>IF($H213="","",IF(COUNTIF(People!$U$5:$U$604,$B213)+COUNTIF(People!$U$5:$U$604,$B213&amp;"")&gt;0,"✓ logged","→ add"))</f>
        <v/>
      </c>
      <c r="H213">
        <f>IFERROR(IF(INDEX(FormData,210,f_Id)&amp;""="","",210),"")</f>
        <v/>
      </c>
      <c r="I213" s="16">
        <f>IF($H213="","",IFERROR(INDEX(FormData,$H213,f_Need)&amp;"",""))</f>
        <v/>
      </c>
    </row>
    <row r="214">
      <c r="A214" s="14" t="n">
        <v>210</v>
      </c>
      <c r="B214" s="14">
        <f>IF($H214="","",INDEX(FormData,$H214,f_Id))</f>
        <v/>
      </c>
      <c r="C214" s="15">
        <f>IF($H214="","",IFERROR(INDEX(FormData,$H214,f_Time),""))</f>
        <v/>
      </c>
      <c r="D214" s="14">
        <f>IF($H214="","",IFERROR(UPPER(LEFT(TRIM(INDEX(FormData,$H214,f_Name)),1)&amp;IFERROR(MID(TRIM(INDEX(FormData,$H214,f_Name)),FIND("^",SUBSTITUTE(TRIM(INDEX(FormData,$H214,f_Name))," ","^",LEN(TRIM(INDEX(FormData,$H214,f_Name)))-LEN(SUBSTITUTE(TRIM(INDEX(FormData,$H214,f_Name))," ",""))))+1,1),"")),""))</f>
        <v/>
      </c>
      <c r="E214" s="16">
        <f>IF($H214="","",IFERROR(INDEX(EvID,MATCH(INDEX(FormData,$H214,f_Event),EvID,0)),IFERROR(INDEX(EvID,MATCH(INDEX(FormData,$H214,f_Event),EvName,0)),IFERROR(INDEX(EvID,MATCH(INT($C214),EvDate,0)),"(no event that day)"))))</f>
        <v/>
      </c>
      <c r="F214" s="16">
        <f>IF($H214="","",IFERROR(IF(SUMPRODUCT(MAX((WhoKW&lt;&gt;"")*ISNUMBER(SEARCH(WhoKW,INDEX(FormData,$H214,f_Who)&amp;""))*(ROW(WhoKW)-MIN(ROW(WhoKW))+1)))=0,"",INDEX(WhoVal,SUMPRODUCT(MAX((WhoKW&lt;&gt;"")*ISNUMBER(SEARCH(WhoKW,INDEX(FormData,$H214,f_Who)&amp;""))*(ROW(WhoKW)-MIN(ROW(WhoKW))+1))))),""))</f>
        <v/>
      </c>
      <c r="G214" s="14">
        <f>IF($H214="","",IF(COUNTIF(People!$U$5:$U$604,$B214)+COUNTIF(People!$U$5:$U$604,$B214&amp;"")&gt;0,"✓ logged","→ add"))</f>
        <v/>
      </c>
      <c r="H214">
        <f>IFERROR(IF(INDEX(FormData,211,f_Id)&amp;""="","",211),"")</f>
        <v/>
      </c>
      <c r="I214" s="16">
        <f>IF($H214="","",IFERROR(INDEX(FormData,$H214,f_Need)&amp;"",""))</f>
        <v/>
      </c>
    </row>
    <row r="215">
      <c r="A215" s="14" t="n">
        <v>211</v>
      </c>
      <c r="B215" s="14">
        <f>IF($H215="","",INDEX(FormData,$H215,f_Id))</f>
        <v/>
      </c>
      <c r="C215" s="15">
        <f>IF($H215="","",IFERROR(INDEX(FormData,$H215,f_Time),""))</f>
        <v/>
      </c>
      <c r="D215" s="14">
        <f>IF($H215="","",IFERROR(UPPER(LEFT(TRIM(INDEX(FormData,$H215,f_Name)),1)&amp;IFERROR(MID(TRIM(INDEX(FormData,$H215,f_Name)),FIND("^",SUBSTITUTE(TRIM(INDEX(FormData,$H215,f_Name))," ","^",LEN(TRIM(INDEX(FormData,$H215,f_Name)))-LEN(SUBSTITUTE(TRIM(INDEX(FormData,$H215,f_Name))," ",""))))+1,1),"")),""))</f>
        <v/>
      </c>
      <c r="E215" s="16">
        <f>IF($H215="","",IFERROR(INDEX(EvID,MATCH(INDEX(FormData,$H215,f_Event),EvID,0)),IFERROR(INDEX(EvID,MATCH(INDEX(FormData,$H215,f_Event),EvName,0)),IFERROR(INDEX(EvID,MATCH(INT($C215),EvDate,0)),"(no event that day)"))))</f>
        <v/>
      </c>
      <c r="F215" s="16">
        <f>IF($H215="","",IFERROR(IF(SUMPRODUCT(MAX((WhoKW&lt;&gt;"")*ISNUMBER(SEARCH(WhoKW,INDEX(FormData,$H215,f_Who)&amp;""))*(ROW(WhoKW)-MIN(ROW(WhoKW))+1)))=0,"",INDEX(WhoVal,SUMPRODUCT(MAX((WhoKW&lt;&gt;"")*ISNUMBER(SEARCH(WhoKW,INDEX(FormData,$H215,f_Who)&amp;""))*(ROW(WhoKW)-MIN(ROW(WhoKW))+1))))),""))</f>
        <v/>
      </c>
      <c r="G215" s="14">
        <f>IF($H215="","",IF(COUNTIF(People!$U$5:$U$604,$B215)+COUNTIF(People!$U$5:$U$604,$B215&amp;"")&gt;0,"✓ logged","→ add"))</f>
        <v/>
      </c>
      <c r="H215">
        <f>IFERROR(IF(INDEX(FormData,212,f_Id)&amp;""="","",212),"")</f>
        <v/>
      </c>
      <c r="I215" s="16">
        <f>IF($H215="","",IFERROR(INDEX(FormData,$H215,f_Need)&amp;"",""))</f>
        <v/>
      </c>
    </row>
    <row r="216">
      <c r="A216" s="14" t="n">
        <v>212</v>
      </c>
      <c r="B216" s="14">
        <f>IF($H216="","",INDEX(FormData,$H216,f_Id))</f>
        <v/>
      </c>
      <c r="C216" s="15">
        <f>IF($H216="","",IFERROR(INDEX(FormData,$H216,f_Time),""))</f>
        <v/>
      </c>
      <c r="D216" s="14">
        <f>IF($H216="","",IFERROR(UPPER(LEFT(TRIM(INDEX(FormData,$H216,f_Name)),1)&amp;IFERROR(MID(TRIM(INDEX(FormData,$H216,f_Name)),FIND("^",SUBSTITUTE(TRIM(INDEX(FormData,$H216,f_Name))," ","^",LEN(TRIM(INDEX(FormData,$H216,f_Name)))-LEN(SUBSTITUTE(TRIM(INDEX(FormData,$H216,f_Name))," ",""))))+1,1),"")),""))</f>
        <v/>
      </c>
      <c r="E216" s="16">
        <f>IF($H216="","",IFERROR(INDEX(EvID,MATCH(INDEX(FormData,$H216,f_Event),EvID,0)),IFERROR(INDEX(EvID,MATCH(INDEX(FormData,$H216,f_Event),EvName,0)),IFERROR(INDEX(EvID,MATCH(INT($C216),EvDate,0)),"(no event that day)"))))</f>
        <v/>
      </c>
      <c r="F216" s="16">
        <f>IF($H216="","",IFERROR(IF(SUMPRODUCT(MAX((WhoKW&lt;&gt;"")*ISNUMBER(SEARCH(WhoKW,INDEX(FormData,$H216,f_Who)&amp;""))*(ROW(WhoKW)-MIN(ROW(WhoKW))+1)))=0,"",INDEX(WhoVal,SUMPRODUCT(MAX((WhoKW&lt;&gt;"")*ISNUMBER(SEARCH(WhoKW,INDEX(FormData,$H216,f_Who)&amp;""))*(ROW(WhoKW)-MIN(ROW(WhoKW))+1))))),""))</f>
        <v/>
      </c>
      <c r="G216" s="14">
        <f>IF($H216="","",IF(COUNTIF(People!$U$5:$U$604,$B216)+COUNTIF(People!$U$5:$U$604,$B216&amp;"")&gt;0,"✓ logged","→ add"))</f>
        <v/>
      </c>
      <c r="H216">
        <f>IFERROR(IF(INDEX(FormData,213,f_Id)&amp;""="","",213),"")</f>
        <v/>
      </c>
      <c r="I216" s="16">
        <f>IF($H216="","",IFERROR(INDEX(FormData,$H216,f_Need)&amp;"",""))</f>
        <v/>
      </c>
    </row>
    <row r="217">
      <c r="A217" s="14" t="n">
        <v>213</v>
      </c>
      <c r="B217" s="14">
        <f>IF($H217="","",INDEX(FormData,$H217,f_Id))</f>
        <v/>
      </c>
      <c r="C217" s="15">
        <f>IF($H217="","",IFERROR(INDEX(FormData,$H217,f_Time),""))</f>
        <v/>
      </c>
      <c r="D217" s="14">
        <f>IF($H217="","",IFERROR(UPPER(LEFT(TRIM(INDEX(FormData,$H217,f_Name)),1)&amp;IFERROR(MID(TRIM(INDEX(FormData,$H217,f_Name)),FIND("^",SUBSTITUTE(TRIM(INDEX(FormData,$H217,f_Name))," ","^",LEN(TRIM(INDEX(FormData,$H217,f_Name)))-LEN(SUBSTITUTE(TRIM(INDEX(FormData,$H217,f_Name))," ",""))))+1,1),"")),""))</f>
        <v/>
      </c>
      <c r="E217" s="16">
        <f>IF($H217="","",IFERROR(INDEX(EvID,MATCH(INDEX(FormData,$H217,f_Event),EvID,0)),IFERROR(INDEX(EvID,MATCH(INDEX(FormData,$H217,f_Event),EvName,0)),IFERROR(INDEX(EvID,MATCH(INT($C217),EvDate,0)),"(no event that day)"))))</f>
        <v/>
      </c>
      <c r="F217" s="16">
        <f>IF($H217="","",IFERROR(IF(SUMPRODUCT(MAX((WhoKW&lt;&gt;"")*ISNUMBER(SEARCH(WhoKW,INDEX(FormData,$H217,f_Who)&amp;""))*(ROW(WhoKW)-MIN(ROW(WhoKW))+1)))=0,"",INDEX(WhoVal,SUMPRODUCT(MAX((WhoKW&lt;&gt;"")*ISNUMBER(SEARCH(WhoKW,INDEX(FormData,$H217,f_Who)&amp;""))*(ROW(WhoKW)-MIN(ROW(WhoKW))+1))))),""))</f>
        <v/>
      </c>
      <c r="G217" s="14">
        <f>IF($H217="","",IF(COUNTIF(People!$U$5:$U$604,$B217)+COUNTIF(People!$U$5:$U$604,$B217&amp;"")&gt;0,"✓ logged","→ add"))</f>
        <v/>
      </c>
      <c r="H217">
        <f>IFERROR(IF(INDEX(FormData,214,f_Id)&amp;""="","",214),"")</f>
        <v/>
      </c>
      <c r="I217" s="16">
        <f>IF($H217="","",IFERROR(INDEX(FormData,$H217,f_Need)&amp;"",""))</f>
        <v/>
      </c>
    </row>
    <row r="218">
      <c r="A218" s="14" t="n">
        <v>214</v>
      </c>
      <c r="B218" s="14">
        <f>IF($H218="","",INDEX(FormData,$H218,f_Id))</f>
        <v/>
      </c>
      <c r="C218" s="15">
        <f>IF($H218="","",IFERROR(INDEX(FormData,$H218,f_Time),""))</f>
        <v/>
      </c>
      <c r="D218" s="14">
        <f>IF($H218="","",IFERROR(UPPER(LEFT(TRIM(INDEX(FormData,$H218,f_Name)),1)&amp;IFERROR(MID(TRIM(INDEX(FormData,$H218,f_Name)),FIND("^",SUBSTITUTE(TRIM(INDEX(FormData,$H218,f_Name))," ","^",LEN(TRIM(INDEX(FormData,$H218,f_Name)))-LEN(SUBSTITUTE(TRIM(INDEX(FormData,$H218,f_Name))," ",""))))+1,1),"")),""))</f>
        <v/>
      </c>
      <c r="E218" s="16">
        <f>IF($H218="","",IFERROR(INDEX(EvID,MATCH(INDEX(FormData,$H218,f_Event),EvID,0)),IFERROR(INDEX(EvID,MATCH(INDEX(FormData,$H218,f_Event),EvName,0)),IFERROR(INDEX(EvID,MATCH(INT($C218),EvDate,0)),"(no event that day)"))))</f>
        <v/>
      </c>
      <c r="F218" s="16">
        <f>IF($H218="","",IFERROR(IF(SUMPRODUCT(MAX((WhoKW&lt;&gt;"")*ISNUMBER(SEARCH(WhoKW,INDEX(FormData,$H218,f_Who)&amp;""))*(ROW(WhoKW)-MIN(ROW(WhoKW))+1)))=0,"",INDEX(WhoVal,SUMPRODUCT(MAX((WhoKW&lt;&gt;"")*ISNUMBER(SEARCH(WhoKW,INDEX(FormData,$H218,f_Who)&amp;""))*(ROW(WhoKW)-MIN(ROW(WhoKW))+1))))),""))</f>
        <v/>
      </c>
      <c r="G218" s="14">
        <f>IF($H218="","",IF(COUNTIF(People!$U$5:$U$604,$B218)+COUNTIF(People!$U$5:$U$604,$B218&amp;"")&gt;0,"✓ logged","→ add"))</f>
        <v/>
      </c>
      <c r="H218">
        <f>IFERROR(IF(INDEX(FormData,215,f_Id)&amp;""="","",215),"")</f>
        <v/>
      </c>
      <c r="I218" s="16">
        <f>IF($H218="","",IFERROR(INDEX(FormData,$H218,f_Need)&amp;"",""))</f>
        <v/>
      </c>
    </row>
    <row r="219">
      <c r="A219" s="14" t="n">
        <v>215</v>
      </c>
      <c r="B219" s="14">
        <f>IF($H219="","",INDEX(FormData,$H219,f_Id))</f>
        <v/>
      </c>
      <c r="C219" s="15">
        <f>IF($H219="","",IFERROR(INDEX(FormData,$H219,f_Time),""))</f>
        <v/>
      </c>
      <c r="D219" s="14">
        <f>IF($H219="","",IFERROR(UPPER(LEFT(TRIM(INDEX(FormData,$H219,f_Name)),1)&amp;IFERROR(MID(TRIM(INDEX(FormData,$H219,f_Name)),FIND("^",SUBSTITUTE(TRIM(INDEX(FormData,$H219,f_Name))," ","^",LEN(TRIM(INDEX(FormData,$H219,f_Name)))-LEN(SUBSTITUTE(TRIM(INDEX(FormData,$H219,f_Name))," ",""))))+1,1),"")),""))</f>
        <v/>
      </c>
      <c r="E219" s="16">
        <f>IF($H219="","",IFERROR(INDEX(EvID,MATCH(INDEX(FormData,$H219,f_Event),EvID,0)),IFERROR(INDEX(EvID,MATCH(INDEX(FormData,$H219,f_Event),EvName,0)),IFERROR(INDEX(EvID,MATCH(INT($C219),EvDate,0)),"(no event that day)"))))</f>
        <v/>
      </c>
      <c r="F219" s="16">
        <f>IF($H219="","",IFERROR(IF(SUMPRODUCT(MAX((WhoKW&lt;&gt;"")*ISNUMBER(SEARCH(WhoKW,INDEX(FormData,$H219,f_Who)&amp;""))*(ROW(WhoKW)-MIN(ROW(WhoKW))+1)))=0,"",INDEX(WhoVal,SUMPRODUCT(MAX((WhoKW&lt;&gt;"")*ISNUMBER(SEARCH(WhoKW,INDEX(FormData,$H219,f_Who)&amp;""))*(ROW(WhoKW)-MIN(ROW(WhoKW))+1))))),""))</f>
        <v/>
      </c>
      <c r="G219" s="14">
        <f>IF($H219="","",IF(COUNTIF(People!$U$5:$U$604,$B219)+COUNTIF(People!$U$5:$U$604,$B219&amp;"")&gt;0,"✓ logged","→ add"))</f>
        <v/>
      </c>
      <c r="H219">
        <f>IFERROR(IF(INDEX(FormData,216,f_Id)&amp;""="","",216),"")</f>
        <v/>
      </c>
      <c r="I219" s="16">
        <f>IF($H219="","",IFERROR(INDEX(FormData,$H219,f_Need)&amp;"",""))</f>
        <v/>
      </c>
    </row>
    <row r="220">
      <c r="A220" s="14" t="n">
        <v>216</v>
      </c>
      <c r="B220" s="14">
        <f>IF($H220="","",INDEX(FormData,$H220,f_Id))</f>
        <v/>
      </c>
      <c r="C220" s="15">
        <f>IF($H220="","",IFERROR(INDEX(FormData,$H220,f_Time),""))</f>
        <v/>
      </c>
      <c r="D220" s="14">
        <f>IF($H220="","",IFERROR(UPPER(LEFT(TRIM(INDEX(FormData,$H220,f_Name)),1)&amp;IFERROR(MID(TRIM(INDEX(FormData,$H220,f_Name)),FIND("^",SUBSTITUTE(TRIM(INDEX(FormData,$H220,f_Name))," ","^",LEN(TRIM(INDEX(FormData,$H220,f_Name)))-LEN(SUBSTITUTE(TRIM(INDEX(FormData,$H220,f_Name))," ",""))))+1,1),"")),""))</f>
        <v/>
      </c>
      <c r="E220" s="16">
        <f>IF($H220="","",IFERROR(INDEX(EvID,MATCH(INDEX(FormData,$H220,f_Event),EvID,0)),IFERROR(INDEX(EvID,MATCH(INDEX(FormData,$H220,f_Event),EvName,0)),IFERROR(INDEX(EvID,MATCH(INT($C220),EvDate,0)),"(no event that day)"))))</f>
        <v/>
      </c>
      <c r="F220" s="16">
        <f>IF($H220="","",IFERROR(IF(SUMPRODUCT(MAX((WhoKW&lt;&gt;"")*ISNUMBER(SEARCH(WhoKW,INDEX(FormData,$H220,f_Who)&amp;""))*(ROW(WhoKW)-MIN(ROW(WhoKW))+1)))=0,"",INDEX(WhoVal,SUMPRODUCT(MAX((WhoKW&lt;&gt;"")*ISNUMBER(SEARCH(WhoKW,INDEX(FormData,$H220,f_Who)&amp;""))*(ROW(WhoKW)-MIN(ROW(WhoKW))+1))))),""))</f>
        <v/>
      </c>
      <c r="G220" s="14">
        <f>IF($H220="","",IF(COUNTIF(People!$U$5:$U$604,$B220)+COUNTIF(People!$U$5:$U$604,$B220&amp;"")&gt;0,"✓ logged","→ add"))</f>
        <v/>
      </c>
      <c r="H220">
        <f>IFERROR(IF(INDEX(FormData,217,f_Id)&amp;""="","",217),"")</f>
        <v/>
      </c>
      <c r="I220" s="16">
        <f>IF($H220="","",IFERROR(INDEX(FormData,$H220,f_Need)&amp;"",""))</f>
        <v/>
      </c>
    </row>
    <row r="221">
      <c r="A221" s="14" t="n">
        <v>217</v>
      </c>
      <c r="B221" s="14">
        <f>IF($H221="","",INDEX(FormData,$H221,f_Id))</f>
        <v/>
      </c>
      <c r="C221" s="15">
        <f>IF($H221="","",IFERROR(INDEX(FormData,$H221,f_Time),""))</f>
        <v/>
      </c>
      <c r="D221" s="14">
        <f>IF($H221="","",IFERROR(UPPER(LEFT(TRIM(INDEX(FormData,$H221,f_Name)),1)&amp;IFERROR(MID(TRIM(INDEX(FormData,$H221,f_Name)),FIND("^",SUBSTITUTE(TRIM(INDEX(FormData,$H221,f_Name))," ","^",LEN(TRIM(INDEX(FormData,$H221,f_Name)))-LEN(SUBSTITUTE(TRIM(INDEX(FormData,$H221,f_Name))," ",""))))+1,1),"")),""))</f>
        <v/>
      </c>
      <c r="E221" s="16">
        <f>IF($H221="","",IFERROR(INDEX(EvID,MATCH(INDEX(FormData,$H221,f_Event),EvID,0)),IFERROR(INDEX(EvID,MATCH(INDEX(FormData,$H221,f_Event),EvName,0)),IFERROR(INDEX(EvID,MATCH(INT($C221),EvDate,0)),"(no event that day)"))))</f>
        <v/>
      </c>
      <c r="F221" s="16">
        <f>IF($H221="","",IFERROR(IF(SUMPRODUCT(MAX((WhoKW&lt;&gt;"")*ISNUMBER(SEARCH(WhoKW,INDEX(FormData,$H221,f_Who)&amp;""))*(ROW(WhoKW)-MIN(ROW(WhoKW))+1)))=0,"",INDEX(WhoVal,SUMPRODUCT(MAX((WhoKW&lt;&gt;"")*ISNUMBER(SEARCH(WhoKW,INDEX(FormData,$H221,f_Who)&amp;""))*(ROW(WhoKW)-MIN(ROW(WhoKW))+1))))),""))</f>
        <v/>
      </c>
      <c r="G221" s="14">
        <f>IF($H221="","",IF(COUNTIF(People!$U$5:$U$604,$B221)+COUNTIF(People!$U$5:$U$604,$B221&amp;"")&gt;0,"✓ logged","→ add"))</f>
        <v/>
      </c>
      <c r="H221">
        <f>IFERROR(IF(INDEX(FormData,218,f_Id)&amp;""="","",218),"")</f>
        <v/>
      </c>
      <c r="I221" s="16">
        <f>IF($H221="","",IFERROR(INDEX(FormData,$H221,f_Need)&amp;"",""))</f>
        <v/>
      </c>
    </row>
    <row r="222">
      <c r="A222" s="14" t="n">
        <v>218</v>
      </c>
      <c r="B222" s="14">
        <f>IF($H222="","",INDEX(FormData,$H222,f_Id))</f>
        <v/>
      </c>
      <c r="C222" s="15">
        <f>IF($H222="","",IFERROR(INDEX(FormData,$H222,f_Time),""))</f>
        <v/>
      </c>
      <c r="D222" s="14">
        <f>IF($H222="","",IFERROR(UPPER(LEFT(TRIM(INDEX(FormData,$H222,f_Name)),1)&amp;IFERROR(MID(TRIM(INDEX(FormData,$H222,f_Name)),FIND("^",SUBSTITUTE(TRIM(INDEX(FormData,$H222,f_Name))," ","^",LEN(TRIM(INDEX(FormData,$H222,f_Name)))-LEN(SUBSTITUTE(TRIM(INDEX(FormData,$H222,f_Name))," ",""))))+1,1),"")),""))</f>
        <v/>
      </c>
      <c r="E222" s="16">
        <f>IF($H222="","",IFERROR(INDEX(EvID,MATCH(INDEX(FormData,$H222,f_Event),EvID,0)),IFERROR(INDEX(EvID,MATCH(INDEX(FormData,$H222,f_Event),EvName,0)),IFERROR(INDEX(EvID,MATCH(INT($C222),EvDate,0)),"(no event that day)"))))</f>
        <v/>
      </c>
      <c r="F222" s="16">
        <f>IF($H222="","",IFERROR(IF(SUMPRODUCT(MAX((WhoKW&lt;&gt;"")*ISNUMBER(SEARCH(WhoKW,INDEX(FormData,$H222,f_Who)&amp;""))*(ROW(WhoKW)-MIN(ROW(WhoKW))+1)))=0,"",INDEX(WhoVal,SUMPRODUCT(MAX((WhoKW&lt;&gt;"")*ISNUMBER(SEARCH(WhoKW,INDEX(FormData,$H222,f_Who)&amp;""))*(ROW(WhoKW)-MIN(ROW(WhoKW))+1))))),""))</f>
        <v/>
      </c>
      <c r="G222" s="14">
        <f>IF($H222="","",IF(COUNTIF(People!$U$5:$U$604,$B222)+COUNTIF(People!$U$5:$U$604,$B222&amp;"")&gt;0,"✓ logged","→ add"))</f>
        <v/>
      </c>
      <c r="H222">
        <f>IFERROR(IF(INDEX(FormData,219,f_Id)&amp;""="","",219),"")</f>
        <v/>
      </c>
      <c r="I222" s="16">
        <f>IF($H222="","",IFERROR(INDEX(FormData,$H222,f_Need)&amp;"",""))</f>
        <v/>
      </c>
    </row>
    <row r="223">
      <c r="A223" s="14" t="n">
        <v>219</v>
      </c>
      <c r="B223" s="14">
        <f>IF($H223="","",INDEX(FormData,$H223,f_Id))</f>
        <v/>
      </c>
      <c r="C223" s="15">
        <f>IF($H223="","",IFERROR(INDEX(FormData,$H223,f_Time),""))</f>
        <v/>
      </c>
      <c r="D223" s="14">
        <f>IF($H223="","",IFERROR(UPPER(LEFT(TRIM(INDEX(FormData,$H223,f_Name)),1)&amp;IFERROR(MID(TRIM(INDEX(FormData,$H223,f_Name)),FIND("^",SUBSTITUTE(TRIM(INDEX(FormData,$H223,f_Name))," ","^",LEN(TRIM(INDEX(FormData,$H223,f_Name)))-LEN(SUBSTITUTE(TRIM(INDEX(FormData,$H223,f_Name))," ",""))))+1,1),"")),""))</f>
        <v/>
      </c>
      <c r="E223" s="16">
        <f>IF($H223="","",IFERROR(INDEX(EvID,MATCH(INDEX(FormData,$H223,f_Event),EvID,0)),IFERROR(INDEX(EvID,MATCH(INDEX(FormData,$H223,f_Event),EvName,0)),IFERROR(INDEX(EvID,MATCH(INT($C223),EvDate,0)),"(no event that day)"))))</f>
        <v/>
      </c>
      <c r="F223" s="16">
        <f>IF($H223="","",IFERROR(IF(SUMPRODUCT(MAX((WhoKW&lt;&gt;"")*ISNUMBER(SEARCH(WhoKW,INDEX(FormData,$H223,f_Who)&amp;""))*(ROW(WhoKW)-MIN(ROW(WhoKW))+1)))=0,"",INDEX(WhoVal,SUMPRODUCT(MAX((WhoKW&lt;&gt;"")*ISNUMBER(SEARCH(WhoKW,INDEX(FormData,$H223,f_Who)&amp;""))*(ROW(WhoKW)-MIN(ROW(WhoKW))+1))))),""))</f>
        <v/>
      </c>
      <c r="G223" s="14">
        <f>IF($H223="","",IF(COUNTIF(People!$U$5:$U$604,$B223)+COUNTIF(People!$U$5:$U$604,$B223&amp;"")&gt;0,"✓ logged","→ add"))</f>
        <v/>
      </c>
      <c r="H223">
        <f>IFERROR(IF(INDEX(FormData,220,f_Id)&amp;""="","",220),"")</f>
        <v/>
      </c>
      <c r="I223" s="16">
        <f>IF($H223="","",IFERROR(INDEX(FormData,$H223,f_Need)&amp;"",""))</f>
        <v/>
      </c>
    </row>
    <row r="224">
      <c r="A224" s="14" t="n">
        <v>220</v>
      </c>
      <c r="B224" s="14">
        <f>IF($H224="","",INDEX(FormData,$H224,f_Id))</f>
        <v/>
      </c>
      <c r="C224" s="15">
        <f>IF($H224="","",IFERROR(INDEX(FormData,$H224,f_Time),""))</f>
        <v/>
      </c>
      <c r="D224" s="14">
        <f>IF($H224="","",IFERROR(UPPER(LEFT(TRIM(INDEX(FormData,$H224,f_Name)),1)&amp;IFERROR(MID(TRIM(INDEX(FormData,$H224,f_Name)),FIND("^",SUBSTITUTE(TRIM(INDEX(FormData,$H224,f_Name))," ","^",LEN(TRIM(INDEX(FormData,$H224,f_Name)))-LEN(SUBSTITUTE(TRIM(INDEX(FormData,$H224,f_Name))," ",""))))+1,1),"")),""))</f>
        <v/>
      </c>
      <c r="E224" s="16">
        <f>IF($H224="","",IFERROR(INDEX(EvID,MATCH(INDEX(FormData,$H224,f_Event),EvID,0)),IFERROR(INDEX(EvID,MATCH(INDEX(FormData,$H224,f_Event),EvName,0)),IFERROR(INDEX(EvID,MATCH(INT($C224),EvDate,0)),"(no event that day)"))))</f>
        <v/>
      </c>
      <c r="F224" s="16">
        <f>IF($H224="","",IFERROR(IF(SUMPRODUCT(MAX((WhoKW&lt;&gt;"")*ISNUMBER(SEARCH(WhoKW,INDEX(FormData,$H224,f_Who)&amp;""))*(ROW(WhoKW)-MIN(ROW(WhoKW))+1)))=0,"",INDEX(WhoVal,SUMPRODUCT(MAX((WhoKW&lt;&gt;"")*ISNUMBER(SEARCH(WhoKW,INDEX(FormData,$H224,f_Who)&amp;""))*(ROW(WhoKW)-MIN(ROW(WhoKW))+1))))),""))</f>
        <v/>
      </c>
      <c r="G224" s="14">
        <f>IF($H224="","",IF(COUNTIF(People!$U$5:$U$604,$B224)+COUNTIF(People!$U$5:$U$604,$B224&amp;"")&gt;0,"✓ logged","→ add"))</f>
        <v/>
      </c>
      <c r="H224">
        <f>IFERROR(IF(INDEX(FormData,221,f_Id)&amp;""="","",221),"")</f>
        <v/>
      </c>
      <c r="I224" s="16">
        <f>IF($H224="","",IFERROR(INDEX(FormData,$H224,f_Need)&amp;"",""))</f>
        <v/>
      </c>
    </row>
    <row r="225">
      <c r="A225" s="14" t="n">
        <v>221</v>
      </c>
      <c r="B225" s="14">
        <f>IF($H225="","",INDEX(FormData,$H225,f_Id))</f>
        <v/>
      </c>
      <c r="C225" s="15">
        <f>IF($H225="","",IFERROR(INDEX(FormData,$H225,f_Time),""))</f>
        <v/>
      </c>
      <c r="D225" s="14">
        <f>IF($H225="","",IFERROR(UPPER(LEFT(TRIM(INDEX(FormData,$H225,f_Name)),1)&amp;IFERROR(MID(TRIM(INDEX(FormData,$H225,f_Name)),FIND("^",SUBSTITUTE(TRIM(INDEX(FormData,$H225,f_Name))," ","^",LEN(TRIM(INDEX(FormData,$H225,f_Name)))-LEN(SUBSTITUTE(TRIM(INDEX(FormData,$H225,f_Name))," ",""))))+1,1),"")),""))</f>
        <v/>
      </c>
      <c r="E225" s="16">
        <f>IF($H225="","",IFERROR(INDEX(EvID,MATCH(INDEX(FormData,$H225,f_Event),EvID,0)),IFERROR(INDEX(EvID,MATCH(INDEX(FormData,$H225,f_Event),EvName,0)),IFERROR(INDEX(EvID,MATCH(INT($C225),EvDate,0)),"(no event that day)"))))</f>
        <v/>
      </c>
      <c r="F225" s="16">
        <f>IF($H225="","",IFERROR(IF(SUMPRODUCT(MAX((WhoKW&lt;&gt;"")*ISNUMBER(SEARCH(WhoKW,INDEX(FormData,$H225,f_Who)&amp;""))*(ROW(WhoKW)-MIN(ROW(WhoKW))+1)))=0,"",INDEX(WhoVal,SUMPRODUCT(MAX((WhoKW&lt;&gt;"")*ISNUMBER(SEARCH(WhoKW,INDEX(FormData,$H225,f_Who)&amp;""))*(ROW(WhoKW)-MIN(ROW(WhoKW))+1))))),""))</f>
        <v/>
      </c>
      <c r="G225" s="14">
        <f>IF($H225="","",IF(COUNTIF(People!$U$5:$U$604,$B225)+COUNTIF(People!$U$5:$U$604,$B225&amp;"")&gt;0,"✓ logged","→ add"))</f>
        <v/>
      </c>
      <c r="H225">
        <f>IFERROR(IF(INDEX(FormData,222,f_Id)&amp;""="","",222),"")</f>
        <v/>
      </c>
      <c r="I225" s="16">
        <f>IF($H225="","",IFERROR(INDEX(FormData,$H225,f_Need)&amp;"",""))</f>
        <v/>
      </c>
    </row>
    <row r="226">
      <c r="A226" s="14" t="n">
        <v>222</v>
      </c>
      <c r="B226" s="14">
        <f>IF($H226="","",INDEX(FormData,$H226,f_Id))</f>
        <v/>
      </c>
      <c r="C226" s="15">
        <f>IF($H226="","",IFERROR(INDEX(FormData,$H226,f_Time),""))</f>
        <v/>
      </c>
      <c r="D226" s="14">
        <f>IF($H226="","",IFERROR(UPPER(LEFT(TRIM(INDEX(FormData,$H226,f_Name)),1)&amp;IFERROR(MID(TRIM(INDEX(FormData,$H226,f_Name)),FIND("^",SUBSTITUTE(TRIM(INDEX(FormData,$H226,f_Name))," ","^",LEN(TRIM(INDEX(FormData,$H226,f_Name)))-LEN(SUBSTITUTE(TRIM(INDEX(FormData,$H226,f_Name))," ",""))))+1,1),"")),""))</f>
        <v/>
      </c>
      <c r="E226" s="16">
        <f>IF($H226="","",IFERROR(INDEX(EvID,MATCH(INDEX(FormData,$H226,f_Event),EvID,0)),IFERROR(INDEX(EvID,MATCH(INDEX(FormData,$H226,f_Event),EvName,0)),IFERROR(INDEX(EvID,MATCH(INT($C226),EvDate,0)),"(no event that day)"))))</f>
        <v/>
      </c>
      <c r="F226" s="16">
        <f>IF($H226="","",IFERROR(IF(SUMPRODUCT(MAX((WhoKW&lt;&gt;"")*ISNUMBER(SEARCH(WhoKW,INDEX(FormData,$H226,f_Who)&amp;""))*(ROW(WhoKW)-MIN(ROW(WhoKW))+1)))=0,"",INDEX(WhoVal,SUMPRODUCT(MAX((WhoKW&lt;&gt;"")*ISNUMBER(SEARCH(WhoKW,INDEX(FormData,$H226,f_Who)&amp;""))*(ROW(WhoKW)-MIN(ROW(WhoKW))+1))))),""))</f>
        <v/>
      </c>
      <c r="G226" s="14">
        <f>IF($H226="","",IF(COUNTIF(People!$U$5:$U$604,$B226)+COUNTIF(People!$U$5:$U$604,$B226&amp;"")&gt;0,"✓ logged","→ add"))</f>
        <v/>
      </c>
      <c r="H226">
        <f>IFERROR(IF(INDEX(FormData,223,f_Id)&amp;""="","",223),"")</f>
        <v/>
      </c>
      <c r="I226" s="16">
        <f>IF($H226="","",IFERROR(INDEX(FormData,$H226,f_Need)&amp;"",""))</f>
        <v/>
      </c>
    </row>
    <row r="227">
      <c r="A227" s="14" t="n">
        <v>223</v>
      </c>
      <c r="B227" s="14">
        <f>IF($H227="","",INDEX(FormData,$H227,f_Id))</f>
        <v/>
      </c>
      <c r="C227" s="15">
        <f>IF($H227="","",IFERROR(INDEX(FormData,$H227,f_Time),""))</f>
        <v/>
      </c>
      <c r="D227" s="14">
        <f>IF($H227="","",IFERROR(UPPER(LEFT(TRIM(INDEX(FormData,$H227,f_Name)),1)&amp;IFERROR(MID(TRIM(INDEX(FormData,$H227,f_Name)),FIND("^",SUBSTITUTE(TRIM(INDEX(FormData,$H227,f_Name))," ","^",LEN(TRIM(INDEX(FormData,$H227,f_Name)))-LEN(SUBSTITUTE(TRIM(INDEX(FormData,$H227,f_Name))," ",""))))+1,1),"")),""))</f>
        <v/>
      </c>
      <c r="E227" s="16">
        <f>IF($H227="","",IFERROR(INDEX(EvID,MATCH(INDEX(FormData,$H227,f_Event),EvID,0)),IFERROR(INDEX(EvID,MATCH(INDEX(FormData,$H227,f_Event),EvName,0)),IFERROR(INDEX(EvID,MATCH(INT($C227),EvDate,0)),"(no event that day)"))))</f>
        <v/>
      </c>
      <c r="F227" s="16">
        <f>IF($H227="","",IFERROR(IF(SUMPRODUCT(MAX((WhoKW&lt;&gt;"")*ISNUMBER(SEARCH(WhoKW,INDEX(FormData,$H227,f_Who)&amp;""))*(ROW(WhoKW)-MIN(ROW(WhoKW))+1)))=0,"",INDEX(WhoVal,SUMPRODUCT(MAX((WhoKW&lt;&gt;"")*ISNUMBER(SEARCH(WhoKW,INDEX(FormData,$H227,f_Who)&amp;""))*(ROW(WhoKW)-MIN(ROW(WhoKW))+1))))),""))</f>
        <v/>
      </c>
      <c r="G227" s="14">
        <f>IF($H227="","",IF(COUNTIF(People!$U$5:$U$604,$B227)+COUNTIF(People!$U$5:$U$604,$B227&amp;"")&gt;0,"✓ logged","→ add"))</f>
        <v/>
      </c>
      <c r="H227">
        <f>IFERROR(IF(INDEX(FormData,224,f_Id)&amp;""="","",224),"")</f>
        <v/>
      </c>
      <c r="I227" s="16">
        <f>IF($H227="","",IFERROR(INDEX(FormData,$H227,f_Need)&amp;"",""))</f>
        <v/>
      </c>
    </row>
    <row r="228">
      <c r="A228" s="14" t="n">
        <v>224</v>
      </c>
      <c r="B228" s="14">
        <f>IF($H228="","",INDEX(FormData,$H228,f_Id))</f>
        <v/>
      </c>
      <c r="C228" s="15">
        <f>IF($H228="","",IFERROR(INDEX(FormData,$H228,f_Time),""))</f>
        <v/>
      </c>
      <c r="D228" s="14">
        <f>IF($H228="","",IFERROR(UPPER(LEFT(TRIM(INDEX(FormData,$H228,f_Name)),1)&amp;IFERROR(MID(TRIM(INDEX(FormData,$H228,f_Name)),FIND("^",SUBSTITUTE(TRIM(INDEX(FormData,$H228,f_Name))," ","^",LEN(TRIM(INDEX(FormData,$H228,f_Name)))-LEN(SUBSTITUTE(TRIM(INDEX(FormData,$H228,f_Name))," ",""))))+1,1),"")),""))</f>
        <v/>
      </c>
      <c r="E228" s="16">
        <f>IF($H228="","",IFERROR(INDEX(EvID,MATCH(INDEX(FormData,$H228,f_Event),EvID,0)),IFERROR(INDEX(EvID,MATCH(INDEX(FormData,$H228,f_Event),EvName,0)),IFERROR(INDEX(EvID,MATCH(INT($C228),EvDate,0)),"(no event that day)"))))</f>
        <v/>
      </c>
      <c r="F228" s="16">
        <f>IF($H228="","",IFERROR(IF(SUMPRODUCT(MAX((WhoKW&lt;&gt;"")*ISNUMBER(SEARCH(WhoKW,INDEX(FormData,$H228,f_Who)&amp;""))*(ROW(WhoKW)-MIN(ROW(WhoKW))+1)))=0,"",INDEX(WhoVal,SUMPRODUCT(MAX((WhoKW&lt;&gt;"")*ISNUMBER(SEARCH(WhoKW,INDEX(FormData,$H228,f_Who)&amp;""))*(ROW(WhoKW)-MIN(ROW(WhoKW))+1))))),""))</f>
        <v/>
      </c>
      <c r="G228" s="14">
        <f>IF($H228="","",IF(COUNTIF(People!$U$5:$U$604,$B228)+COUNTIF(People!$U$5:$U$604,$B228&amp;"")&gt;0,"✓ logged","→ add"))</f>
        <v/>
      </c>
      <c r="H228">
        <f>IFERROR(IF(INDEX(FormData,225,f_Id)&amp;""="","",225),"")</f>
        <v/>
      </c>
      <c r="I228" s="16">
        <f>IF($H228="","",IFERROR(INDEX(FormData,$H228,f_Need)&amp;"",""))</f>
        <v/>
      </c>
    </row>
    <row r="229">
      <c r="A229" s="14" t="n">
        <v>225</v>
      </c>
      <c r="B229" s="14">
        <f>IF($H229="","",INDEX(FormData,$H229,f_Id))</f>
        <v/>
      </c>
      <c r="C229" s="15">
        <f>IF($H229="","",IFERROR(INDEX(FormData,$H229,f_Time),""))</f>
        <v/>
      </c>
      <c r="D229" s="14">
        <f>IF($H229="","",IFERROR(UPPER(LEFT(TRIM(INDEX(FormData,$H229,f_Name)),1)&amp;IFERROR(MID(TRIM(INDEX(FormData,$H229,f_Name)),FIND("^",SUBSTITUTE(TRIM(INDEX(FormData,$H229,f_Name))," ","^",LEN(TRIM(INDEX(FormData,$H229,f_Name)))-LEN(SUBSTITUTE(TRIM(INDEX(FormData,$H229,f_Name))," ",""))))+1,1),"")),""))</f>
        <v/>
      </c>
      <c r="E229" s="16">
        <f>IF($H229="","",IFERROR(INDEX(EvID,MATCH(INDEX(FormData,$H229,f_Event),EvID,0)),IFERROR(INDEX(EvID,MATCH(INDEX(FormData,$H229,f_Event),EvName,0)),IFERROR(INDEX(EvID,MATCH(INT($C229),EvDate,0)),"(no event that day)"))))</f>
        <v/>
      </c>
      <c r="F229" s="16">
        <f>IF($H229="","",IFERROR(IF(SUMPRODUCT(MAX((WhoKW&lt;&gt;"")*ISNUMBER(SEARCH(WhoKW,INDEX(FormData,$H229,f_Who)&amp;""))*(ROW(WhoKW)-MIN(ROW(WhoKW))+1)))=0,"",INDEX(WhoVal,SUMPRODUCT(MAX((WhoKW&lt;&gt;"")*ISNUMBER(SEARCH(WhoKW,INDEX(FormData,$H229,f_Who)&amp;""))*(ROW(WhoKW)-MIN(ROW(WhoKW))+1))))),""))</f>
        <v/>
      </c>
      <c r="G229" s="14">
        <f>IF($H229="","",IF(COUNTIF(People!$U$5:$U$604,$B229)+COUNTIF(People!$U$5:$U$604,$B229&amp;"")&gt;0,"✓ logged","→ add"))</f>
        <v/>
      </c>
      <c r="H229">
        <f>IFERROR(IF(INDEX(FormData,226,f_Id)&amp;""="","",226),"")</f>
        <v/>
      </c>
      <c r="I229" s="16">
        <f>IF($H229="","",IFERROR(INDEX(FormData,$H229,f_Need)&amp;"",""))</f>
        <v/>
      </c>
    </row>
    <row r="230">
      <c r="A230" s="14" t="n">
        <v>226</v>
      </c>
      <c r="B230" s="14">
        <f>IF($H230="","",INDEX(FormData,$H230,f_Id))</f>
        <v/>
      </c>
      <c r="C230" s="15">
        <f>IF($H230="","",IFERROR(INDEX(FormData,$H230,f_Time),""))</f>
        <v/>
      </c>
      <c r="D230" s="14">
        <f>IF($H230="","",IFERROR(UPPER(LEFT(TRIM(INDEX(FormData,$H230,f_Name)),1)&amp;IFERROR(MID(TRIM(INDEX(FormData,$H230,f_Name)),FIND("^",SUBSTITUTE(TRIM(INDEX(FormData,$H230,f_Name))," ","^",LEN(TRIM(INDEX(FormData,$H230,f_Name)))-LEN(SUBSTITUTE(TRIM(INDEX(FormData,$H230,f_Name))," ",""))))+1,1),"")),""))</f>
        <v/>
      </c>
      <c r="E230" s="16">
        <f>IF($H230="","",IFERROR(INDEX(EvID,MATCH(INDEX(FormData,$H230,f_Event),EvID,0)),IFERROR(INDEX(EvID,MATCH(INDEX(FormData,$H230,f_Event),EvName,0)),IFERROR(INDEX(EvID,MATCH(INT($C230),EvDate,0)),"(no event that day)"))))</f>
        <v/>
      </c>
      <c r="F230" s="16">
        <f>IF($H230="","",IFERROR(IF(SUMPRODUCT(MAX((WhoKW&lt;&gt;"")*ISNUMBER(SEARCH(WhoKW,INDEX(FormData,$H230,f_Who)&amp;""))*(ROW(WhoKW)-MIN(ROW(WhoKW))+1)))=0,"",INDEX(WhoVal,SUMPRODUCT(MAX((WhoKW&lt;&gt;"")*ISNUMBER(SEARCH(WhoKW,INDEX(FormData,$H230,f_Who)&amp;""))*(ROW(WhoKW)-MIN(ROW(WhoKW))+1))))),""))</f>
        <v/>
      </c>
      <c r="G230" s="14">
        <f>IF($H230="","",IF(COUNTIF(People!$U$5:$U$604,$B230)+COUNTIF(People!$U$5:$U$604,$B230&amp;"")&gt;0,"✓ logged","→ add"))</f>
        <v/>
      </c>
      <c r="H230">
        <f>IFERROR(IF(INDEX(FormData,227,f_Id)&amp;""="","",227),"")</f>
        <v/>
      </c>
      <c r="I230" s="16">
        <f>IF($H230="","",IFERROR(INDEX(FormData,$H230,f_Need)&amp;"",""))</f>
        <v/>
      </c>
    </row>
    <row r="231">
      <c r="A231" s="14" t="n">
        <v>227</v>
      </c>
      <c r="B231" s="14">
        <f>IF($H231="","",INDEX(FormData,$H231,f_Id))</f>
        <v/>
      </c>
      <c r="C231" s="15">
        <f>IF($H231="","",IFERROR(INDEX(FormData,$H231,f_Time),""))</f>
        <v/>
      </c>
      <c r="D231" s="14">
        <f>IF($H231="","",IFERROR(UPPER(LEFT(TRIM(INDEX(FormData,$H231,f_Name)),1)&amp;IFERROR(MID(TRIM(INDEX(FormData,$H231,f_Name)),FIND("^",SUBSTITUTE(TRIM(INDEX(FormData,$H231,f_Name))," ","^",LEN(TRIM(INDEX(FormData,$H231,f_Name)))-LEN(SUBSTITUTE(TRIM(INDEX(FormData,$H231,f_Name))," ",""))))+1,1),"")),""))</f>
        <v/>
      </c>
      <c r="E231" s="16">
        <f>IF($H231="","",IFERROR(INDEX(EvID,MATCH(INDEX(FormData,$H231,f_Event),EvID,0)),IFERROR(INDEX(EvID,MATCH(INDEX(FormData,$H231,f_Event),EvName,0)),IFERROR(INDEX(EvID,MATCH(INT($C231),EvDate,0)),"(no event that day)"))))</f>
        <v/>
      </c>
      <c r="F231" s="16">
        <f>IF($H231="","",IFERROR(IF(SUMPRODUCT(MAX((WhoKW&lt;&gt;"")*ISNUMBER(SEARCH(WhoKW,INDEX(FormData,$H231,f_Who)&amp;""))*(ROW(WhoKW)-MIN(ROW(WhoKW))+1)))=0,"",INDEX(WhoVal,SUMPRODUCT(MAX((WhoKW&lt;&gt;"")*ISNUMBER(SEARCH(WhoKW,INDEX(FormData,$H231,f_Who)&amp;""))*(ROW(WhoKW)-MIN(ROW(WhoKW))+1))))),""))</f>
        <v/>
      </c>
      <c r="G231" s="14">
        <f>IF($H231="","",IF(COUNTIF(People!$U$5:$U$604,$B231)+COUNTIF(People!$U$5:$U$604,$B231&amp;"")&gt;0,"✓ logged","→ add"))</f>
        <v/>
      </c>
      <c r="H231">
        <f>IFERROR(IF(INDEX(FormData,228,f_Id)&amp;""="","",228),"")</f>
        <v/>
      </c>
      <c r="I231" s="16">
        <f>IF($H231="","",IFERROR(INDEX(FormData,$H231,f_Need)&amp;"",""))</f>
        <v/>
      </c>
    </row>
    <row r="232">
      <c r="A232" s="14" t="n">
        <v>228</v>
      </c>
      <c r="B232" s="14">
        <f>IF($H232="","",INDEX(FormData,$H232,f_Id))</f>
        <v/>
      </c>
      <c r="C232" s="15">
        <f>IF($H232="","",IFERROR(INDEX(FormData,$H232,f_Time),""))</f>
        <v/>
      </c>
      <c r="D232" s="14">
        <f>IF($H232="","",IFERROR(UPPER(LEFT(TRIM(INDEX(FormData,$H232,f_Name)),1)&amp;IFERROR(MID(TRIM(INDEX(FormData,$H232,f_Name)),FIND("^",SUBSTITUTE(TRIM(INDEX(FormData,$H232,f_Name))," ","^",LEN(TRIM(INDEX(FormData,$H232,f_Name)))-LEN(SUBSTITUTE(TRIM(INDEX(FormData,$H232,f_Name))," ",""))))+1,1),"")),""))</f>
        <v/>
      </c>
      <c r="E232" s="16">
        <f>IF($H232="","",IFERROR(INDEX(EvID,MATCH(INDEX(FormData,$H232,f_Event),EvID,0)),IFERROR(INDEX(EvID,MATCH(INDEX(FormData,$H232,f_Event),EvName,0)),IFERROR(INDEX(EvID,MATCH(INT($C232),EvDate,0)),"(no event that day)"))))</f>
        <v/>
      </c>
      <c r="F232" s="16">
        <f>IF($H232="","",IFERROR(IF(SUMPRODUCT(MAX((WhoKW&lt;&gt;"")*ISNUMBER(SEARCH(WhoKW,INDEX(FormData,$H232,f_Who)&amp;""))*(ROW(WhoKW)-MIN(ROW(WhoKW))+1)))=0,"",INDEX(WhoVal,SUMPRODUCT(MAX((WhoKW&lt;&gt;"")*ISNUMBER(SEARCH(WhoKW,INDEX(FormData,$H232,f_Who)&amp;""))*(ROW(WhoKW)-MIN(ROW(WhoKW))+1))))),""))</f>
        <v/>
      </c>
      <c r="G232" s="14">
        <f>IF($H232="","",IF(COUNTIF(People!$U$5:$U$604,$B232)+COUNTIF(People!$U$5:$U$604,$B232&amp;"")&gt;0,"✓ logged","→ add"))</f>
        <v/>
      </c>
      <c r="H232">
        <f>IFERROR(IF(INDEX(FormData,229,f_Id)&amp;""="","",229),"")</f>
        <v/>
      </c>
      <c r="I232" s="16">
        <f>IF($H232="","",IFERROR(INDEX(FormData,$H232,f_Need)&amp;"",""))</f>
        <v/>
      </c>
    </row>
    <row r="233">
      <c r="A233" s="14" t="n">
        <v>229</v>
      </c>
      <c r="B233" s="14">
        <f>IF($H233="","",INDEX(FormData,$H233,f_Id))</f>
        <v/>
      </c>
      <c r="C233" s="15">
        <f>IF($H233="","",IFERROR(INDEX(FormData,$H233,f_Time),""))</f>
        <v/>
      </c>
      <c r="D233" s="14">
        <f>IF($H233="","",IFERROR(UPPER(LEFT(TRIM(INDEX(FormData,$H233,f_Name)),1)&amp;IFERROR(MID(TRIM(INDEX(FormData,$H233,f_Name)),FIND("^",SUBSTITUTE(TRIM(INDEX(FormData,$H233,f_Name))," ","^",LEN(TRIM(INDEX(FormData,$H233,f_Name)))-LEN(SUBSTITUTE(TRIM(INDEX(FormData,$H233,f_Name))," ",""))))+1,1),"")),""))</f>
        <v/>
      </c>
      <c r="E233" s="16">
        <f>IF($H233="","",IFERROR(INDEX(EvID,MATCH(INDEX(FormData,$H233,f_Event),EvID,0)),IFERROR(INDEX(EvID,MATCH(INDEX(FormData,$H233,f_Event),EvName,0)),IFERROR(INDEX(EvID,MATCH(INT($C233),EvDate,0)),"(no event that day)"))))</f>
        <v/>
      </c>
      <c r="F233" s="16">
        <f>IF($H233="","",IFERROR(IF(SUMPRODUCT(MAX((WhoKW&lt;&gt;"")*ISNUMBER(SEARCH(WhoKW,INDEX(FormData,$H233,f_Who)&amp;""))*(ROW(WhoKW)-MIN(ROW(WhoKW))+1)))=0,"",INDEX(WhoVal,SUMPRODUCT(MAX((WhoKW&lt;&gt;"")*ISNUMBER(SEARCH(WhoKW,INDEX(FormData,$H233,f_Who)&amp;""))*(ROW(WhoKW)-MIN(ROW(WhoKW))+1))))),""))</f>
        <v/>
      </c>
      <c r="G233" s="14">
        <f>IF($H233="","",IF(COUNTIF(People!$U$5:$U$604,$B233)+COUNTIF(People!$U$5:$U$604,$B233&amp;"")&gt;0,"✓ logged","→ add"))</f>
        <v/>
      </c>
      <c r="H233">
        <f>IFERROR(IF(INDEX(FormData,230,f_Id)&amp;""="","",230),"")</f>
        <v/>
      </c>
      <c r="I233" s="16">
        <f>IF($H233="","",IFERROR(INDEX(FormData,$H233,f_Need)&amp;"",""))</f>
        <v/>
      </c>
    </row>
    <row r="234">
      <c r="A234" s="14" t="n">
        <v>230</v>
      </c>
      <c r="B234" s="14">
        <f>IF($H234="","",INDEX(FormData,$H234,f_Id))</f>
        <v/>
      </c>
      <c r="C234" s="15">
        <f>IF($H234="","",IFERROR(INDEX(FormData,$H234,f_Time),""))</f>
        <v/>
      </c>
      <c r="D234" s="14">
        <f>IF($H234="","",IFERROR(UPPER(LEFT(TRIM(INDEX(FormData,$H234,f_Name)),1)&amp;IFERROR(MID(TRIM(INDEX(FormData,$H234,f_Name)),FIND("^",SUBSTITUTE(TRIM(INDEX(FormData,$H234,f_Name))," ","^",LEN(TRIM(INDEX(FormData,$H234,f_Name)))-LEN(SUBSTITUTE(TRIM(INDEX(FormData,$H234,f_Name))," ",""))))+1,1),"")),""))</f>
        <v/>
      </c>
      <c r="E234" s="16">
        <f>IF($H234="","",IFERROR(INDEX(EvID,MATCH(INDEX(FormData,$H234,f_Event),EvID,0)),IFERROR(INDEX(EvID,MATCH(INDEX(FormData,$H234,f_Event),EvName,0)),IFERROR(INDEX(EvID,MATCH(INT($C234),EvDate,0)),"(no event that day)"))))</f>
        <v/>
      </c>
      <c r="F234" s="16">
        <f>IF($H234="","",IFERROR(IF(SUMPRODUCT(MAX((WhoKW&lt;&gt;"")*ISNUMBER(SEARCH(WhoKW,INDEX(FormData,$H234,f_Who)&amp;""))*(ROW(WhoKW)-MIN(ROW(WhoKW))+1)))=0,"",INDEX(WhoVal,SUMPRODUCT(MAX((WhoKW&lt;&gt;"")*ISNUMBER(SEARCH(WhoKW,INDEX(FormData,$H234,f_Who)&amp;""))*(ROW(WhoKW)-MIN(ROW(WhoKW))+1))))),""))</f>
        <v/>
      </c>
      <c r="G234" s="14">
        <f>IF($H234="","",IF(COUNTIF(People!$U$5:$U$604,$B234)+COUNTIF(People!$U$5:$U$604,$B234&amp;"")&gt;0,"✓ logged","→ add"))</f>
        <v/>
      </c>
      <c r="H234">
        <f>IFERROR(IF(INDEX(FormData,231,f_Id)&amp;""="","",231),"")</f>
        <v/>
      </c>
      <c r="I234" s="16">
        <f>IF($H234="","",IFERROR(INDEX(FormData,$H234,f_Need)&amp;"",""))</f>
        <v/>
      </c>
    </row>
    <row r="235">
      <c r="A235" s="14" t="n">
        <v>231</v>
      </c>
      <c r="B235" s="14">
        <f>IF($H235="","",INDEX(FormData,$H235,f_Id))</f>
        <v/>
      </c>
      <c r="C235" s="15">
        <f>IF($H235="","",IFERROR(INDEX(FormData,$H235,f_Time),""))</f>
        <v/>
      </c>
      <c r="D235" s="14">
        <f>IF($H235="","",IFERROR(UPPER(LEFT(TRIM(INDEX(FormData,$H235,f_Name)),1)&amp;IFERROR(MID(TRIM(INDEX(FormData,$H235,f_Name)),FIND("^",SUBSTITUTE(TRIM(INDEX(FormData,$H235,f_Name))," ","^",LEN(TRIM(INDEX(FormData,$H235,f_Name)))-LEN(SUBSTITUTE(TRIM(INDEX(FormData,$H235,f_Name))," ",""))))+1,1),"")),""))</f>
        <v/>
      </c>
      <c r="E235" s="16">
        <f>IF($H235="","",IFERROR(INDEX(EvID,MATCH(INDEX(FormData,$H235,f_Event),EvID,0)),IFERROR(INDEX(EvID,MATCH(INDEX(FormData,$H235,f_Event),EvName,0)),IFERROR(INDEX(EvID,MATCH(INT($C235),EvDate,0)),"(no event that day)"))))</f>
        <v/>
      </c>
      <c r="F235" s="16">
        <f>IF($H235="","",IFERROR(IF(SUMPRODUCT(MAX((WhoKW&lt;&gt;"")*ISNUMBER(SEARCH(WhoKW,INDEX(FormData,$H235,f_Who)&amp;""))*(ROW(WhoKW)-MIN(ROW(WhoKW))+1)))=0,"",INDEX(WhoVal,SUMPRODUCT(MAX((WhoKW&lt;&gt;"")*ISNUMBER(SEARCH(WhoKW,INDEX(FormData,$H235,f_Who)&amp;""))*(ROW(WhoKW)-MIN(ROW(WhoKW))+1))))),""))</f>
        <v/>
      </c>
      <c r="G235" s="14">
        <f>IF($H235="","",IF(COUNTIF(People!$U$5:$U$604,$B235)+COUNTIF(People!$U$5:$U$604,$B235&amp;"")&gt;0,"✓ logged","→ add"))</f>
        <v/>
      </c>
      <c r="H235">
        <f>IFERROR(IF(INDEX(FormData,232,f_Id)&amp;""="","",232),"")</f>
        <v/>
      </c>
      <c r="I235" s="16">
        <f>IF($H235="","",IFERROR(INDEX(FormData,$H235,f_Need)&amp;"",""))</f>
        <v/>
      </c>
    </row>
    <row r="236">
      <c r="A236" s="14" t="n">
        <v>232</v>
      </c>
      <c r="B236" s="14">
        <f>IF($H236="","",INDEX(FormData,$H236,f_Id))</f>
        <v/>
      </c>
      <c r="C236" s="15">
        <f>IF($H236="","",IFERROR(INDEX(FormData,$H236,f_Time),""))</f>
        <v/>
      </c>
      <c r="D236" s="14">
        <f>IF($H236="","",IFERROR(UPPER(LEFT(TRIM(INDEX(FormData,$H236,f_Name)),1)&amp;IFERROR(MID(TRIM(INDEX(FormData,$H236,f_Name)),FIND("^",SUBSTITUTE(TRIM(INDEX(FormData,$H236,f_Name))," ","^",LEN(TRIM(INDEX(FormData,$H236,f_Name)))-LEN(SUBSTITUTE(TRIM(INDEX(FormData,$H236,f_Name))," ",""))))+1,1),"")),""))</f>
        <v/>
      </c>
      <c r="E236" s="16">
        <f>IF($H236="","",IFERROR(INDEX(EvID,MATCH(INDEX(FormData,$H236,f_Event),EvID,0)),IFERROR(INDEX(EvID,MATCH(INDEX(FormData,$H236,f_Event),EvName,0)),IFERROR(INDEX(EvID,MATCH(INT($C236),EvDate,0)),"(no event that day)"))))</f>
        <v/>
      </c>
      <c r="F236" s="16">
        <f>IF($H236="","",IFERROR(IF(SUMPRODUCT(MAX((WhoKW&lt;&gt;"")*ISNUMBER(SEARCH(WhoKW,INDEX(FormData,$H236,f_Who)&amp;""))*(ROW(WhoKW)-MIN(ROW(WhoKW))+1)))=0,"",INDEX(WhoVal,SUMPRODUCT(MAX((WhoKW&lt;&gt;"")*ISNUMBER(SEARCH(WhoKW,INDEX(FormData,$H236,f_Who)&amp;""))*(ROW(WhoKW)-MIN(ROW(WhoKW))+1))))),""))</f>
        <v/>
      </c>
      <c r="G236" s="14">
        <f>IF($H236="","",IF(COUNTIF(People!$U$5:$U$604,$B236)+COUNTIF(People!$U$5:$U$604,$B236&amp;"")&gt;0,"✓ logged","→ add"))</f>
        <v/>
      </c>
      <c r="H236">
        <f>IFERROR(IF(INDEX(FormData,233,f_Id)&amp;""="","",233),"")</f>
        <v/>
      </c>
      <c r="I236" s="16">
        <f>IF($H236="","",IFERROR(INDEX(FormData,$H236,f_Need)&amp;"",""))</f>
        <v/>
      </c>
    </row>
    <row r="237">
      <c r="A237" s="14" t="n">
        <v>233</v>
      </c>
      <c r="B237" s="14">
        <f>IF($H237="","",INDEX(FormData,$H237,f_Id))</f>
        <v/>
      </c>
      <c r="C237" s="15">
        <f>IF($H237="","",IFERROR(INDEX(FormData,$H237,f_Time),""))</f>
        <v/>
      </c>
      <c r="D237" s="14">
        <f>IF($H237="","",IFERROR(UPPER(LEFT(TRIM(INDEX(FormData,$H237,f_Name)),1)&amp;IFERROR(MID(TRIM(INDEX(FormData,$H237,f_Name)),FIND("^",SUBSTITUTE(TRIM(INDEX(FormData,$H237,f_Name))," ","^",LEN(TRIM(INDEX(FormData,$H237,f_Name)))-LEN(SUBSTITUTE(TRIM(INDEX(FormData,$H237,f_Name))," ",""))))+1,1),"")),""))</f>
        <v/>
      </c>
      <c r="E237" s="16">
        <f>IF($H237="","",IFERROR(INDEX(EvID,MATCH(INDEX(FormData,$H237,f_Event),EvID,0)),IFERROR(INDEX(EvID,MATCH(INDEX(FormData,$H237,f_Event),EvName,0)),IFERROR(INDEX(EvID,MATCH(INT($C237),EvDate,0)),"(no event that day)"))))</f>
        <v/>
      </c>
      <c r="F237" s="16">
        <f>IF($H237="","",IFERROR(IF(SUMPRODUCT(MAX((WhoKW&lt;&gt;"")*ISNUMBER(SEARCH(WhoKW,INDEX(FormData,$H237,f_Who)&amp;""))*(ROW(WhoKW)-MIN(ROW(WhoKW))+1)))=0,"",INDEX(WhoVal,SUMPRODUCT(MAX((WhoKW&lt;&gt;"")*ISNUMBER(SEARCH(WhoKW,INDEX(FormData,$H237,f_Who)&amp;""))*(ROW(WhoKW)-MIN(ROW(WhoKW))+1))))),""))</f>
        <v/>
      </c>
      <c r="G237" s="14">
        <f>IF($H237="","",IF(COUNTIF(People!$U$5:$U$604,$B237)+COUNTIF(People!$U$5:$U$604,$B237&amp;"")&gt;0,"✓ logged","→ add"))</f>
        <v/>
      </c>
      <c r="H237">
        <f>IFERROR(IF(INDEX(FormData,234,f_Id)&amp;""="","",234),"")</f>
        <v/>
      </c>
      <c r="I237" s="16">
        <f>IF($H237="","",IFERROR(INDEX(FormData,$H237,f_Need)&amp;"",""))</f>
        <v/>
      </c>
    </row>
    <row r="238">
      <c r="A238" s="14" t="n">
        <v>234</v>
      </c>
      <c r="B238" s="14">
        <f>IF($H238="","",INDEX(FormData,$H238,f_Id))</f>
        <v/>
      </c>
      <c r="C238" s="15">
        <f>IF($H238="","",IFERROR(INDEX(FormData,$H238,f_Time),""))</f>
        <v/>
      </c>
      <c r="D238" s="14">
        <f>IF($H238="","",IFERROR(UPPER(LEFT(TRIM(INDEX(FormData,$H238,f_Name)),1)&amp;IFERROR(MID(TRIM(INDEX(FormData,$H238,f_Name)),FIND("^",SUBSTITUTE(TRIM(INDEX(FormData,$H238,f_Name))," ","^",LEN(TRIM(INDEX(FormData,$H238,f_Name)))-LEN(SUBSTITUTE(TRIM(INDEX(FormData,$H238,f_Name))," ",""))))+1,1),"")),""))</f>
        <v/>
      </c>
      <c r="E238" s="16">
        <f>IF($H238="","",IFERROR(INDEX(EvID,MATCH(INDEX(FormData,$H238,f_Event),EvID,0)),IFERROR(INDEX(EvID,MATCH(INDEX(FormData,$H238,f_Event),EvName,0)),IFERROR(INDEX(EvID,MATCH(INT($C238),EvDate,0)),"(no event that day)"))))</f>
        <v/>
      </c>
      <c r="F238" s="16">
        <f>IF($H238="","",IFERROR(IF(SUMPRODUCT(MAX((WhoKW&lt;&gt;"")*ISNUMBER(SEARCH(WhoKW,INDEX(FormData,$H238,f_Who)&amp;""))*(ROW(WhoKW)-MIN(ROW(WhoKW))+1)))=0,"",INDEX(WhoVal,SUMPRODUCT(MAX((WhoKW&lt;&gt;"")*ISNUMBER(SEARCH(WhoKW,INDEX(FormData,$H238,f_Who)&amp;""))*(ROW(WhoKW)-MIN(ROW(WhoKW))+1))))),""))</f>
        <v/>
      </c>
      <c r="G238" s="14">
        <f>IF($H238="","",IF(COUNTIF(People!$U$5:$U$604,$B238)+COUNTIF(People!$U$5:$U$604,$B238&amp;"")&gt;0,"✓ logged","→ add"))</f>
        <v/>
      </c>
      <c r="H238">
        <f>IFERROR(IF(INDEX(FormData,235,f_Id)&amp;""="","",235),"")</f>
        <v/>
      </c>
      <c r="I238" s="16">
        <f>IF($H238="","",IFERROR(INDEX(FormData,$H238,f_Need)&amp;"",""))</f>
        <v/>
      </c>
    </row>
    <row r="239">
      <c r="A239" s="14" t="n">
        <v>235</v>
      </c>
      <c r="B239" s="14">
        <f>IF($H239="","",INDEX(FormData,$H239,f_Id))</f>
        <v/>
      </c>
      <c r="C239" s="15">
        <f>IF($H239="","",IFERROR(INDEX(FormData,$H239,f_Time),""))</f>
        <v/>
      </c>
      <c r="D239" s="14">
        <f>IF($H239="","",IFERROR(UPPER(LEFT(TRIM(INDEX(FormData,$H239,f_Name)),1)&amp;IFERROR(MID(TRIM(INDEX(FormData,$H239,f_Name)),FIND("^",SUBSTITUTE(TRIM(INDEX(FormData,$H239,f_Name))," ","^",LEN(TRIM(INDEX(FormData,$H239,f_Name)))-LEN(SUBSTITUTE(TRIM(INDEX(FormData,$H239,f_Name))," ",""))))+1,1),"")),""))</f>
        <v/>
      </c>
      <c r="E239" s="16">
        <f>IF($H239="","",IFERROR(INDEX(EvID,MATCH(INDEX(FormData,$H239,f_Event),EvID,0)),IFERROR(INDEX(EvID,MATCH(INDEX(FormData,$H239,f_Event),EvName,0)),IFERROR(INDEX(EvID,MATCH(INT($C239),EvDate,0)),"(no event that day)"))))</f>
        <v/>
      </c>
      <c r="F239" s="16">
        <f>IF($H239="","",IFERROR(IF(SUMPRODUCT(MAX((WhoKW&lt;&gt;"")*ISNUMBER(SEARCH(WhoKW,INDEX(FormData,$H239,f_Who)&amp;""))*(ROW(WhoKW)-MIN(ROW(WhoKW))+1)))=0,"",INDEX(WhoVal,SUMPRODUCT(MAX((WhoKW&lt;&gt;"")*ISNUMBER(SEARCH(WhoKW,INDEX(FormData,$H239,f_Who)&amp;""))*(ROW(WhoKW)-MIN(ROW(WhoKW))+1))))),""))</f>
        <v/>
      </c>
      <c r="G239" s="14">
        <f>IF($H239="","",IF(COUNTIF(People!$U$5:$U$604,$B239)+COUNTIF(People!$U$5:$U$604,$B239&amp;"")&gt;0,"✓ logged","→ add"))</f>
        <v/>
      </c>
      <c r="H239">
        <f>IFERROR(IF(INDEX(FormData,236,f_Id)&amp;""="","",236),"")</f>
        <v/>
      </c>
      <c r="I239" s="16">
        <f>IF($H239="","",IFERROR(INDEX(FormData,$H239,f_Need)&amp;"",""))</f>
        <v/>
      </c>
    </row>
    <row r="240">
      <c r="A240" s="14" t="n">
        <v>236</v>
      </c>
      <c r="B240" s="14">
        <f>IF($H240="","",INDEX(FormData,$H240,f_Id))</f>
        <v/>
      </c>
      <c r="C240" s="15">
        <f>IF($H240="","",IFERROR(INDEX(FormData,$H240,f_Time),""))</f>
        <v/>
      </c>
      <c r="D240" s="14">
        <f>IF($H240="","",IFERROR(UPPER(LEFT(TRIM(INDEX(FormData,$H240,f_Name)),1)&amp;IFERROR(MID(TRIM(INDEX(FormData,$H240,f_Name)),FIND("^",SUBSTITUTE(TRIM(INDEX(FormData,$H240,f_Name))," ","^",LEN(TRIM(INDEX(FormData,$H240,f_Name)))-LEN(SUBSTITUTE(TRIM(INDEX(FormData,$H240,f_Name))," ",""))))+1,1),"")),""))</f>
        <v/>
      </c>
      <c r="E240" s="16">
        <f>IF($H240="","",IFERROR(INDEX(EvID,MATCH(INDEX(FormData,$H240,f_Event),EvID,0)),IFERROR(INDEX(EvID,MATCH(INDEX(FormData,$H240,f_Event),EvName,0)),IFERROR(INDEX(EvID,MATCH(INT($C240),EvDate,0)),"(no event that day)"))))</f>
        <v/>
      </c>
      <c r="F240" s="16">
        <f>IF($H240="","",IFERROR(IF(SUMPRODUCT(MAX((WhoKW&lt;&gt;"")*ISNUMBER(SEARCH(WhoKW,INDEX(FormData,$H240,f_Who)&amp;""))*(ROW(WhoKW)-MIN(ROW(WhoKW))+1)))=0,"",INDEX(WhoVal,SUMPRODUCT(MAX((WhoKW&lt;&gt;"")*ISNUMBER(SEARCH(WhoKW,INDEX(FormData,$H240,f_Who)&amp;""))*(ROW(WhoKW)-MIN(ROW(WhoKW))+1))))),""))</f>
        <v/>
      </c>
      <c r="G240" s="14">
        <f>IF($H240="","",IF(COUNTIF(People!$U$5:$U$604,$B240)+COUNTIF(People!$U$5:$U$604,$B240&amp;"")&gt;0,"✓ logged","→ add"))</f>
        <v/>
      </c>
      <c r="H240">
        <f>IFERROR(IF(INDEX(FormData,237,f_Id)&amp;""="","",237),"")</f>
        <v/>
      </c>
      <c r="I240" s="16">
        <f>IF($H240="","",IFERROR(INDEX(FormData,$H240,f_Need)&amp;"",""))</f>
        <v/>
      </c>
    </row>
    <row r="241">
      <c r="A241" s="14" t="n">
        <v>237</v>
      </c>
      <c r="B241" s="14">
        <f>IF($H241="","",INDEX(FormData,$H241,f_Id))</f>
        <v/>
      </c>
      <c r="C241" s="15">
        <f>IF($H241="","",IFERROR(INDEX(FormData,$H241,f_Time),""))</f>
        <v/>
      </c>
      <c r="D241" s="14">
        <f>IF($H241="","",IFERROR(UPPER(LEFT(TRIM(INDEX(FormData,$H241,f_Name)),1)&amp;IFERROR(MID(TRIM(INDEX(FormData,$H241,f_Name)),FIND("^",SUBSTITUTE(TRIM(INDEX(FormData,$H241,f_Name))," ","^",LEN(TRIM(INDEX(FormData,$H241,f_Name)))-LEN(SUBSTITUTE(TRIM(INDEX(FormData,$H241,f_Name))," ",""))))+1,1),"")),""))</f>
        <v/>
      </c>
      <c r="E241" s="16">
        <f>IF($H241="","",IFERROR(INDEX(EvID,MATCH(INDEX(FormData,$H241,f_Event),EvID,0)),IFERROR(INDEX(EvID,MATCH(INDEX(FormData,$H241,f_Event),EvName,0)),IFERROR(INDEX(EvID,MATCH(INT($C241),EvDate,0)),"(no event that day)"))))</f>
        <v/>
      </c>
      <c r="F241" s="16">
        <f>IF($H241="","",IFERROR(IF(SUMPRODUCT(MAX((WhoKW&lt;&gt;"")*ISNUMBER(SEARCH(WhoKW,INDEX(FormData,$H241,f_Who)&amp;""))*(ROW(WhoKW)-MIN(ROW(WhoKW))+1)))=0,"",INDEX(WhoVal,SUMPRODUCT(MAX((WhoKW&lt;&gt;"")*ISNUMBER(SEARCH(WhoKW,INDEX(FormData,$H241,f_Who)&amp;""))*(ROW(WhoKW)-MIN(ROW(WhoKW))+1))))),""))</f>
        <v/>
      </c>
      <c r="G241" s="14">
        <f>IF($H241="","",IF(COUNTIF(People!$U$5:$U$604,$B241)+COUNTIF(People!$U$5:$U$604,$B241&amp;"")&gt;0,"✓ logged","→ add"))</f>
        <v/>
      </c>
      <c r="H241">
        <f>IFERROR(IF(INDEX(FormData,238,f_Id)&amp;""="","",238),"")</f>
        <v/>
      </c>
      <c r="I241" s="16">
        <f>IF($H241="","",IFERROR(INDEX(FormData,$H241,f_Need)&amp;"",""))</f>
        <v/>
      </c>
    </row>
    <row r="242">
      <c r="A242" s="14" t="n">
        <v>238</v>
      </c>
      <c r="B242" s="14">
        <f>IF($H242="","",INDEX(FormData,$H242,f_Id))</f>
        <v/>
      </c>
      <c r="C242" s="15">
        <f>IF($H242="","",IFERROR(INDEX(FormData,$H242,f_Time),""))</f>
        <v/>
      </c>
      <c r="D242" s="14">
        <f>IF($H242="","",IFERROR(UPPER(LEFT(TRIM(INDEX(FormData,$H242,f_Name)),1)&amp;IFERROR(MID(TRIM(INDEX(FormData,$H242,f_Name)),FIND("^",SUBSTITUTE(TRIM(INDEX(FormData,$H242,f_Name))," ","^",LEN(TRIM(INDEX(FormData,$H242,f_Name)))-LEN(SUBSTITUTE(TRIM(INDEX(FormData,$H242,f_Name))," ",""))))+1,1),"")),""))</f>
        <v/>
      </c>
      <c r="E242" s="16">
        <f>IF($H242="","",IFERROR(INDEX(EvID,MATCH(INDEX(FormData,$H242,f_Event),EvID,0)),IFERROR(INDEX(EvID,MATCH(INDEX(FormData,$H242,f_Event),EvName,0)),IFERROR(INDEX(EvID,MATCH(INT($C242),EvDate,0)),"(no event that day)"))))</f>
        <v/>
      </c>
      <c r="F242" s="16">
        <f>IF($H242="","",IFERROR(IF(SUMPRODUCT(MAX((WhoKW&lt;&gt;"")*ISNUMBER(SEARCH(WhoKW,INDEX(FormData,$H242,f_Who)&amp;""))*(ROW(WhoKW)-MIN(ROW(WhoKW))+1)))=0,"",INDEX(WhoVal,SUMPRODUCT(MAX((WhoKW&lt;&gt;"")*ISNUMBER(SEARCH(WhoKW,INDEX(FormData,$H242,f_Who)&amp;""))*(ROW(WhoKW)-MIN(ROW(WhoKW))+1))))),""))</f>
        <v/>
      </c>
      <c r="G242" s="14">
        <f>IF($H242="","",IF(COUNTIF(People!$U$5:$U$604,$B242)+COUNTIF(People!$U$5:$U$604,$B242&amp;"")&gt;0,"✓ logged","→ add"))</f>
        <v/>
      </c>
      <c r="H242">
        <f>IFERROR(IF(INDEX(FormData,239,f_Id)&amp;""="","",239),"")</f>
        <v/>
      </c>
      <c r="I242" s="16">
        <f>IF($H242="","",IFERROR(INDEX(FormData,$H242,f_Need)&amp;"",""))</f>
        <v/>
      </c>
    </row>
    <row r="243">
      <c r="A243" s="14" t="n">
        <v>239</v>
      </c>
      <c r="B243" s="14">
        <f>IF($H243="","",INDEX(FormData,$H243,f_Id))</f>
        <v/>
      </c>
      <c r="C243" s="15">
        <f>IF($H243="","",IFERROR(INDEX(FormData,$H243,f_Time),""))</f>
        <v/>
      </c>
      <c r="D243" s="14">
        <f>IF($H243="","",IFERROR(UPPER(LEFT(TRIM(INDEX(FormData,$H243,f_Name)),1)&amp;IFERROR(MID(TRIM(INDEX(FormData,$H243,f_Name)),FIND("^",SUBSTITUTE(TRIM(INDEX(FormData,$H243,f_Name))," ","^",LEN(TRIM(INDEX(FormData,$H243,f_Name)))-LEN(SUBSTITUTE(TRIM(INDEX(FormData,$H243,f_Name))," ",""))))+1,1),"")),""))</f>
        <v/>
      </c>
      <c r="E243" s="16">
        <f>IF($H243="","",IFERROR(INDEX(EvID,MATCH(INDEX(FormData,$H243,f_Event),EvID,0)),IFERROR(INDEX(EvID,MATCH(INDEX(FormData,$H243,f_Event),EvName,0)),IFERROR(INDEX(EvID,MATCH(INT($C243),EvDate,0)),"(no event that day)"))))</f>
        <v/>
      </c>
      <c r="F243" s="16">
        <f>IF($H243="","",IFERROR(IF(SUMPRODUCT(MAX((WhoKW&lt;&gt;"")*ISNUMBER(SEARCH(WhoKW,INDEX(FormData,$H243,f_Who)&amp;""))*(ROW(WhoKW)-MIN(ROW(WhoKW))+1)))=0,"",INDEX(WhoVal,SUMPRODUCT(MAX((WhoKW&lt;&gt;"")*ISNUMBER(SEARCH(WhoKW,INDEX(FormData,$H243,f_Who)&amp;""))*(ROW(WhoKW)-MIN(ROW(WhoKW))+1))))),""))</f>
        <v/>
      </c>
      <c r="G243" s="14">
        <f>IF($H243="","",IF(COUNTIF(People!$U$5:$U$604,$B243)+COUNTIF(People!$U$5:$U$604,$B243&amp;"")&gt;0,"✓ logged","→ add"))</f>
        <v/>
      </c>
      <c r="H243">
        <f>IFERROR(IF(INDEX(FormData,240,f_Id)&amp;""="","",240),"")</f>
        <v/>
      </c>
      <c r="I243" s="16">
        <f>IF($H243="","",IFERROR(INDEX(FormData,$H243,f_Need)&amp;"",""))</f>
        <v/>
      </c>
    </row>
    <row r="244">
      <c r="A244" s="14" t="n">
        <v>240</v>
      </c>
      <c r="B244" s="14">
        <f>IF($H244="","",INDEX(FormData,$H244,f_Id))</f>
        <v/>
      </c>
      <c r="C244" s="15">
        <f>IF($H244="","",IFERROR(INDEX(FormData,$H244,f_Time),""))</f>
        <v/>
      </c>
      <c r="D244" s="14">
        <f>IF($H244="","",IFERROR(UPPER(LEFT(TRIM(INDEX(FormData,$H244,f_Name)),1)&amp;IFERROR(MID(TRIM(INDEX(FormData,$H244,f_Name)),FIND("^",SUBSTITUTE(TRIM(INDEX(FormData,$H244,f_Name))," ","^",LEN(TRIM(INDEX(FormData,$H244,f_Name)))-LEN(SUBSTITUTE(TRIM(INDEX(FormData,$H244,f_Name))," ",""))))+1,1),"")),""))</f>
        <v/>
      </c>
      <c r="E244" s="16">
        <f>IF($H244="","",IFERROR(INDEX(EvID,MATCH(INDEX(FormData,$H244,f_Event),EvID,0)),IFERROR(INDEX(EvID,MATCH(INDEX(FormData,$H244,f_Event),EvName,0)),IFERROR(INDEX(EvID,MATCH(INT($C244),EvDate,0)),"(no event that day)"))))</f>
        <v/>
      </c>
      <c r="F244" s="16">
        <f>IF($H244="","",IFERROR(IF(SUMPRODUCT(MAX((WhoKW&lt;&gt;"")*ISNUMBER(SEARCH(WhoKW,INDEX(FormData,$H244,f_Who)&amp;""))*(ROW(WhoKW)-MIN(ROW(WhoKW))+1)))=0,"",INDEX(WhoVal,SUMPRODUCT(MAX((WhoKW&lt;&gt;"")*ISNUMBER(SEARCH(WhoKW,INDEX(FormData,$H244,f_Who)&amp;""))*(ROW(WhoKW)-MIN(ROW(WhoKW))+1))))),""))</f>
        <v/>
      </c>
      <c r="G244" s="14">
        <f>IF($H244="","",IF(COUNTIF(People!$U$5:$U$604,$B244)+COUNTIF(People!$U$5:$U$604,$B244&amp;"")&gt;0,"✓ logged","→ add"))</f>
        <v/>
      </c>
      <c r="H244">
        <f>IFERROR(IF(INDEX(FormData,241,f_Id)&amp;""="","",241),"")</f>
        <v/>
      </c>
      <c r="I244" s="16">
        <f>IF($H244="","",IFERROR(INDEX(FormData,$H244,f_Need)&amp;"",""))</f>
        <v/>
      </c>
    </row>
    <row r="245">
      <c r="A245" s="14" t="n">
        <v>241</v>
      </c>
      <c r="B245" s="14">
        <f>IF($H245="","",INDEX(FormData,$H245,f_Id))</f>
        <v/>
      </c>
      <c r="C245" s="15">
        <f>IF($H245="","",IFERROR(INDEX(FormData,$H245,f_Time),""))</f>
        <v/>
      </c>
      <c r="D245" s="14">
        <f>IF($H245="","",IFERROR(UPPER(LEFT(TRIM(INDEX(FormData,$H245,f_Name)),1)&amp;IFERROR(MID(TRIM(INDEX(FormData,$H245,f_Name)),FIND("^",SUBSTITUTE(TRIM(INDEX(FormData,$H245,f_Name))," ","^",LEN(TRIM(INDEX(FormData,$H245,f_Name)))-LEN(SUBSTITUTE(TRIM(INDEX(FormData,$H245,f_Name))," ",""))))+1,1),"")),""))</f>
        <v/>
      </c>
      <c r="E245" s="16">
        <f>IF($H245="","",IFERROR(INDEX(EvID,MATCH(INDEX(FormData,$H245,f_Event),EvID,0)),IFERROR(INDEX(EvID,MATCH(INDEX(FormData,$H245,f_Event),EvName,0)),IFERROR(INDEX(EvID,MATCH(INT($C245),EvDate,0)),"(no event that day)"))))</f>
        <v/>
      </c>
      <c r="F245" s="16">
        <f>IF($H245="","",IFERROR(IF(SUMPRODUCT(MAX((WhoKW&lt;&gt;"")*ISNUMBER(SEARCH(WhoKW,INDEX(FormData,$H245,f_Who)&amp;""))*(ROW(WhoKW)-MIN(ROW(WhoKW))+1)))=0,"",INDEX(WhoVal,SUMPRODUCT(MAX((WhoKW&lt;&gt;"")*ISNUMBER(SEARCH(WhoKW,INDEX(FormData,$H245,f_Who)&amp;""))*(ROW(WhoKW)-MIN(ROW(WhoKW))+1))))),""))</f>
        <v/>
      </c>
      <c r="G245" s="14">
        <f>IF($H245="","",IF(COUNTIF(People!$U$5:$U$604,$B245)+COUNTIF(People!$U$5:$U$604,$B245&amp;"")&gt;0,"✓ logged","→ add"))</f>
        <v/>
      </c>
      <c r="H245">
        <f>IFERROR(IF(INDEX(FormData,242,f_Id)&amp;""="","",242),"")</f>
        <v/>
      </c>
      <c r="I245" s="16">
        <f>IF($H245="","",IFERROR(INDEX(FormData,$H245,f_Need)&amp;"",""))</f>
        <v/>
      </c>
    </row>
    <row r="246">
      <c r="A246" s="14" t="n">
        <v>242</v>
      </c>
      <c r="B246" s="14">
        <f>IF($H246="","",INDEX(FormData,$H246,f_Id))</f>
        <v/>
      </c>
      <c r="C246" s="15">
        <f>IF($H246="","",IFERROR(INDEX(FormData,$H246,f_Time),""))</f>
        <v/>
      </c>
      <c r="D246" s="14">
        <f>IF($H246="","",IFERROR(UPPER(LEFT(TRIM(INDEX(FormData,$H246,f_Name)),1)&amp;IFERROR(MID(TRIM(INDEX(FormData,$H246,f_Name)),FIND("^",SUBSTITUTE(TRIM(INDEX(FormData,$H246,f_Name))," ","^",LEN(TRIM(INDEX(FormData,$H246,f_Name)))-LEN(SUBSTITUTE(TRIM(INDEX(FormData,$H246,f_Name))," ",""))))+1,1),"")),""))</f>
        <v/>
      </c>
      <c r="E246" s="16">
        <f>IF($H246="","",IFERROR(INDEX(EvID,MATCH(INDEX(FormData,$H246,f_Event),EvID,0)),IFERROR(INDEX(EvID,MATCH(INDEX(FormData,$H246,f_Event),EvName,0)),IFERROR(INDEX(EvID,MATCH(INT($C246),EvDate,0)),"(no event that day)"))))</f>
        <v/>
      </c>
      <c r="F246" s="16">
        <f>IF($H246="","",IFERROR(IF(SUMPRODUCT(MAX((WhoKW&lt;&gt;"")*ISNUMBER(SEARCH(WhoKW,INDEX(FormData,$H246,f_Who)&amp;""))*(ROW(WhoKW)-MIN(ROW(WhoKW))+1)))=0,"",INDEX(WhoVal,SUMPRODUCT(MAX((WhoKW&lt;&gt;"")*ISNUMBER(SEARCH(WhoKW,INDEX(FormData,$H246,f_Who)&amp;""))*(ROW(WhoKW)-MIN(ROW(WhoKW))+1))))),""))</f>
        <v/>
      </c>
      <c r="G246" s="14">
        <f>IF($H246="","",IF(COUNTIF(People!$U$5:$U$604,$B246)+COUNTIF(People!$U$5:$U$604,$B246&amp;"")&gt;0,"✓ logged","→ add"))</f>
        <v/>
      </c>
      <c r="H246">
        <f>IFERROR(IF(INDEX(FormData,243,f_Id)&amp;""="","",243),"")</f>
        <v/>
      </c>
      <c r="I246" s="16">
        <f>IF($H246="","",IFERROR(INDEX(FormData,$H246,f_Need)&amp;"",""))</f>
        <v/>
      </c>
    </row>
    <row r="247">
      <c r="A247" s="14" t="n">
        <v>243</v>
      </c>
      <c r="B247" s="14">
        <f>IF($H247="","",INDEX(FormData,$H247,f_Id))</f>
        <v/>
      </c>
      <c r="C247" s="15">
        <f>IF($H247="","",IFERROR(INDEX(FormData,$H247,f_Time),""))</f>
        <v/>
      </c>
      <c r="D247" s="14">
        <f>IF($H247="","",IFERROR(UPPER(LEFT(TRIM(INDEX(FormData,$H247,f_Name)),1)&amp;IFERROR(MID(TRIM(INDEX(FormData,$H247,f_Name)),FIND("^",SUBSTITUTE(TRIM(INDEX(FormData,$H247,f_Name))," ","^",LEN(TRIM(INDEX(FormData,$H247,f_Name)))-LEN(SUBSTITUTE(TRIM(INDEX(FormData,$H247,f_Name))," ",""))))+1,1),"")),""))</f>
        <v/>
      </c>
      <c r="E247" s="16">
        <f>IF($H247="","",IFERROR(INDEX(EvID,MATCH(INDEX(FormData,$H247,f_Event),EvID,0)),IFERROR(INDEX(EvID,MATCH(INDEX(FormData,$H247,f_Event),EvName,0)),IFERROR(INDEX(EvID,MATCH(INT($C247),EvDate,0)),"(no event that day)"))))</f>
        <v/>
      </c>
      <c r="F247" s="16">
        <f>IF($H247="","",IFERROR(IF(SUMPRODUCT(MAX((WhoKW&lt;&gt;"")*ISNUMBER(SEARCH(WhoKW,INDEX(FormData,$H247,f_Who)&amp;""))*(ROW(WhoKW)-MIN(ROW(WhoKW))+1)))=0,"",INDEX(WhoVal,SUMPRODUCT(MAX((WhoKW&lt;&gt;"")*ISNUMBER(SEARCH(WhoKW,INDEX(FormData,$H247,f_Who)&amp;""))*(ROW(WhoKW)-MIN(ROW(WhoKW))+1))))),""))</f>
        <v/>
      </c>
      <c r="G247" s="14">
        <f>IF($H247="","",IF(COUNTIF(People!$U$5:$U$604,$B247)+COUNTIF(People!$U$5:$U$604,$B247&amp;"")&gt;0,"✓ logged","→ add"))</f>
        <v/>
      </c>
      <c r="H247">
        <f>IFERROR(IF(INDEX(FormData,244,f_Id)&amp;""="","",244),"")</f>
        <v/>
      </c>
      <c r="I247" s="16">
        <f>IF($H247="","",IFERROR(INDEX(FormData,$H247,f_Need)&amp;"",""))</f>
        <v/>
      </c>
    </row>
    <row r="248">
      <c r="A248" s="14" t="n">
        <v>244</v>
      </c>
      <c r="B248" s="14">
        <f>IF($H248="","",INDEX(FormData,$H248,f_Id))</f>
        <v/>
      </c>
      <c r="C248" s="15">
        <f>IF($H248="","",IFERROR(INDEX(FormData,$H248,f_Time),""))</f>
        <v/>
      </c>
      <c r="D248" s="14">
        <f>IF($H248="","",IFERROR(UPPER(LEFT(TRIM(INDEX(FormData,$H248,f_Name)),1)&amp;IFERROR(MID(TRIM(INDEX(FormData,$H248,f_Name)),FIND("^",SUBSTITUTE(TRIM(INDEX(FormData,$H248,f_Name))," ","^",LEN(TRIM(INDEX(FormData,$H248,f_Name)))-LEN(SUBSTITUTE(TRIM(INDEX(FormData,$H248,f_Name))," ",""))))+1,1),"")),""))</f>
        <v/>
      </c>
      <c r="E248" s="16">
        <f>IF($H248="","",IFERROR(INDEX(EvID,MATCH(INDEX(FormData,$H248,f_Event),EvID,0)),IFERROR(INDEX(EvID,MATCH(INDEX(FormData,$H248,f_Event),EvName,0)),IFERROR(INDEX(EvID,MATCH(INT($C248),EvDate,0)),"(no event that day)"))))</f>
        <v/>
      </c>
      <c r="F248" s="16">
        <f>IF($H248="","",IFERROR(IF(SUMPRODUCT(MAX((WhoKW&lt;&gt;"")*ISNUMBER(SEARCH(WhoKW,INDEX(FormData,$H248,f_Who)&amp;""))*(ROW(WhoKW)-MIN(ROW(WhoKW))+1)))=0,"",INDEX(WhoVal,SUMPRODUCT(MAX((WhoKW&lt;&gt;"")*ISNUMBER(SEARCH(WhoKW,INDEX(FormData,$H248,f_Who)&amp;""))*(ROW(WhoKW)-MIN(ROW(WhoKW))+1))))),""))</f>
        <v/>
      </c>
      <c r="G248" s="14">
        <f>IF($H248="","",IF(COUNTIF(People!$U$5:$U$604,$B248)+COUNTIF(People!$U$5:$U$604,$B248&amp;"")&gt;0,"✓ logged","→ add"))</f>
        <v/>
      </c>
      <c r="H248">
        <f>IFERROR(IF(INDEX(FormData,245,f_Id)&amp;""="","",245),"")</f>
        <v/>
      </c>
      <c r="I248" s="16">
        <f>IF($H248="","",IFERROR(INDEX(FormData,$H248,f_Need)&amp;"",""))</f>
        <v/>
      </c>
    </row>
    <row r="249">
      <c r="A249" s="14" t="n">
        <v>245</v>
      </c>
      <c r="B249" s="14">
        <f>IF($H249="","",INDEX(FormData,$H249,f_Id))</f>
        <v/>
      </c>
      <c r="C249" s="15">
        <f>IF($H249="","",IFERROR(INDEX(FormData,$H249,f_Time),""))</f>
        <v/>
      </c>
      <c r="D249" s="14">
        <f>IF($H249="","",IFERROR(UPPER(LEFT(TRIM(INDEX(FormData,$H249,f_Name)),1)&amp;IFERROR(MID(TRIM(INDEX(FormData,$H249,f_Name)),FIND("^",SUBSTITUTE(TRIM(INDEX(FormData,$H249,f_Name))," ","^",LEN(TRIM(INDEX(FormData,$H249,f_Name)))-LEN(SUBSTITUTE(TRIM(INDEX(FormData,$H249,f_Name))," ",""))))+1,1),"")),""))</f>
        <v/>
      </c>
      <c r="E249" s="16">
        <f>IF($H249="","",IFERROR(INDEX(EvID,MATCH(INDEX(FormData,$H249,f_Event),EvID,0)),IFERROR(INDEX(EvID,MATCH(INDEX(FormData,$H249,f_Event),EvName,0)),IFERROR(INDEX(EvID,MATCH(INT($C249),EvDate,0)),"(no event that day)"))))</f>
        <v/>
      </c>
      <c r="F249" s="16">
        <f>IF($H249="","",IFERROR(IF(SUMPRODUCT(MAX((WhoKW&lt;&gt;"")*ISNUMBER(SEARCH(WhoKW,INDEX(FormData,$H249,f_Who)&amp;""))*(ROW(WhoKW)-MIN(ROW(WhoKW))+1)))=0,"",INDEX(WhoVal,SUMPRODUCT(MAX((WhoKW&lt;&gt;"")*ISNUMBER(SEARCH(WhoKW,INDEX(FormData,$H249,f_Who)&amp;""))*(ROW(WhoKW)-MIN(ROW(WhoKW))+1))))),""))</f>
        <v/>
      </c>
      <c r="G249" s="14">
        <f>IF($H249="","",IF(COUNTIF(People!$U$5:$U$604,$B249)+COUNTIF(People!$U$5:$U$604,$B249&amp;"")&gt;0,"✓ logged","→ add"))</f>
        <v/>
      </c>
      <c r="H249">
        <f>IFERROR(IF(INDEX(FormData,246,f_Id)&amp;""="","",246),"")</f>
        <v/>
      </c>
      <c r="I249" s="16">
        <f>IF($H249="","",IFERROR(INDEX(FormData,$H249,f_Need)&amp;"",""))</f>
        <v/>
      </c>
    </row>
    <row r="250">
      <c r="A250" s="14" t="n">
        <v>246</v>
      </c>
      <c r="B250" s="14">
        <f>IF($H250="","",INDEX(FormData,$H250,f_Id))</f>
        <v/>
      </c>
      <c r="C250" s="15">
        <f>IF($H250="","",IFERROR(INDEX(FormData,$H250,f_Time),""))</f>
        <v/>
      </c>
      <c r="D250" s="14">
        <f>IF($H250="","",IFERROR(UPPER(LEFT(TRIM(INDEX(FormData,$H250,f_Name)),1)&amp;IFERROR(MID(TRIM(INDEX(FormData,$H250,f_Name)),FIND("^",SUBSTITUTE(TRIM(INDEX(FormData,$H250,f_Name))," ","^",LEN(TRIM(INDEX(FormData,$H250,f_Name)))-LEN(SUBSTITUTE(TRIM(INDEX(FormData,$H250,f_Name))," ",""))))+1,1),"")),""))</f>
        <v/>
      </c>
      <c r="E250" s="16">
        <f>IF($H250="","",IFERROR(INDEX(EvID,MATCH(INDEX(FormData,$H250,f_Event),EvID,0)),IFERROR(INDEX(EvID,MATCH(INDEX(FormData,$H250,f_Event),EvName,0)),IFERROR(INDEX(EvID,MATCH(INT($C250),EvDate,0)),"(no event that day)"))))</f>
        <v/>
      </c>
      <c r="F250" s="16">
        <f>IF($H250="","",IFERROR(IF(SUMPRODUCT(MAX((WhoKW&lt;&gt;"")*ISNUMBER(SEARCH(WhoKW,INDEX(FormData,$H250,f_Who)&amp;""))*(ROW(WhoKW)-MIN(ROW(WhoKW))+1)))=0,"",INDEX(WhoVal,SUMPRODUCT(MAX((WhoKW&lt;&gt;"")*ISNUMBER(SEARCH(WhoKW,INDEX(FormData,$H250,f_Who)&amp;""))*(ROW(WhoKW)-MIN(ROW(WhoKW))+1))))),""))</f>
        <v/>
      </c>
      <c r="G250" s="14">
        <f>IF($H250="","",IF(COUNTIF(People!$U$5:$U$604,$B250)+COUNTIF(People!$U$5:$U$604,$B250&amp;"")&gt;0,"✓ logged","→ add"))</f>
        <v/>
      </c>
      <c r="H250">
        <f>IFERROR(IF(INDEX(FormData,247,f_Id)&amp;""="","",247),"")</f>
        <v/>
      </c>
      <c r="I250" s="16">
        <f>IF($H250="","",IFERROR(INDEX(FormData,$H250,f_Need)&amp;"",""))</f>
        <v/>
      </c>
    </row>
    <row r="251">
      <c r="A251" s="14" t="n">
        <v>247</v>
      </c>
      <c r="B251" s="14">
        <f>IF($H251="","",INDEX(FormData,$H251,f_Id))</f>
        <v/>
      </c>
      <c r="C251" s="15">
        <f>IF($H251="","",IFERROR(INDEX(FormData,$H251,f_Time),""))</f>
        <v/>
      </c>
      <c r="D251" s="14">
        <f>IF($H251="","",IFERROR(UPPER(LEFT(TRIM(INDEX(FormData,$H251,f_Name)),1)&amp;IFERROR(MID(TRIM(INDEX(FormData,$H251,f_Name)),FIND("^",SUBSTITUTE(TRIM(INDEX(FormData,$H251,f_Name))," ","^",LEN(TRIM(INDEX(FormData,$H251,f_Name)))-LEN(SUBSTITUTE(TRIM(INDEX(FormData,$H251,f_Name))," ",""))))+1,1),"")),""))</f>
        <v/>
      </c>
      <c r="E251" s="16">
        <f>IF($H251="","",IFERROR(INDEX(EvID,MATCH(INDEX(FormData,$H251,f_Event),EvID,0)),IFERROR(INDEX(EvID,MATCH(INDEX(FormData,$H251,f_Event),EvName,0)),IFERROR(INDEX(EvID,MATCH(INT($C251),EvDate,0)),"(no event that day)"))))</f>
        <v/>
      </c>
      <c r="F251" s="16">
        <f>IF($H251="","",IFERROR(IF(SUMPRODUCT(MAX((WhoKW&lt;&gt;"")*ISNUMBER(SEARCH(WhoKW,INDEX(FormData,$H251,f_Who)&amp;""))*(ROW(WhoKW)-MIN(ROW(WhoKW))+1)))=0,"",INDEX(WhoVal,SUMPRODUCT(MAX((WhoKW&lt;&gt;"")*ISNUMBER(SEARCH(WhoKW,INDEX(FormData,$H251,f_Who)&amp;""))*(ROW(WhoKW)-MIN(ROW(WhoKW))+1))))),""))</f>
        <v/>
      </c>
      <c r="G251" s="14">
        <f>IF($H251="","",IF(COUNTIF(People!$U$5:$U$604,$B251)+COUNTIF(People!$U$5:$U$604,$B251&amp;"")&gt;0,"✓ logged","→ add"))</f>
        <v/>
      </c>
      <c r="H251">
        <f>IFERROR(IF(INDEX(FormData,248,f_Id)&amp;""="","",248),"")</f>
        <v/>
      </c>
      <c r="I251" s="16">
        <f>IF($H251="","",IFERROR(INDEX(FormData,$H251,f_Need)&amp;"",""))</f>
        <v/>
      </c>
    </row>
    <row r="252">
      <c r="A252" s="14" t="n">
        <v>248</v>
      </c>
      <c r="B252" s="14">
        <f>IF($H252="","",INDEX(FormData,$H252,f_Id))</f>
        <v/>
      </c>
      <c r="C252" s="15">
        <f>IF($H252="","",IFERROR(INDEX(FormData,$H252,f_Time),""))</f>
        <v/>
      </c>
      <c r="D252" s="14">
        <f>IF($H252="","",IFERROR(UPPER(LEFT(TRIM(INDEX(FormData,$H252,f_Name)),1)&amp;IFERROR(MID(TRIM(INDEX(FormData,$H252,f_Name)),FIND("^",SUBSTITUTE(TRIM(INDEX(FormData,$H252,f_Name))," ","^",LEN(TRIM(INDEX(FormData,$H252,f_Name)))-LEN(SUBSTITUTE(TRIM(INDEX(FormData,$H252,f_Name))," ",""))))+1,1),"")),""))</f>
        <v/>
      </c>
      <c r="E252" s="16">
        <f>IF($H252="","",IFERROR(INDEX(EvID,MATCH(INDEX(FormData,$H252,f_Event),EvID,0)),IFERROR(INDEX(EvID,MATCH(INDEX(FormData,$H252,f_Event),EvName,0)),IFERROR(INDEX(EvID,MATCH(INT($C252),EvDate,0)),"(no event that day)"))))</f>
        <v/>
      </c>
      <c r="F252" s="16">
        <f>IF($H252="","",IFERROR(IF(SUMPRODUCT(MAX((WhoKW&lt;&gt;"")*ISNUMBER(SEARCH(WhoKW,INDEX(FormData,$H252,f_Who)&amp;""))*(ROW(WhoKW)-MIN(ROW(WhoKW))+1)))=0,"",INDEX(WhoVal,SUMPRODUCT(MAX((WhoKW&lt;&gt;"")*ISNUMBER(SEARCH(WhoKW,INDEX(FormData,$H252,f_Who)&amp;""))*(ROW(WhoKW)-MIN(ROW(WhoKW))+1))))),""))</f>
        <v/>
      </c>
      <c r="G252" s="14">
        <f>IF($H252="","",IF(COUNTIF(People!$U$5:$U$604,$B252)+COUNTIF(People!$U$5:$U$604,$B252&amp;"")&gt;0,"✓ logged","→ add"))</f>
        <v/>
      </c>
      <c r="H252">
        <f>IFERROR(IF(INDEX(FormData,249,f_Id)&amp;""="","",249),"")</f>
        <v/>
      </c>
      <c r="I252" s="16">
        <f>IF($H252="","",IFERROR(INDEX(FormData,$H252,f_Need)&amp;"",""))</f>
        <v/>
      </c>
    </row>
    <row r="253">
      <c r="A253" s="14" t="n">
        <v>249</v>
      </c>
      <c r="B253" s="14">
        <f>IF($H253="","",INDEX(FormData,$H253,f_Id))</f>
        <v/>
      </c>
      <c r="C253" s="15">
        <f>IF($H253="","",IFERROR(INDEX(FormData,$H253,f_Time),""))</f>
        <v/>
      </c>
      <c r="D253" s="14">
        <f>IF($H253="","",IFERROR(UPPER(LEFT(TRIM(INDEX(FormData,$H253,f_Name)),1)&amp;IFERROR(MID(TRIM(INDEX(FormData,$H253,f_Name)),FIND("^",SUBSTITUTE(TRIM(INDEX(FormData,$H253,f_Name))," ","^",LEN(TRIM(INDEX(FormData,$H253,f_Name)))-LEN(SUBSTITUTE(TRIM(INDEX(FormData,$H253,f_Name))," ",""))))+1,1),"")),""))</f>
        <v/>
      </c>
      <c r="E253" s="16">
        <f>IF($H253="","",IFERROR(INDEX(EvID,MATCH(INDEX(FormData,$H253,f_Event),EvID,0)),IFERROR(INDEX(EvID,MATCH(INDEX(FormData,$H253,f_Event),EvName,0)),IFERROR(INDEX(EvID,MATCH(INT($C253),EvDate,0)),"(no event that day)"))))</f>
        <v/>
      </c>
      <c r="F253" s="16">
        <f>IF($H253="","",IFERROR(IF(SUMPRODUCT(MAX((WhoKW&lt;&gt;"")*ISNUMBER(SEARCH(WhoKW,INDEX(FormData,$H253,f_Who)&amp;""))*(ROW(WhoKW)-MIN(ROW(WhoKW))+1)))=0,"",INDEX(WhoVal,SUMPRODUCT(MAX((WhoKW&lt;&gt;"")*ISNUMBER(SEARCH(WhoKW,INDEX(FormData,$H253,f_Who)&amp;""))*(ROW(WhoKW)-MIN(ROW(WhoKW))+1))))),""))</f>
        <v/>
      </c>
      <c r="G253" s="14">
        <f>IF($H253="","",IF(COUNTIF(People!$U$5:$U$604,$B253)+COUNTIF(People!$U$5:$U$604,$B253&amp;"")&gt;0,"✓ logged","→ add"))</f>
        <v/>
      </c>
      <c r="H253">
        <f>IFERROR(IF(INDEX(FormData,250,f_Id)&amp;""="","",250),"")</f>
        <v/>
      </c>
      <c r="I253" s="16">
        <f>IF($H253="","",IFERROR(INDEX(FormData,$H253,f_Need)&amp;"",""))</f>
        <v/>
      </c>
    </row>
    <row r="254">
      <c r="A254" s="14" t="n">
        <v>250</v>
      </c>
      <c r="B254" s="14">
        <f>IF($H254="","",INDEX(FormData,$H254,f_Id))</f>
        <v/>
      </c>
      <c r="C254" s="15">
        <f>IF($H254="","",IFERROR(INDEX(FormData,$H254,f_Time),""))</f>
        <v/>
      </c>
      <c r="D254" s="14">
        <f>IF($H254="","",IFERROR(UPPER(LEFT(TRIM(INDEX(FormData,$H254,f_Name)),1)&amp;IFERROR(MID(TRIM(INDEX(FormData,$H254,f_Name)),FIND("^",SUBSTITUTE(TRIM(INDEX(FormData,$H254,f_Name))," ","^",LEN(TRIM(INDEX(FormData,$H254,f_Name)))-LEN(SUBSTITUTE(TRIM(INDEX(FormData,$H254,f_Name))," ",""))))+1,1),"")),""))</f>
        <v/>
      </c>
      <c r="E254" s="16">
        <f>IF($H254="","",IFERROR(INDEX(EvID,MATCH(INDEX(FormData,$H254,f_Event),EvID,0)),IFERROR(INDEX(EvID,MATCH(INDEX(FormData,$H254,f_Event),EvName,0)),IFERROR(INDEX(EvID,MATCH(INT($C254),EvDate,0)),"(no event that day)"))))</f>
        <v/>
      </c>
      <c r="F254" s="16">
        <f>IF($H254="","",IFERROR(IF(SUMPRODUCT(MAX((WhoKW&lt;&gt;"")*ISNUMBER(SEARCH(WhoKW,INDEX(FormData,$H254,f_Who)&amp;""))*(ROW(WhoKW)-MIN(ROW(WhoKW))+1)))=0,"",INDEX(WhoVal,SUMPRODUCT(MAX((WhoKW&lt;&gt;"")*ISNUMBER(SEARCH(WhoKW,INDEX(FormData,$H254,f_Who)&amp;""))*(ROW(WhoKW)-MIN(ROW(WhoKW))+1))))),""))</f>
        <v/>
      </c>
      <c r="G254" s="14">
        <f>IF($H254="","",IF(COUNTIF(People!$U$5:$U$604,$B254)+COUNTIF(People!$U$5:$U$604,$B254&amp;"")&gt;0,"✓ logged","→ add"))</f>
        <v/>
      </c>
      <c r="H254">
        <f>IFERROR(IF(INDEX(FormData,251,f_Id)&amp;""="","",251),"")</f>
        <v/>
      </c>
      <c r="I254" s="16">
        <f>IF($H254="","",IFERROR(INDEX(FormData,$H254,f_Need)&amp;"",""))</f>
        <v/>
      </c>
    </row>
    <row r="255">
      <c r="A255" s="14" t="n">
        <v>251</v>
      </c>
      <c r="B255" s="14">
        <f>IF($H255="","",INDEX(FormData,$H255,f_Id))</f>
        <v/>
      </c>
      <c r="C255" s="15">
        <f>IF($H255="","",IFERROR(INDEX(FormData,$H255,f_Time),""))</f>
        <v/>
      </c>
      <c r="D255" s="14">
        <f>IF($H255="","",IFERROR(UPPER(LEFT(TRIM(INDEX(FormData,$H255,f_Name)),1)&amp;IFERROR(MID(TRIM(INDEX(FormData,$H255,f_Name)),FIND("^",SUBSTITUTE(TRIM(INDEX(FormData,$H255,f_Name))," ","^",LEN(TRIM(INDEX(FormData,$H255,f_Name)))-LEN(SUBSTITUTE(TRIM(INDEX(FormData,$H255,f_Name))," ",""))))+1,1),"")),""))</f>
        <v/>
      </c>
      <c r="E255" s="16">
        <f>IF($H255="","",IFERROR(INDEX(EvID,MATCH(INDEX(FormData,$H255,f_Event),EvID,0)),IFERROR(INDEX(EvID,MATCH(INDEX(FormData,$H255,f_Event),EvName,0)),IFERROR(INDEX(EvID,MATCH(INT($C255),EvDate,0)),"(no event that day)"))))</f>
        <v/>
      </c>
      <c r="F255" s="16">
        <f>IF($H255="","",IFERROR(IF(SUMPRODUCT(MAX((WhoKW&lt;&gt;"")*ISNUMBER(SEARCH(WhoKW,INDEX(FormData,$H255,f_Who)&amp;""))*(ROW(WhoKW)-MIN(ROW(WhoKW))+1)))=0,"",INDEX(WhoVal,SUMPRODUCT(MAX((WhoKW&lt;&gt;"")*ISNUMBER(SEARCH(WhoKW,INDEX(FormData,$H255,f_Who)&amp;""))*(ROW(WhoKW)-MIN(ROW(WhoKW))+1))))),""))</f>
        <v/>
      </c>
      <c r="G255" s="14">
        <f>IF($H255="","",IF(COUNTIF(People!$U$5:$U$604,$B255)+COUNTIF(People!$U$5:$U$604,$B255&amp;"")&gt;0,"✓ logged","→ add"))</f>
        <v/>
      </c>
      <c r="H255">
        <f>IFERROR(IF(INDEX(FormData,252,f_Id)&amp;""="","",252),"")</f>
        <v/>
      </c>
      <c r="I255" s="16">
        <f>IF($H255="","",IFERROR(INDEX(FormData,$H255,f_Need)&amp;"",""))</f>
        <v/>
      </c>
    </row>
    <row r="256">
      <c r="A256" s="14" t="n">
        <v>252</v>
      </c>
      <c r="B256" s="14">
        <f>IF($H256="","",INDEX(FormData,$H256,f_Id))</f>
        <v/>
      </c>
      <c r="C256" s="15">
        <f>IF($H256="","",IFERROR(INDEX(FormData,$H256,f_Time),""))</f>
        <v/>
      </c>
      <c r="D256" s="14">
        <f>IF($H256="","",IFERROR(UPPER(LEFT(TRIM(INDEX(FormData,$H256,f_Name)),1)&amp;IFERROR(MID(TRIM(INDEX(FormData,$H256,f_Name)),FIND("^",SUBSTITUTE(TRIM(INDEX(FormData,$H256,f_Name))," ","^",LEN(TRIM(INDEX(FormData,$H256,f_Name)))-LEN(SUBSTITUTE(TRIM(INDEX(FormData,$H256,f_Name))," ",""))))+1,1),"")),""))</f>
        <v/>
      </c>
      <c r="E256" s="16">
        <f>IF($H256="","",IFERROR(INDEX(EvID,MATCH(INDEX(FormData,$H256,f_Event),EvID,0)),IFERROR(INDEX(EvID,MATCH(INDEX(FormData,$H256,f_Event),EvName,0)),IFERROR(INDEX(EvID,MATCH(INT($C256),EvDate,0)),"(no event that day)"))))</f>
        <v/>
      </c>
      <c r="F256" s="16">
        <f>IF($H256="","",IFERROR(IF(SUMPRODUCT(MAX((WhoKW&lt;&gt;"")*ISNUMBER(SEARCH(WhoKW,INDEX(FormData,$H256,f_Who)&amp;""))*(ROW(WhoKW)-MIN(ROW(WhoKW))+1)))=0,"",INDEX(WhoVal,SUMPRODUCT(MAX((WhoKW&lt;&gt;"")*ISNUMBER(SEARCH(WhoKW,INDEX(FormData,$H256,f_Who)&amp;""))*(ROW(WhoKW)-MIN(ROW(WhoKW))+1))))),""))</f>
        <v/>
      </c>
      <c r="G256" s="14">
        <f>IF($H256="","",IF(COUNTIF(People!$U$5:$U$604,$B256)+COUNTIF(People!$U$5:$U$604,$B256&amp;"")&gt;0,"✓ logged","→ add"))</f>
        <v/>
      </c>
      <c r="H256">
        <f>IFERROR(IF(INDEX(FormData,253,f_Id)&amp;""="","",253),"")</f>
        <v/>
      </c>
      <c r="I256" s="16">
        <f>IF($H256="","",IFERROR(INDEX(FormData,$H256,f_Need)&amp;"",""))</f>
        <v/>
      </c>
    </row>
    <row r="257">
      <c r="A257" s="14" t="n">
        <v>253</v>
      </c>
      <c r="B257" s="14">
        <f>IF($H257="","",INDEX(FormData,$H257,f_Id))</f>
        <v/>
      </c>
      <c r="C257" s="15">
        <f>IF($H257="","",IFERROR(INDEX(FormData,$H257,f_Time),""))</f>
        <v/>
      </c>
      <c r="D257" s="14">
        <f>IF($H257="","",IFERROR(UPPER(LEFT(TRIM(INDEX(FormData,$H257,f_Name)),1)&amp;IFERROR(MID(TRIM(INDEX(FormData,$H257,f_Name)),FIND("^",SUBSTITUTE(TRIM(INDEX(FormData,$H257,f_Name))," ","^",LEN(TRIM(INDEX(FormData,$H257,f_Name)))-LEN(SUBSTITUTE(TRIM(INDEX(FormData,$H257,f_Name))," ",""))))+1,1),"")),""))</f>
        <v/>
      </c>
      <c r="E257" s="16">
        <f>IF($H257="","",IFERROR(INDEX(EvID,MATCH(INDEX(FormData,$H257,f_Event),EvID,0)),IFERROR(INDEX(EvID,MATCH(INDEX(FormData,$H257,f_Event),EvName,0)),IFERROR(INDEX(EvID,MATCH(INT($C257),EvDate,0)),"(no event that day)"))))</f>
        <v/>
      </c>
      <c r="F257" s="16">
        <f>IF($H257="","",IFERROR(IF(SUMPRODUCT(MAX((WhoKW&lt;&gt;"")*ISNUMBER(SEARCH(WhoKW,INDEX(FormData,$H257,f_Who)&amp;""))*(ROW(WhoKW)-MIN(ROW(WhoKW))+1)))=0,"",INDEX(WhoVal,SUMPRODUCT(MAX((WhoKW&lt;&gt;"")*ISNUMBER(SEARCH(WhoKW,INDEX(FormData,$H257,f_Who)&amp;""))*(ROW(WhoKW)-MIN(ROW(WhoKW))+1))))),""))</f>
        <v/>
      </c>
      <c r="G257" s="14">
        <f>IF($H257="","",IF(COUNTIF(People!$U$5:$U$604,$B257)+COUNTIF(People!$U$5:$U$604,$B257&amp;"")&gt;0,"✓ logged","→ add"))</f>
        <v/>
      </c>
      <c r="H257">
        <f>IFERROR(IF(INDEX(FormData,254,f_Id)&amp;""="","",254),"")</f>
        <v/>
      </c>
      <c r="I257" s="16">
        <f>IF($H257="","",IFERROR(INDEX(FormData,$H257,f_Need)&amp;"",""))</f>
        <v/>
      </c>
    </row>
    <row r="258">
      <c r="A258" s="14" t="n">
        <v>254</v>
      </c>
      <c r="B258" s="14">
        <f>IF($H258="","",INDEX(FormData,$H258,f_Id))</f>
        <v/>
      </c>
      <c r="C258" s="15">
        <f>IF($H258="","",IFERROR(INDEX(FormData,$H258,f_Time),""))</f>
        <v/>
      </c>
      <c r="D258" s="14">
        <f>IF($H258="","",IFERROR(UPPER(LEFT(TRIM(INDEX(FormData,$H258,f_Name)),1)&amp;IFERROR(MID(TRIM(INDEX(FormData,$H258,f_Name)),FIND("^",SUBSTITUTE(TRIM(INDEX(FormData,$H258,f_Name))," ","^",LEN(TRIM(INDEX(FormData,$H258,f_Name)))-LEN(SUBSTITUTE(TRIM(INDEX(FormData,$H258,f_Name))," ",""))))+1,1),"")),""))</f>
        <v/>
      </c>
      <c r="E258" s="16">
        <f>IF($H258="","",IFERROR(INDEX(EvID,MATCH(INDEX(FormData,$H258,f_Event),EvID,0)),IFERROR(INDEX(EvID,MATCH(INDEX(FormData,$H258,f_Event),EvName,0)),IFERROR(INDEX(EvID,MATCH(INT($C258),EvDate,0)),"(no event that day)"))))</f>
        <v/>
      </c>
      <c r="F258" s="16">
        <f>IF($H258="","",IFERROR(IF(SUMPRODUCT(MAX((WhoKW&lt;&gt;"")*ISNUMBER(SEARCH(WhoKW,INDEX(FormData,$H258,f_Who)&amp;""))*(ROW(WhoKW)-MIN(ROW(WhoKW))+1)))=0,"",INDEX(WhoVal,SUMPRODUCT(MAX((WhoKW&lt;&gt;"")*ISNUMBER(SEARCH(WhoKW,INDEX(FormData,$H258,f_Who)&amp;""))*(ROW(WhoKW)-MIN(ROW(WhoKW))+1))))),""))</f>
        <v/>
      </c>
      <c r="G258" s="14">
        <f>IF($H258="","",IF(COUNTIF(People!$U$5:$U$604,$B258)+COUNTIF(People!$U$5:$U$604,$B258&amp;"")&gt;0,"✓ logged","→ add"))</f>
        <v/>
      </c>
      <c r="H258">
        <f>IFERROR(IF(INDEX(FormData,255,f_Id)&amp;""="","",255),"")</f>
        <v/>
      </c>
      <c r="I258" s="16">
        <f>IF($H258="","",IFERROR(INDEX(FormData,$H258,f_Need)&amp;"",""))</f>
        <v/>
      </c>
    </row>
    <row r="259">
      <c r="A259" s="14" t="n">
        <v>255</v>
      </c>
      <c r="B259" s="14">
        <f>IF($H259="","",INDEX(FormData,$H259,f_Id))</f>
        <v/>
      </c>
      <c r="C259" s="15">
        <f>IF($H259="","",IFERROR(INDEX(FormData,$H259,f_Time),""))</f>
        <v/>
      </c>
      <c r="D259" s="14">
        <f>IF($H259="","",IFERROR(UPPER(LEFT(TRIM(INDEX(FormData,$H259,f_Name)),1)&amp;IFERROR(MID(TRIM(INDEX(FormData,$H259,f_Name)),FIND("^",SUBSTITUTE(TRIM(INDEX(FormData,$H259,f_Name))," ","^",LEN(TRIM(INDEX(FormData,$H259,f_Name)))-LEN(SUBSTITUTE(TRIM(INDEX(FormData,$H259,f_Name))," ",""))))+1,1),"")),""))</f>
        <v/>
      </c>
      <c r="E259" s="16">
        <f>IF($H259="","",IFERROR(INDEX(EvID,MATCH(INDEX(FormData,$H259,f_Event),EvID,0)),IFERROR(INDEX(EvID,MATCH(INDEX(FormData,$H259,f_Event),EvName,0)),IFERROR(INDEX(EvID,MATCH(INT($C259),EvDate,0)),"(no event that day)"))))</f>
        <v/>
      </c>
      <c r="F259" s="16">
        <f>IF($H259="","",IFERROR(IF(SUMPRODUCT(MAX((WhoKW&lt;&gt;"")*ISNUMBER(SEARCH(WhoKW,INDEX(FormData,$H259,f_Who)&amp;""))*(ROW(WhoKW)-MIN(ROW(WhoKW))+1)))=0,"",INDEX(WhoVal,SUMPRODUCT(MAX((WhoKW&lt;&gt;"")*ISNUMBER(SEARCH(WhoKW,INDEX(FormData,$H259,f_Who)&amp;""))*(ROW(WhoKW)-MIN(ROW(WhoKW))+1))))),""))</f>
        <v/>
      </c>
      <c r="G259" s="14">
        <f>IF($H259="","",IF(COUNTIF(People!$U$5:$U$604,$B259)+COUNTIF(People!$U$5:$U$604,$B259&amp;"")&gt;0,"✓ logged","→ add"))</f>
        <v/>
      </c>
      <c r="H259">
        <f>IFERROR(IF(INDEX(FormData,256,f_Id)&amp;""="","",256),"")</f>
        <v/>
      </c>
      <c r="I259" s="16">
        <f>IF($H259="","",IFERROR(INDEX(FormData,$H259,f_Need)&amp;"",""))</f>
        <v/>
      </c>
    </row>
    <row r="260">
      <c r="A260" s="14" t="n">
        <v>256</v>
      </c>
      <c r="B260" s="14">
        <f>IF($H260="","",INDEX(FormData,$H260,f_Id))</f>
        <v/>
      </c>
      <c r="C260" s="15">
        <f>IF($H260="","",IFERROR(INDEX(FormData,$H260,f_Time),""))</f>
        <v/>
      </c>
      <c r="D260" s="14">
        <f>IF($H260="","",IFERROR(UPPER(LEFT(TRIM(INDEX(FormData,$H260,f_Name)),1)&amp;IFERROR(MID(TRIM(INDEX(FormData,$H260,f_Name)),FIND("^",SUBSTITUTE(TRIM(INDEX(FormData,$H260,f_Name))," ","^",LEN(TRIM(INDEX(FormData,$H260,f_Name)))-LEN(SUBSTITUTE(TRIM(INDEX(FormData,$H260,f_Name))," ",""))))+1,1),"")),""))</f>
        <v/>
      </c>
      <c r="E260" s="16">
        <f>IF($H260="","",IFERROR(INDEX(EvID,MATCH(INDEX(FormData,$H260,f_Event),EvID,0)),IFERROR(INDEX(EvID,MATCH(INDEX(FormData,$H260,f_Event),EvName,0)),IFERROR(INDEX(EvID,MATCH(INT($C260),EvDate,0)),"(no event that day)"))))</f>
        <v/>
      </c>
      <c r="F260" s="16">
        <f>IF($H260="","",IFERROR(IF(SUMPRODUCT(MAX((WhoKW&lt;&gt;"")*ISNUMBER(SEARCH(WhoKW,INDEX(FormData,$H260,f_Who)&amp;""))*(ROW(WhoKW)-MIN(ROW(WhoKW))+1)))=0,"",INDEX(WhoVal,SUMPRODUCT(MAX((WhoKW&lt;&gt;"")*ISNUMBER(SEARCH(WhoKW,INDEX(FormData,$H260,f_Who)&amp;""))*(ROW(WhoKW)-MIN(ROW(WhoKW))+1))))),""))</f>
        <v/>
      </c>
      <c r="G260" s="14">
        <f>IF($H260="","",IF(COUNTIF(People!$U$5:$U$604,$B260)+COUNTIF(People!$U$5:$U$604,$B260&amp;"")&gt;0,"✓ logged","→ add"))</f>
        <v/>
      </c>
      <c r="H260">
        <f>IFERROR(IF(INDEX(FormData,257,f_Id)&amp;""="","",257),"")</f>
        <v/>
      </c>
      <c r="I260" s="16">
        <f>IF($H260="","",IFERROR(INDEX(FormData,$H260,f_Need)&amp;"",""))</f>
        <v/>
      </c>
    </row>
    <row r="261">
      <c r="A261" s="14" t="n">
        <v>257</v>
      </c>
      <c r="B261" s="14">
        <f>IF($H261="","",INDEX(FormData,$H261,f_Id))</f>
        <v/>
      </c>
      <c r="C261" s="15">
        <f>IF($H261="","",IFERROR(INDEX(FormData,$H261,f_Time),""))</f>
        <v/>
      </c>
      <c r="D261" s="14">
        <f>IF($H261="","",IFERROR(UPPER(LEFT(TRIM(INDEX(FormData,$H261,f_Name)),1)&amp;IFERROR(MID(TRIM(INDEX(FormData,$H261,f_Name)),FIND("^",SUBSTITUTE(TRIM(INDEX(FormData,$H261,f_Name))," ","^",LEN(TRIM(INDEX(FormData,$H261,f_Name)))-LEN(SUBSTITUTE(TRIM(INDEX(FormData,$H261,f_Name))," ",""))))+1,1),"")),""))</f>
        <v/>
      </c>
      <c r="E261" s="16">
        <f>IF($H261="","",IFERROR(INDEX(EvID,MATCH(INDEX(FormData,$H261,f_Event),EvID,0)),IFERROR(INDEX(EvID,MATCH(INDEX(FormData,$H261,f_Event),EvName,0)),IFERROR(INDEX(EvID,MATCH(INT($C261),EvDate,0)),"(no event that day)"))))</f>
        <v/>
      </c>
      <c r="F261" s="16">
        <f>IF($H261="","",IFERROR(IF(SUMPRODUCT(MAX((WhoKW&lt;&gt;"")*ISNUMBER(SEARCH(WhoKW,INDEX(FormData,$H261,f_Who)&amp;""))*(ROW(WhoKW)-MIN(ROW(WhoKW))+1)))=0,"",INDEX(WhoVal,SUMPRODUCT(MAX((WhoKW&lt;&gt;"")*ISNUMBER(SEARCH(WhoKW,INDEX(FormData,$H261,f_Who)&amp;""))*(ROW(WhoKW)-MIN(ROW(WhoKW))+1))))),""))</f>
        <v/>
      </c>
      <c r="G261" s="14">
        <f>IF($H261="","",IF(COUNTIF(People!$U$5:$U$604,$B261)+COUNTIF(People!$U$5:$U$604,$B261&amp;"")&gt;0,"✓ logged","→ add"))</f>
        <v/>
      </c>
      <c r="H261">
        <f>IFERROR(IF(INDEX(FormData,258,f_Id)&amp;""="","",258),"")</f>
        <v/>
      </c>
      <c r="I261" s="16">
        <f>IF($H261="","",IFERROR(INDEX(FormData,$H261,f_Need)&amp;"",""))</f>
        <v/>
      </c>
    </row>
    <row r="262">
      <c r="A262" s="14" t="n">
        <v>258</v>
      </c>
      <c r="B262" s="14">
        <f>IF($H262="","",INDEX(FormData,$H262,f_Id))</f>
        <v/>
      </c>
      <c r="C262" s="15">
        <f>IF($H262="","",IFERROR(INDEX(FormData,$H262,f_Time),""))</f>
        <v/>
      </c>
      <c r="D262" s="14">
        <f>IF($H262="","",IFERROR(UPPER(LEFT(TRIM(INDEX(FormData,$H262,f_Name)),1)&amp;IFERROR(MID(TRIM(INDEX(FormData,$H262,f_Name)),FIND("^",SUBSTITUTE(TRIM(INDEX(FormData,$H262,f_Name))," ","^",LEN(TRIM(INDEX(FormData,$H262,f_Name)))-LEN(SUBSTITUTE(TRIM(INDEX(FormData,$H262,f_Name))," ",""))))+1,1),"")),""))</f>
        <v/>
      </c>
      <c r="E262" s="16">
        <f>IF($H262="","",IFERROR(INDEX(EvID,MATCH(INDEX(FormData,$H262,f_Event),EvID,0)),IFERROR(INDEX(EvID,MATCH(INDEX(FormData,$H262,f_Event),EvName,0)),IFERROR(INDEX(EvID,MATCH(INT($C262),EvDate,0)),"(no event that day)"))))</f>
        <v/>
      </c>
      <c r="F262" s="16">
        <f>IF($H262="","",IFERROR(IF(SUMPRODUCT(MAX((WhoKW&lt;&gt;"")*ISNUMBER(SEARCH(WhoKW,INDEX(FormData,$H262,f_Who)&amp;""))*(ROW(WhoKW)-MIN(ROW(WhoKW))+1)))=0,"",INDEX(WhoVal,SUMPRODUCT(MAX((WhoKW&lt;&gt;"")*ISNUMBER(SEARCH(WhoKW,INDEX(FormData,$H262,f_Who)&amp;""))*(ROW(WhoKW)-MIN(ROW(WhoKW))+1))))),""))</f>
        <v/>
      </c>
      <c r="G262" s="14">
        <f>IF($H262="","",IF(COUNTIF(People!$U$5:$U$604,$B262)+COUNTIF(People!$U$5:$U$604,$B262&amp;"")&gt;0,"✓ logged","→ add"))</f>
        <v/>
      </c>
      <c r="H262">
        <f>IFERROR(IF(INDEX(FormData,259,f_Id)&amp;""="","",259),"")</f>
        <v/>
      </c>
      <c r="I262" s="16">
        <f>IF($H262="","",IFERROR(INDEX(FormData,$H262,f_Need)&amp;"",""))</f>
        <v/>
      </c>
    </row>
    <row r="263">
      <c r="A263" s="14" t="n">
        <v>259</v>
      </c>
      <c r="B263" s="14">
        <f>IF($H263="","",INDEX(FormData,$H263,f_Id))</f>
        <v/>
      </c>
      <c r="C263" s="15">
        <f>IF($H263="","",IFERROR(INDEX(FormData,$H263,f_Time),""))</f>
        <v/>
      </c>
      <c r="D263" s="14">
        <f>IF($H263="","",IFERROR(UPPER(LEFT(TRIM(INDEX(FormData,$H263,f_Name)),1)&amp;IFERROR(MID(TRIM(INDEX(FormData,$H263,f_Name)),FIND("^",SUBSTITUTE(TRIM(INDEX(FormData,$H263,f_Name))," ","^",LEN(TRIM(INDEX(FormData,$H263,f_Name)))-LEN(SUBSTITUTE(TRIM(INDEX(FormData,$H263,f_Name))," ",""))))+1,1),"")),""))</f>
        <v/>
      </c>
      <c r="E263" s="16">
        <f>IF($H263="","",IFERROR(INDEX(EvID,MATCH(INDEX(FormData,$H263,f_Event),EvID,0)),IFERROR(INDEX(EvID,MATCH(INDEX(FormData,$H263,f_Event),EvName,0)),IFERROR(INDEX(EvID,MATCH(INT($C263),EvDate,0)),"(no event that day)"))))</f>
        <v/>
      </c>
      <c r="F263" s="16">
        <f>IF($H263="","",IFERROR(IF(SUMPRODUCT(MAX((WhoKW&lt;&gt;"")*ISNUMBER(SEARCH(WhoKW,INDEX(FormData,$H263,f_Who)&amp;""))*(ROW(WhoKW)-MIN(ROW(WhoKW))+1)))=0,"",INDEX(WhoVal,SUMPRODUCT(MAX((WhoKW&lt;&gt;"")*ISNUMBER(SEARCH(WhoKW,INDEX(FormData,$H263,f_Who)&amp;""))*(ROW(WhoKW)-MIN(ROW(WhoKW))+1))))),""))</f>
        <v/>
      </c>
      <c r="G263" s="14">
        <f>IF($H263="","",IF(COUNTIF(People!$U$5:$U$604,$B263)+COUNTIF(People!$U$5:$U$604,$B263&amp;"")&gt;0,"✓ logged","→ add"))</f>
        <v/>
      </c>
      <c r="H263">
        <f>IFERROR(IF(INDEX(FormData,260,f_Id)&amp;""="","",260),"")</f>
        <v/>
      </c>
      <c r="I263" s="16">
        <f>IF($H263="","",IFERROR(INDEX(FormData,$H263,f_Need)&amp;"",""))</f>
        <v/>
      </c>
    </row>
    <row r="264">
      <c r="A264" s="14" t="n">
        <v>260</v>
      </c>
      <c r="B264" s="14">
        <f>IF($H264="","",INDEX(FormData,$H264,f_Id))</f>
        <v/>
      </c>
      <c r="C264" s="15">
        <f>IF($H264="","",IFERROR(INDEX(FormData,$H264,f_Time),""))</f>
        <v/>
      </c>
      <c r="D264" s="14">
        <f>IF($H264="","",IFERROR(UPPER(LEFT(TRIM(INDEX(FormData,$H264,f_Name)),1)&amp;IFERROR(MID(TRIM(INDEX(FormData,$H264,f_Name)),FIND("^",SUBSTITUTE(TRIM(INDEX(FormData,$H264,f_Name))," ","^",LEN(TRIM(INDEX(FormData,$H264,f_Name)))-LEN(SUBSTITUTE(TRIM(INDEX(FormData,$H264,f_Name))," ",""))))+1,1),"")),""))</f>
        <v/>
      </c>
      <c r="E264" s="16">
        <f>IF($H264="","",IFERROR(INDEX(EvID,MATCH(INDEX(FormData,$H264,f_Event),EvID,0)),IFERROR(INDEX(EvID,MATCH(INDEX(FormData,$H264,f_Event),EvName,0)),IFERROR(INDEX(EvID,MATCH(INT($C264),EvDate,0)),"(no event that day)"))))</f>
        <v/>
      </c>
      <c r="F264" s="16">
        <f>IF($H264="","",IFERROR(IF(SUMPRODUCT(MAX((WhoKW&lt;&gt;"")*ISNUMBER(SEARCH(WhoKW,INDEX(FormData,$H264,f_Who)&amp;""))*(ROW(WhoKW)-MIN(ROW(WhoKW))+1)))=0,"",INDEX(WhoVal,SUMPRODUCT(MAX((WhoKW&lt;&gt;"")*ISNUMBER(SEARCH(WhoKW,INDEX(FormData,$H264,f_Who)&amp;""))*(ROW(WhoKW)-MIN(ROW(WhoKW))+1))))),""))</f>
        <v/>
      </c>
      <c r="G264" s="14">
        <f>IF($H264="","",IF(COUNTIF(People!$U$5:$U$604,$B264)+COUNTIF(People!$U$5:$U$604,$B264&amp;"")&gt;0,"✓ logged","→ add"))</f>
        <v/>
      </c>
      <c r="H264">
        <f>IFERROR(IF(INDEX(FormData,261,f_Id)&amp;""="","",261),"")</f>
        <v/>
      </c>
      <c r="I264" s="16">
        <f>IF($H264="","",IFERROR(INDEX(FormData,$H264,f_Need)&amp;"",""))</f>
        <v/>
      </c>
    </row>
    <row r="265">
      <c r="A265" s="14" t="n">
        <v>261</v>
      </c>
      <c r="B265" s="14">
        <f>IF($H265="","",INDEX(FormData,$H265,f_Id))</f>
        <v/>
      </c>
      <c r="C265" s="15">
        <f>IF($H265="","",IFERROR(INDEX(FormData,$H265,f_Time),""))</f>
        <v/>
      </c>
      <c r="D265" s="14">
        <f>IF($H265="","",IFERROR(UPPER(LEFT(TRIM(INDEX(FormData,$H265,f_Name)),1)&amp;IFERROR(MID(TRIM(INDEX(FormData,$H265,f_Name)),FIND("^",SUBSTITUTE(TRIM(INDEX(FormData,$H265,f_Name))," ","^",LEN(TRIM(INDEX(FormData,$H265,f_Name)))-LEN(SUBSTITUTE(TRIM(INDEX(FormData,$H265,f_Name))," ",""))))+1,1),"")),""))</f>
        <v/>
      </c>
      <c r="E265" s="16">
        <f>IF($H265="","",IFERROR(INDEX(EvID,MATCH(INDEX(FormData,$H265,f_Event),EvID,0)),IFERROR(INDEX(EvID,MATCH(INDEX(FormData,$H265,f_Event),EvName,0)),IFERROR(INDEX(EvID,MATCH(INT($C265),EvDate,0)),"(no event that day)"))))</f>
        <v/>
      </c>
      <c r="F265" s="16">
        <f>IF($H265="","",IFERROR(IF(SUMPRODUCT(MAX((WhoKW&lt;&gt;"")*ISNUMBER(SEARCH(WhoKW,INDEX(FormData,$H265,f_Who)&amp;""))*(ROW(WhoKW)-MIN(ROW(WhoKW))+1)))=0,"",INDEX(WhoVal,SUMPRODUCT(MAX((WhoKW&lt;&gt;"")*ISNUMBER(SEARCH(WhoKW,INDEX(FormData,$H265,f_Who)&amp;""))*(ROW(WhoKW)-MIN(ROW(WhoKW))+1))))),""))</f>
        <v/>
      </c>
      <c r="G265" s="14">
        <f>IF($H265="","",IF(COUNTIF(People!$U$5:$U$604,$B265)+COUNTIF(People!$U$5:$U$604,$B265&amp;"")&gt;0,"✓ logged","→ add"))</f>
        <v/>
      </c>
      <c r="H265">
        <f>IFERROR(IF(INDEX(FormData,262,f_Id)&amp;""="","",262),"")</f>
        <v/>
      </c>
      <c r="I265" s="16">
        <f>IF($H265="","",IFERROR(INDEX(FormData,$H265,f_Need)&amp;"",""))</f>
        <v/>
      </c>
    </row>
    <row r="266">
      <c r="A266" s="14" t="n">
        <v>262</v>
      </c>
      <c r="B266" s="14">
        <f>IF($H266="","",INDEX(FormData,$H266,f_Id))</f>
        <v/>
      </c>
      <c r="C266" s="15">
        <f>IF($H266="","",IFERROR(INDEX(FormData,$H266,f_Time),""))</f>
        <v/>
      </c>
      <c r="D266" s="14">
        <f>IF($H266="","",IFERROR(UPPER(LEFT(TRIM(INDEX(FormData,$H266,f_Name)),1)&amp;IFERROR(MID(TRIM(INDEX(FormData,$H266,f_Name)),FIND("^",SUBSTITUTE(TRIM(INDEX(FormData,$H266,f_Name))," ","^",LEN(TRIM(INDEX(FormData,$H266,f_Name)))-LEN(SUBSTITUTE(TRIM(INDEX(FormData,$H266,f_Name))," ",""))))+1,1),"")),""))</f>
        <v/>
      </c>
      <c r="E266" s="16">
        <f>IF($H266="","",IFERROR(INDEX(EvID,MATCH(INDEX(FormData,$H266,f_Event),EvID,0)),IFERROR(INDEX(EvID,MATCH(INDEX(FormData,$H266,f_Event),EvName,0)),IFERROR(INDEX(EvID,MATCH(INT($C266),EvDate,0)),"(no event that day)"))))</f>
        <v/>
      </c>
      <c r="F266" s="16">
        <f>IF($H266="","",IFERROR(IF(SUMPRODUCT(MAX((WhoKW&lt;&gt;"")*ISNUMBER(SEARCH(WhoKW,INDEX(FormData,$H266,f_Who)&amp;""))*(ROW(WhoKW)-MIN(ROW(WhoKW))+1)))=0,"",INDEX(WhoVal,SUMPRODUCT(MAX((WhoKW&lt;&gt;"")*ISNUMBER(SEARCH(WhoKW,INDEX(FormData,$H266,f_Who)&amp;""))*(ROW(WhoKW)-MIN(ROW(WhoKW))+1))))),""))</f>
        <v/>
      </c>
      <c r="G266" s="14">
        <f>IF($H266="","",IF(COUNTIF(People!$U$5:$U$604,$B266)+COUNTIF(People!$U$5:$U$604,$B266&amp;"")&gt;0,"✓ logged","→ add"))</f>
        <v/>
      </c>
      <c r="H266">
        <f>IFERROR(IF(INDEX(FormData,263,f_Id)&amp;""="","",263),"")</f>
        <v/>
      </c>
      <c r="I266" s="16">
        <f>IF($H266="","",IFERROR(INDEX(FormData,$H266,f_Need)&amp;"",""))</f>
        <v/>
      </c>
    </row>
    <row r="267">
      <c r="A267" s="14" t="n">
        <v>263</v>
      </c>
      <c r="B267" s="14">
        <f>IF($H267="","",INDEX(FormData,$H267,f_Id))</f>
        <v/>
      </c>
      <c r="C267" s="15">
        <f>IF($H267="","",IFERROR(INDEX(FormData,$H267,f_Time),""))</f>
        <v/>
      </c>
      <c r="D267" s="14">
        <f>IF($H267="","",IFERROR(UPPER(LEFT(TRIM(INDEX(FormData,$H267,f_Name)),1)&amp;IFERROR(MID(TRIM(INDEX(FormData,$H267,f_Name)),FIND("^",SUBSTITUTE(TRIM(INDEX(FormData,$H267,f_Name))," ","^",LEN(TRIM(INDEX(FormData,$H267,f_Name)))-LEN(SUBSTITUTE(TRIM(INDEX(FormData,$H267,f_Name))," ",""))))+1,1),"")),""))</f>
        <v/>
      </c>
      <c r="E267" s="16">
        <f>IF($H267="","",IFERROR(INDEX(EvID,MATCH(INDEX(FormData,$H267,f_Event),EvID,0)),IFERROR(INDEX(EvID,MATCH(INDEX(FormData,$H267,f_Event),EvName,0)),IFERROR(INDEX(EvID,MATCH(INT($C267),EvDate,0)),"(no event that day)"))))</f>
        <v/>
      </c>
      <c r="F267" s="16">
        <f>IF($H267="","",IFERROR(IF(SUMPRODUCT(MAX((WhoKW&lt;&gt;"")*ISNUMBER(SEARCH(WhoKW,INDEX(FormData,$H267,f_Who)&amp;""))*(ROW(WhoKW)-MIN(ROW(WhoKW))+1)))=0,"",INDEX(WhoVal,SUMPRODUCT(MAX((WhoKW&lt;&gt;"")*ISNUMBER(SEARCH(WhoKW,INDEX(FormData,$H267,f_Who)&amp;""))*(ROW(WhoKW)-MIN(ROW(WhoKW))+1))))),""))</f>
        <v/>
      </c>
      <c r="G267" s="14">
        <f>IF($H267="","",IF(COUNTIF(People!$U$5:$U$604,$B267)+COUNTIF(People!$U$5:$U$604,$B267&amp;"")&gt;0,"✓ logged","→ add"))</f>
        <v/>
      </c>
      <c r="H267">
        <f>IFERROR(IF(INDEX(FormData,264,f_Id)&amp;""="","",264),"")</f>
        <v/>
      </c>
      <c r="I267" s="16">
        <f>IF($H267="","",IFERROR(INDEX(FormData,$H267,f_Need)&amp;"",""))</f>
        <v/>
      </c>
    </row>
    <row r="268">
      <c r="A268" s="14" t="n">
        <v>264</v>
      </c>
      <c r="B268" s="14">
        <f>IF($H268="","",INDEX(FormData,$H268,f_Id))</f>
        <v/>
      </c>
      <c r="C268" s="15">
        <f>IF($H268="","",IFERROR(INDEX(FormData,$H268,f_Time),""))</f>
        <v/>
      </c>
      <c r="D268" s="14">
        <f>IF($H268="","",IFERROR(UPPER(LEFT(TRIM(INDEX(FormData,$H268,f_Name)),1)&amp;IFERROR(MID(TRIM(INDEX(FormData,$H268,f_Name)),FIND("^",SUBSTITUTE(TRIM(INDEX(FormData,$H268,f_Name))," ","^",LEN(TRIM(INDEX(FormData,$H268,f_Name)))-LEN(SUBSTITUTE(TRIM(INDEX(FormData,$H268,f_Name))," ",""))))+1,1),"")),""))</f>
        <v/>
      </c>
      <c r="E268" s="16">
        <f>IF($H268="","",IFERROR(INDEX(EvID,MATCH(INDEX(FormData,$H268,f_Event),EvID,0)),IFERROR(INDEX(EvID,MATCH(INDEX(FormData,$H268,f_Event),EvName,0)),IFERROR(INDEX(EvID,MATCH(INT($C268),EvDate,0)),"(no event that day)"))))</f>
        <v/>
      </c>
      <c r="F268" s="16">
        <f>IF($H268="","",IFERROR(IF(SUMPRODUCT(MAX((WhoKW&lt;&gt;"")*ISNUMBER(SEARCH(WhoKW,INDEX(FormData,$H268,f_Who)&amp;""))*(ROW(WhoKW)-MIN(ROW(WhoKW))+1)))=0,"",INDEX(WhoVal,SUMPRODUCT(MAX((WhoKW&lt;&gt;"")*ISNUMBER(SEARCH(WhoKW,INDEX(FormData,$H268,f_Who)&amp;""))*(ROW(WhoKW)-MIN(ROW(WhoKW))+1))))),""))</f>
        <v/>
      </c>
      <c r="G268" s="14">
        <f>IF($H268="","",IF(COUNTIF(People!$U$5:$U$604,$B268)+COUNTIF(People!$U$5:$U$604,$B268&amp;"")&gt;0,"✓ logged","→ add"))</f>
        <v/>
      </c>
      <c r="H268">
        <f>IFERROR(IF(INDEX(FormData,265,f_Id)&amp;""="","",265),"")</f>
        <v/>
      </c>
      <c r="I268" s="16">
        <f>IF($H268="","",IFERROR(INDEX(FormData,$H268,f_Need)&amp;"",""))</f>
        <v/>
      </c>
    </row>
    <row r="269">
      <c r="A269" s="14" t="n">
        <v>265</v>
      </c>
      <c r="B269" s="14">
        <f>IF($H269="","",INDEX(FormData,$H269,f_Id))</f>
        <v/>
      </c>
      <c r="C269" s="15">
        <f>IF($H269="","",IFERROR(INDEX(FormData,$H269,f_Time),""))</f>
        <v/>
      </c>
      <c r="D269" s="14">
        <f>IF($H269="","",IFERROR(UPPER(LEFT(TRIM(INDEX(FormData,$H269,f_Name)),1)&amp;IFERROR(MID(TRIM(INDEX(FormData,$H269,f_Name)),FIND("^",SUBSTITUTE(TRIM(INDEX(FormData,$H269,f_Name))," ","^",LEN(TRIM(INDEX(FormData,$H269,f_Name)))-LEN(SUBSTITUTE(TRIM(INDEX(FormData,$H269,f_Name))," ",""))))+1,1),"")),""))</f>
        <v/>
      </c>
      <c r="E269" s="16">
        <f>IF($H269="","",IFERROR(INDEX(EvID,MATCH(INDEX(FormData,$H269,f_Event),EvID,0)),IFERROR(INDEX(EvID,MATCH(INDEX(FormData,$H269,f_Event),EvName,0)),IFERROR(INDEX(EvID,MATCH(INT($C269),EvDate,0)),"(no event that day)"))))</f>
        <v/>
      </c>
      <c r="F269" s="16">
        <f>IF($H269="","",IFERROR(IF(SUMPRODUCT(MAX((WhoKW&lt;&gt;"")*ISNUMBER(SEARCH(WhoKW,INDEX(FormData,$H269,f_Who)&amp;""))*(ROW(WhoKW)-MIN(ROW(WhoKW))+1)))=0,"",INDEX(WhoVal,SUMPRODUCT(MAX((WhoKW&lt;&gt;"")*ISNUMBER(SEARCH(WhoKW,INDEX(FormData,$H269,f_Who)&amp;""))*(ROW(WhoKW)-MIN(ROW(WhoKW))+1))))),""))</f>
        <v/>
      </c>
      <c r="G269" s="14">
        <f>IF($H269="","",IF(COUNTIF(People!$U$5:$U$604,$B269)+COUNTIF(People!$U$5:$U$604,$B269&amp;"")&gt;0,"✓ logged","→ add"))</f>
        <v/>
      </c>
      <c r="H269">
        <f>IFERROR(IF(INDEX(FormData,266,f_Id)&amp;""="","",266),"")</f>
        <v/>
      </c>
      <c r="I269" s="16">
        <f>IF($H269="","",IFERROR(INDEX(FormData,$H269,f_Need)&amp;"",""))</f>
        <v/>
      </c>
    </row>
    <row r="270">
      <c r="A270" s="14" t="n">
        <v>266</v>
      </c>
      <c r="B270" s="14">
        <f>IF($H270="","",INDEX(FormData,$H270,f_Id))</f>
        <v/>
      </c>
      <c r="C270" s="15">
        <f>IF($H270="","",IFERROR(INDEX(FormData,$H270,f_Time),""))</f>
        <v/>
      </c>
      <c r="D270" s="14">
        <f>IF($H270="","",IFERROR(UPPER(LEFT(TRIM(INDEX(FormData,$H270,f_Name)),1)&amp;IFERROR(MID(TRIM(INDEX(FormData,$H270,f_Name)),FIND("^",SUBSTITUTE(TRIM(INDEX(FormData,$H270,f_Name))," ","^",LEN(TRIM(INDEX(FormData,$H270,f_Name)))-LEN(SUBSTITUTE(TRIM(INDEX(FormData,$H270,f_Name))," ",""))))+1,1),"")),""))</f>
        <v/>
      </c>
      <c r="E270" s="16">
        <f>IF($H270="","",IFERROR(INDEX(EvID,MATCH(INDEX(FormData,$H270,f_Event),EvID,0)),IFERROR(INDEX(EvID,MATCH(INDEX(FormData,$H270,f_Event),EvName,0)),IFERROR(INDEX(EvID,MATCH(INT($C270),EvDate,0)),"(no event that day)"))))</f>
        <v/>
      </c>
      <c r="F270" s="16">
        <f>IF($H270="","",IFERROR(IF(SUMPRODUCT(MAX((WhoKW&lt;&gt;"")*ISNUMBER(SEARCH(WhoKW,INDEX(FormData,$H270,f_Who)&amp;""))*(ROW(WhoKW)-MIN(ROW(WhoKW))+1)))=0,"",INDEX(WhoVal,SUMPRODUCT(MAX((WhoKW&lt;&gt;"")*ISNUMBER(SEARCH(WhoKW,INDEX(FormData,$H270,f_Who)&amp;""))*(ROW(WhoKW)-MIN(ROW(WhoKW))+1))))),""))</f>
        <v/>
      </c>
      <c r="G270" s="14">
        <f>IF($H270="","",IF(COUNTIF(People!$U$5:$U$604,$B270)+COUNTIF(People!$U$5:$U$604,$B270&amp;"")&gt;0,"✓ logged","→ add"))</f>
        <v/>
      </c>
      <c r="H270">
        <f>IFERROR(IF(INDEX(FormData,267,f_Id)&amp;""="","",267),"")</f>
        <v/>
      </c>
      <c r="I270" s="16">
        <f>IF($H270="","",IFERROR(INDEX(FormData,$H270,f_Need)&amp;"",""))</f>
        <v/>
      </c>
    </row>
    <row r="271">
      <c r="A271" s="14" t="n">
        <v>267</v>
      </c>
      <c r="B271" s="14">
        <f>IF($H271="","",INDEX(FormData,$H271,f_Id))</f>
        <v/>
      </c>
      <c r="C271" s="15">
        <f>IF($H271="","",IFERROR(INDEX(FormData,$H271,f_Time),""))</f>
        <v/>
      </c>
      <c r="D271" s="14">
        <f>IF($H271="","",IFERROR(UPPER(LEFT(TRIM(INDEX(FormData,$H271,f_Name)),1)&amp;IFERROR(MID(TRIM(INDEX(FormData,$H271,f_Name)),FIND("^",SUBSTITUTE(TRIM(INDEX(FormData,$H271,f_Name))," ","^",LEN(TRIM(INDEX(FormData,$H271,f_Name)))-LEN(SUBSTITUTE(TRIM(INDEX(FormData,$H271,f_Name))," ",""))))+1,1),"")),""))</f>
        <v/>
      </c>
      <c r="E271" s="16">
        <f>IF($H271="","",IFERROR(INDEX(EvID,MATCH(INDEX(FormData,$H271,f_Event),EvID,0)),IFERROR(INDEX(EvID,MATCH(INDEX(FormData,$H271,f_Event),EvName,0)),IFERROR(INDEX(EvID,MATCH(INT($C271),EvDate,0)),"(no event that day)"))))</f>
        <v/>
      </c>
      <c r="F271" s="16">
        <f>IF($H271="","",IFERROR(IF(SUMPRODUCT(MAX((WhoKW&lt;&gt;"")*ISNUMBER(SEARCH(WhoKW,INDEX(FormData,$H271,f_Who)&amp;""))*(ROW(WhoKW)-MIN(ROW(WhoKW))+1)))=0,"",INDEX(WhoVal,SUMPRODUCT(MAX((WhoKW&lt;&gt;"")*ISNUMBER(SEARCH(WhoKW,INDEX(FormData,$H271,f_Who)&amp;""))*(ROW(WhoKW)-MIN(ROW(WhoKW))+1))))),""))</f>
        <v/>
      </c>
      <c r="G271" s="14">
        <f>IF($H271="","",IF(COUNTIF(People!$U$5:$U$604,$B271)+COUNTIF(People!$U$5:$U$604,$B271&amp;"")&gt;0,"✓ logged","→ add"))</f>
        <v/>
      </c>
      <c r="H271">
        <f>IFERROR(IF(INDEX(FormData,268,f_Id)&amp;""="","",268),"")</f>
        <v/>
      </c>
      <c r="I271" s="16">
        <f>IF($H271="","",IFERROR(INDEX(FormData,$H271,f_Need)&amp;"",""))</f>
        <v/>
      </c>
    </row>
    <row r="272">
      <c r="A272" s="14" t="n">
        <v>268</v>
      </c>
      <c r="B272" s="14">
        <f>IF($H272="","",INDEX(FormData,$H272,f_Id))</f>
        <v/>
      </c>
      <c r="C272" s="15">
        <f>IF($H272="","",IFERROR(INDEX(FormData,$H272,f_Time),""))</f>
        <v/>
      </c>
      <c r="D272" s="14">
        <f>IF($H272="","",IFERROR(UPPER(LEFT(TRIM(INDEX(FormData,$H272,f_Name)),1)&amp;IFERROR(MID(TRIM(INDEX(FormData,$H272,f_Name)),FIND("^",SUBSTITUTE(TRIM(INDEX(FormData,$H272,f_Name))," ","^",LEN(TRIM(INDEX(FormData,$H272,f_Name)))-LEN(SUBSTITUTE(TRIM(INDEX(FormData,$H272,f_Name))," ",""))))+1,1),"")),""))</f>
        <v/>
      </c>
      <c r="E272" s="16">
        <f>IF($H272="","",IFERROR(INDEX(EvID,MATCH(INDEX(FormData,$H272,f_Event),EvID,0)),IFERROR(INDEX(EvID,MATCH(INDEX(FormData,$H272,f_Event),EvName,0)),IFERROR(INDEX(EvID,MATCH(INT($C272),EvDate,0)),"(no event that day)"))))</f>
        <v/>
      </c>
      <c r="F272" s="16">
        <f>IF($H272="","",IFERROR(IF(SUMPRODUCT(MAX((WhoKW&lt;&gt;"")*ISNUMBER(SEARCH(WhoKW,INDEX(FormData,$H272,f_Who)&amp;""))*(ROW(WhoKW)-MIN(ROW(WhoKW))+1)))=0,"",INDEX(WhoVal,SUMPRODUCT(MAX((WhoKW&lt;&gt;"")*ISNUMBER(SEARCH(WhoKW,INDEX(FormData,$H272,f_Who)&amp;""))*(ROW(WhoKW)-MIN(ROW(WhoKW))+1))))),""))</f>
        <v/>
      </c>
      <c r="G272" s="14">
        <f>IF($H272="","",IF(COUNTIF(People!$U$5:$U$604,$B272)+COUNTIF(People!$U$5:$U$604,$B272&amp;"")&gt;0,"✓ logged","→ add"))</f>
        <v/>
      </c>
      <c r="H272">
        <f>IFERROR(IF(INDEX(FormData,269,f_Id)&amp;""="","",269),"")</f>
        <v/>
      </c>
      <c r="I272" s="16">
        <f>IF($H272="","",IFERROR(INDEX(FormData,$H272,f_Need)&amp;"",""))</f>
        <v/>
      </c>
    </row>
    <row r="273">
      <c r="A273" s="14" t="n">
        <v>269</v>
      </c>
      <c r="B273" s="14">
        <f>IF($H273="","",INDEX(FormData,$H273,f_Id))</f>
        <v/>
      </c>
      <c r="C273" s="15">
        <f>IF($H273="","",IFERROR(INDEX(FormData,$H273,f_Time),""))</f>
        <v/>
      </c>
      <c r="D273" s="14">
        <f>IF($H273="","",IFERROR(UPPER(LEFT(TRIM(INDEX(FormData,$H273,f_Name)),1)&amp;IFERROR(MID(TRIM(INDEX(FormData,$H273,f_Name)),FIND("^",SUBSTITUTE(TRIM(INDEX(FormData,$H273,f_Name))," ","^",LEN(TRIM(INDEX(FormData,$H273,f_Name)))-LEN(SUBSTITUTE(TRIM(INDEX(FormData,$H273,f_Name))," ",""))))+1,1),"")),""))</f>
        <v/>
      </c>
      <c r="E273" s="16">
        <f>IF($H273="","",IFERROR(INDEX(EvID,MATCH(INDEX(FormData,$H273,f_Event),EvID,0)),IFERROR(INDEX(EvID,MATCH(INDEX(FormData,$H273,f_Event),EvName,0)),IFERROR(INDEX(EvID,MATCH(INT($C273),EvDate,0)),"(no event that day)"))))</f>
        <v/>
      </c>
      <c r="F273" s="16">
        <f>IF($H273="","",IFERROR(IF(SUMPRODUCT(MAX((WhoKW&lt;&gt;"")*ISNUMBER(SEARCH(WhoKW,INDEX(FormData,$H273,f_Who)&amp;""))*(ROW(WhoKW)-MIN(ROW(WhoKW))+1)))=0,"",INDEX(WhoVal,SUMPRODUCT(MAX((WhoKW&lt;&gt;"")*ISNUMBER(SEARCH(WhoKW,INDEX(FormData,$H273,f_Who)&amp;""))*(ROW(WhoKW)-MIN(ROW(WhoKW))+1))))),""))</f>
        <v/>
      </c>
      <c r="G273" s="14">
        <f>IF($H273="","",IF(COUNTIF(People!$U$5:$U$604,$B273)+COUNTIF(People!$U$5:$U$604,$B273&amp;"")&gt;0,"✓ logged","→ add"))</f>
        <v/>
      </c>
      <c r="H273">
        <f>IFERROR(IF(INDEX(FormData,270,f_Id)&amp;""="","",270),"")</f>
        <v/>
      </c>
      <c r="I273" s="16">
        <f>IF($H273="","",IFERROR(INDEX(FormData,$H273,f_Need)&amp;"",""))</f>
        <v/>
      </c>
    </row>
    <row r="274">
      <c r="A274" s="14" t="n">
        <v>270</v>
      </c>
      <c r="B274" s="14">
        <f>IF($H274="","",INDEX(FormData,$H274,f_Id))</f>
        <v/>
      </c>
      <c r="C274" s="15">
        <f>IF($H274="","",IFERROR(INDEX(FormData,$H274,f_Time),""))</f>
        <v/>
      </c>
      <c r="D274" s="14">
        <f>IF($H274="","",IFERROR(UPPER(LEFT(TRIM(INDEX(FormData,$H274,f_Name)),1)&amp;IFERROR(MID(TRIM(INDEX(FormData,$H274,f_Name)),FIND("^",SUBSTITUTE(TRIM(INDEX(FormData,$H274,f_Name))," ","^",LEN(TRIM(INDEX(FormData,$H274,f_Name)))-LEN(SUBSTITUTE(TRIM(INDEX(FormData,$H274,f_Name))," ",""))))+1,1),"")),""))</f>
        <v/>
      </c>
      <c r="E274" s="16">
        <f>IF($H274="","",IFERROR(INDEX(EvID,MATCH(INDEX(FormData,$H274,f_Event),EvID,0)),IFERROR(INDEX(EvID,MATCH(INDEX(FormData,$H274,f_Event),EvName,0)),IFERROR(INDEX(EvID,MATCH(INT($C274),EvDate,0)),"(no event that day)"))))</f>
        <v/>
      </c>
      <c r="F274" s="16">
        <f>IF($H274="","",IFERROR(IF(SUMPRODUCT(MAX((WhoKW&lt;&gt;"")*ISNUMBER(SEARCH(WhoKW,INDEX(FormData,$H274,f_Who)&amp;""))*(ROW(WhoKW)-MIN(ROW(WhoKW))+1)))=0,"",INDEX(WhoVal,SUMPRODUCT(MAX((WhoKW&lt;&gt;"")*ISNUMBER(SEARCH(WhoKW,INDEX(FormData,$H274,f_Who)&amp;""))*(ROW(WhoKW)-MIN(ROW(WhoKW))+1))))),""))</f>
        <v/>
      </c>
      <c r="G274" s="14">
        <f>IF($H274="","",IF(COUNTIF(People!$U$5:$U$604,$B274)+COUNTIF(People!$U$5:$U$604,$B274&amp;"")&gt;0,"✓ logged","→ add"))</f>
        <v/>
      </c>
      <c r="H274">
        <f>IFERROR(IF(INDEX(FormData,271,f_Id)&amp;""="","",271),"")</f>
        <v/>
      </c>
      <c r="I274" s="16">
        <f>IF($H274="","",IFERROR(INDEX(FormData,$H274,f_Need)&amp;"",""))</f>
        <v/>
      </c>
    </row>
    <row r="275">
      <c r="A275" s="14" t="n">
        <v>271</v>
      </c>
      <c r="B275" s="14">
        <f>IF($H275="","",INDEX(FormData,$H275,f_Id))</f>
        <v/>
      </c>
      <c r="C275" s="15">
        <f>IF($H275="","",IFERROR(INDEX(FormData,$H275,f_Time),""))</f>
        <v/>
      </c>
      <c r="D275" s="14">
        <f>IF($H275="","",IFERROR(UPPER(LEFT(TRIM(INDEX(FormData,$H275,f_Name)),1)&amp;IFERROR(MID(TRIM(INDEX(FormData,$H275,f_Name)),FIND("^",SUBSTITUTE(TRIM(INDEX(FormData,$H275,f_Name))," ","^",LEN(TRIM(INDEX(FormData,$H275,f_Name)))-LEN(SUBSTITUTE(TRIM(INDEX(FormData,$H275,f_Name))," ",""))))+1,1),"")),""))</f>
        <v/>
      </c>
      <c r="E275" s="16">
        <f>IF($H275="","",IFERROR(INDEX(EvID,MATCH(INDEX(FormData,$H275,f_Event),EvID,0)),IFERROR(INDEX(EvID,MATCH(INDEX(FormData,$H275,f_Event),EvName,0)),IFERROR(INDEX(EvID,MATCH(INT($C275),EvDate,0)),"(no event that day)"))))</f>
        <v/>
      </c>
      <c r="F275" s="16">
        <f>IF($H275="","",IFERROR(IF(SUMPRODUCT(MAX((WhoKW&lt;&gt;"")*ISNUMBER(SEARCH(WhoKW,INDEX(FormData,$H275,f_Who)&amp;""))*(ROW(WhoKW)-MIN(ROW(WhoKW))+1)))=0,"",INDEX(WhoVal,SUMPRODUCT(MAX((WhoKW&lt;&gt;"")*ISNUMBER(SEARCH(WhoKW,INDEX(FormData,$H275,f_Who)&amp;""))*(ROW(WhoKW)-MIN(ROW(WhoKW))+1))))),""))</f>
        <v/>
      </c>
      <c r="G275" s="14">
        <f>IF($H275="","",IF(COUNTIF(People!$U$5:$U$604,$B275)+COUNTIF(People!$U$5:$U$604,$B275&amp;"")&gt;0,"✓ logged","→ add"))</f>
        <v/>
      </c>
      <c r="H275">
        <f>IFERROR(IF(INDEX(FormData,272,f_Id)&amp;""="","",272),"")</f>
        <v/>
      </c>
      <c r="I275" s="16">
        <f>IF($H275="","",IFERROR(INDEX(FormData,$H275,f_Need)&amp;"",""))</f>
        <v/>
      </c>
    </row>
    <row r="276">
      <c r="A276" s="14" t="n">
        <v>272</v>
      </c>
      <c r="B276" s="14">
        <f>IF($H276="","",INDEX(FormData,$H276,f_Id))</f>
        <v/>
      </c>
      <c r="C276" s="15">
        <f>IF($H276="","",IFERROR(INDEX(FormData,$H276,f_Time),""))</f>
        <v/>
      </c>
      <c r="D276" s="14">
        <f>IF($H276="","",IFERROR(UPPER(LEFT(TRIM(INDEX(FormData,$H276,f_Name)),1)&amp;IFERROR(MID(TRIM(INDEX(FormData,$H276,f_Name)),FIND("^",SUBSTITUTE(TRIM(INDEX(FormData,$H276,f_Name))," ","^",LEN(TRIM(INDEX(FormData,$H276,f_Name)))-LEN(SUBSTITUTE(TRIM(INDEX(FormData,$H276,f_Name))," ",""))))+1,1),"")),""))</f>
        <v/>
      </c>
      <c r="E276" s="16">
        <f>IF($H276="","",IFERROR(INDEX(EvID,MATCH(INDEX(FormData,$H276,f_Event),EvID,0)),IFERROR(INDEX(EvID,MATCH(INDEX(FormData,$H276,f_Event),EvName,0)),IFERROR(INDEX(EvID,MATCH(INT($C276),EvDate,0)),"(no event that day)"))))</f>
        <v/>
      </c>
      <c r="F276" s="16">
        <f>IF($H276="","",IFERROR(IF(SUMPRODUCT(MAX((WhoKW&lt;&gt;"")*ISNUMBER(SEARCH(WhoKW,INDEX(FormData,$H276,f_Who)&amp;""))*(ROW(WhoKW)-MIN(ROW(WhoKW))+1)))=0,"",INDEX(WhoVal,SUMPRODUCT(MAX((WhoKW&lt;&gt;"")*ISNUMBER(SEARCH(WhoKW,INDEX(FormData,$H276,f_Who)&amp;""))*(ROW(WhoKW)-MIN(ROW(WhoKW))+1))))),""))</f>
        <v/>
      </c>
      <c r="G276" s="14">
        <f>IF($H276="","",IF(COUNTIF(People!$U$5:$U$604,$B276)+COUNTIF(People!$U$5:$U$604,$B276&amp;"")&gt;0,"✓ logged","→ add"))</f>
        <v/>
      </c>
      <c r="H276">
        <f>IFERROR(IF(INDEX(FormData,273,f_Id)&amp;""="","",273),"")</f>
        <v/>
      </c>
      <c r="I276" s="16">
        <f>IF($H276="","",IFERROR(INDEX(FormData,$H276,f_Need)&amp;"",""))</f>
        <v/>
      </c>
    </row>
    <row r="277">
      <c r="A277" s="14" t="n">
        <v>273</v>
      </c>
      <c r="B277" s="14">
        <f>IF($H277="","",INDEX(FormData,$H277,f_Id))</f>
        <v/>
      </c>
      <c r="C277" s="15">
        <f>IF($H277="","",IFERROR(INDEX(FormData,$H277,f_Time),""))</f>
        <v/>
      </c>
      <c r="D277" s="14">
        <f>IF($H277="","",IFERROR(UPPER(LEFT(TRIM(INDEX(FormData,$H277,f_Name)),1)&amp;IFERROR(MID(TRIM(INDEX(FormData,$H277,f_Name)),FIND("^",SUBSTITUTE(TRIM(INDEX(FormData,$H277,f_Name))," ","^",LEN(TRIM(INDEX(FormData,$H277,f_Name)))-LEN(SUBSTITUTE(TRIM(INDEX(FormData,$H277,f_Name))," ",""))))+1,1),"")),""))</f>
        <v/>
      </c>
      <c r="E277" s="16">
        <f>IF($H277="","",IFERROR(INDEX(EvID,MATCH(INDEX(FormData,$H277,f_Event),EvID,0)),IFERROR(INDEX(EvID,MATCH(INDEX(FormData,$H277,f_Event),EvName,0)),IFERROR(INDEX(EvID,MATCH(INT($C277),EvDate,0)),"(no event that day)"))))</f>
        <v/>
      </c>
      <c r="F277" s="16">
        <f>IF($H277="","",IFERROR(IF(SUMPRODUCT(MAX((WhoKW&lt;&gt;"")*ISNUMBER(SEARCH(WhoKW,INDEX(FormData,$H277,f_Who)&amp;""))*(ROW(WhoKW)-MIN(ROW(WhoKW))+1)))=0,"",INDEX(WhoVal,SUMPRODUCT(MAX((WhoKW&lt;&gt;"")*ISNUMBER(SEARCH(WhoKW,INDEX(FormData,$H277,f_Who)&amp;""))*(ROW(WhoKW)-MIN(ROW(WhoKW))+1))))),""))</f>
        <v/>
      </c>
      <c r="G277" s="14">
        <f>IF($H277="","",IF(COUNTIF(People!$U$5:$U$604,$B277)+COUNTIF(People!$U$5:$U$604,$B277&amp;"")&gt;0,"✓ logged","→ add"))</f>
        <v/>
      </c>
      <c r="H277">
        <f>IFERROR(IF(INDEX(FormData,274,f_Id)&amp;""="","",274),"")</f>
        <v/>
      </c>
      <c r="I277" s="16">
        <f>IF($H277="","",IFERROR(INDEX(FormData,$H277,f_Need)&amp;"",""))</f>
        <v/>
      </c>
    </row>
    <row r="278">
      <c r="A278" s="14" t="n">
        <v>274</v>
      </c>
      <c r="B278" s="14">
        <f>IF($H278="","",INDEX(FormData,$H278,f_Id))</f>
        <v/>
      </c>
      <c r="C278" s="15">
        <f>IF($H278="","",IFERROR(INDEX(FormData,$H278,f_Time),""))</f>
        <v/>
      </c>
      <c r="D278" s="14">
        <f>IF($H278="","",IFERROR(UPPER(LEFT(TRIM(INDEX(FormData,$H278,f_Name)),1)&amp;IFERROR(MID(TRIM(INDEX(FormData,$H278,f_Name)),FIND("^",SUBSTITUTE(TRIM(INDEX(FormData,$H278,f_Name))," ","^",LEN(TRIM(INDEX(FormData,$H278,f_Name)))-LEN(SUBSTITUTE(TRIM(INDEX(FormData,$H278,f_Name))," ",""))))+1,1),"")),""))</f>
        <v/>
      </c>
      <c r="E278" s="16">
        <f>IF($H278="","",IFERROR(INDEX(EvID,MATCH(INDEX(FormData,$H278,f_Event),EvID,0)),IFERROR(INDEX(EvID,MATCH(INDEX(FormData,$H278,f_Event),EvName,0)),IFERROR(INDEX(EvID,MATCH(INT($C278),EvDate,0)),"(no event that day)"))))</f>
        <v/>
      </c>
      <c r="F278" s="16">
        <f>IF($H278="","",IFERROR(IF(SUMPRODUCT(MAX((WhoKW&lt;&gt;"")*ISNUMBER(SEARCH(WhoKW,INDEX(FormData,$H278,f_Who)&amp;""))*(ROW(WhoKW)-MIN(ROW(WhoKW))+1)))=0,"",INDEX(WhoVal,SUMPRODUCT(MAX((WhoKW&lt;&gt;"")*ISNUMBER(SEARCH(WhoKW,INDEX(FormData,$H278,f_Who)&amp;""))*(ROW(WhoKW)-MIN(ROW(WhoKW))+1))))),""))</f>
        <v/>
      </c>
      <c r="G278" s="14">
        <f>IF($H278="","",IF(COUNTIF(People!$U$5:$U$604,$B278)+COUNTIF(People!$U$5:$U$604,$B278&amp;"")&gt;0,"✓ logged","→ add"))</f>
        <v/>
      </c>
      <c r="H278">
        <f>IFERROR(IF(INDEX(FormData,275,f_Id)&amp;""="","",275),"")</f>
        <v/>
      </c>
      <c r="I278" s="16">
        <f>IF($H278="","",IFERROR(INDEX(FormData,$H278,f_Need)&amp;"",""))</f>
        <v/>
      </c>
    </row>
    <row r="279">
      <c r="A279" s="14" t="n">
        <v>275</v>
      </c>
      <c r="B279" s="14">
        <f>IF($H279="","",INDEX(FormData,$H279,f_Id))</f>
        <v/>
      </c>
      <c r="C279" s="15">
        <f>IF($H279="","",IFERROR(INDEX(FormData,$H279,f_Time),""))</f>
        <v/>
      </c>
      <c r="D279" s="14">
        <f>IF($H279="","",IFERROR(UPPER(LEFT(TRIM(INDEX(FormData,$H279,f_Name)),1)&amp;IFERROR(MID(TRIM(INDEX(FormData,$H279,f_Name)),FIND("^",SUBSTITUTE(TRIM(INDEX(FormData,$H279,f_Name))," ","^",LEN(TRIM(INDEX(FormData,$H279,f_Name)))-LEN(SUBSTITUTE(TRIM(INDEX(FormData,$H279,f_Name))," ",""))))+1,1),"")),""))</f>
        <v/>
      </c>
      <c r="E279" s="16">
        <f>IF($H279="","",IFERROR(INDEX(EvID,MATCH(INDEX(FormData,$H279,f_Event),EvID,0)),IFERROR(INDEX(EvID,MATCH(INDEX(FormData,$H279,f_Event),EvName,0)),IFERROR(INDEX(EvID,MATCH(INT($C279),EvDate,0)),"(no event that day)"))))</f>
        <v/>
      </c>
      <c r="F279" s="16">
        <f>IF($H279="","",IFERROR(IF(SUMPRODUCT(MAX((WhoKW&lt;&gt;"")*ISNUMBER(SEARCH(WhoKW,INDEX(FormData,$H279,f_Who)&amp;""))*(ROW(WhoKW)-MIN(ROW(WhoKW))+1)))=0,"",INDEX(WhoVal,SUMPRODUCT(MAX((WhoKW&lt;&gt;"")*ISNUMBER(SEARCH(WhoKW,INDEX(FormData,$H279,f_Who)&amp;""))*(ROW(WhoKW)-MIN(ROW(WhoKW))+1))))),""))</f>
        <v/>
      </c>
      <c r="G279" s="14">
        <f>IF($H279="","",IF(COUNTIF(People!$U$5:$U$604,$B279)+COUNTIF(People!$U$5:$U$604,$B279&amp;"")&gt;0,"✓ logged","→ add"))</f>
        <v/>
      </c>
      <c r="H279">
        <f>IFERROR(IF(INDEX(FormData,276,f_Id)&amp;""="","",276),"")</f>
        <v/>
      </c>
      <c r="I279" s="16">
        <f>IF($H279="","",IFERROR(INDEX(FormData,$H279,f_Need)&amp;"",""))</f>
        <v/>
      </c>
    </row>
    <row r="280">
      <c r="A280" s="14" t="n">
        <v>276</v>
      </c>
      <c r="B280" s="14">
        <f>IF($H280="","",INDEX(FormData,$H280,f_Id))</f>
        <v/>
      </c>
      <c r="C280" s="15">
        <f>IF($H280="","",IFERROR(INDEX(FormData,$H280,f_Time),""))</f>
        <v/>
      </c>
      <c r="D280" s="14">
        <f>IF($H280="","",IFERROR(UPPER(LEFT(TRIM(INDEX(FormData,$H280,f_Name)),1)&amp;IFERROR(MID(TRIM(INDEX(FormData,$H280,f_Name)),FIND("^",SUBSTITUTE(TRIM(INDEX(FormData,$H280,f_Name))," ","^",LEN(TRIM(INDEX(FormData,$H280,f_Name)))-LEN(SUBSTITUTE(TRIM(INDEX(FormData,$H280,f_Name))," ",""))))+1,1),"")),""))</f>
        <v/>
      </c>
      <c r="E280" s="16">
        <f>IF($H280="","",IFERROR(INDEX(EvID,MATCH(INDEX(FormData,$H280,f_Event),EvID,0)),IFERROR(INDEX(EvID,MATCH(INDEX(FormData,$H280,f_Event),EvName,0)),IFERROR(INDEX(EvID,MATCH(INT($C280),EvDate,0)),"(no event that day)"))))</f>
        <v/>
      </c>
      <c r="F280" s="16">
        <f>IF($H280="","",IFERROR(IF(SUMPRODUCT(MAX((WhoKW&lt;&gt;"")*ISNUMBER(SEARCH(WhoKW,INDEX(FormData,$H280,f_Who)&amp;""))*(ROW(WhoKW)-MIN(ROW(WhoKW))+1)))=0,"",INDEX(WhoVal,SUMPRODUCT(MAX((WhoKW&lt;&gt;"")*ISNUMBER(SEARCH(WhoKW,INDEX(FormData,$H280,f_Who)&amp;""))*(ROW(WhoKW)-MIN(ROW(WhoKW))+1))))),""))</f>
        <v/>
      </c>
      <c r="G280" s="14">
        <f>IF($H280="","",IF(COUNTIF(People!$U$5:$U$604,$B280)+COUNTIF(People!$U$5:$U$604,$B280&amp;"")&gt;0,"✓ logged","→ add"))</f>
        <v/>
      </c>
      <c r="H280">
        <f>IFERROR(IF(INDEX(FormData,277,f_Id)&amp;""="","",277),"")</f>
        <v/>
      </c>
      <c r="I280" s="16">
        <f>IF($H280="","",IFERROR(INDEX(FormData,$H280,f_Need)&amp;"",""))</f>
        <v/>
      </c>
    </row>
    <row r="281">
      <c r="A281" s="14" t="n">
        <v>277</v>
      </c>
      <c r="B281" s="14">
        <f>IF($H281="","",INDEX(FormData,$H281,f_Id))</f>
        <v/>
      </c>
      <c r="C281" s="15">
        <f>IF($H281="","",IFERROR(INDEX(FormData,$H281,f_Time),""))</f>
        <v/>
      </c>
      <c r="D281" s="14">
        <f>IF($H281="","",IFERROR(UPPER(LEFT(TRIM(INDEX(FormData,$H281,f_Name)),1)&amp;IFERROR(MID(TRIM(INDEX(FormData,$H281,f_Name)),FIND("^",SUBSTITUTE(TRIM(INDEX(FormData,$H281,f_Name))," ","^",LEN(TRIM(INDEX(FormData,$H281,f_Name)))-LEN(SUBSTITUTE(TRIM(INDEX(FormData,$H281,f_Name))," ",""))))+1,1),"")),""))</f>
        <v/>
      </c>
      <c r="E281" s="16">
        <f>IF($H281="","",IFERROR(INDEX(EvID,MATCH(INDEX(FormData,$H281,f_Event),EvID,0)),IFERROR(INDEX(EvID,MATCH(INDEX(FormData,$H281,f_Event),EvName,0)),IFERROR(INDEX(EvID,MATCH(INT($C281),EvDate,0)),"(no event that day)"))))</f>
        <v/>
      </c>
      <c r="F281" s="16">
        <f>IF($H281="","",IFERROR(IF(SUMPRODUCT(MAX((WhoKW&lt;&gt;"")*ISNUMBER(SEARCH(WhoKW,INDEX(FormData,$H281,f_Who)&amp;""))*(ROW(WhoKW)-MIN(ROW(WhoKW))+1)))=0,"",INDEX(WhoVal,SUMPRODUCT(MAX((WhoKW&lt;&gt;"")*ISNUMBER(SEARCH(WhoKW,INDEX(FormData,$H281,f_Who)&amp;""))*(ROW(WhoKW)-MIN(ROW(WhoKW))+1))))),""))</f>
        <v/>
      </c>
      <c r="G281" s="14">
        <f>IF($H281="","",IF(COUNTIF(People!$U$5:$U$604,$B281)+COUNTIF(People!$U$5:$U$604,$B281&amp;"")&gt;0,"✓ logged","→ add"))</f>
        <v/>
      </c>
      <c r="H281">
        <f>IFERROR(IF(INDEX(FormData,278,f_Id)&amp;""="","",278),"")</f>
        <v/>
      </c>
      <c r="I281" s="16">
        <f>IF($H281="","",IFERROR(INDEX(FormData,$H281,f_Need)&amp;"",""))</f>
        <v/>
      </c>
    </row>
    <row r="282">
      <c r="A282" s="14" t="n">
        <v>278</v>
      </c>
      <c r="B282" s="14">
        <f>IF($H282="","",INDEX(FormData,$H282,f_Id))</f>
        <v/>
      </c>
      <c r="C282" s="15">
        <f>IF($H282="","",IFERROR(INDEX(FormData,$H282,f_Time),""))</f>
        <v/>
      </c>
      <c r="D282" s="14">
        <f>IF($H282="","",IFERROR(UPPER(LEFT(TRIM(INDEX(FormData,$H282,f_Name)),1)&amp;IFERROR(MID(TRIM(INDEX(FormData,$H282,f_Name)),FIND("^",SUBSTITUTE(TRIM(INDEX(FormData,$H282,f_Name))," ","^",LEN(TRIM(INDEX(FormData,$H282,f_Name)))-LEN(SUBSTITUTE(TRIM(INDEX(FormData,$H282,f_Name))," ",""))))+1,1),"")),""))</f>
        <v/>
      </c>
      <c r="E282" s="16">
        <f>IF($H282="","",IFERROR(INDEX(EvID,MATCH(INDEX(FormData,$H282,f_Event),EvID,0)),IFERROR(INDEX(EvID,MATCH(INDEX(FormData,$H282,f_Event),EvName,0)),IFERROR(INDEX(EvID,MATCH(INT($C282),EvDate,0)),"(no event that day)"))))</f>
        <v/>
      </c>
      <c r="F282" s="16">
        <f>IF($H282="","",IFERROR(IF(SUMPRODUCT(MAX((WhoKW&lt;&gt;"")*ISNUMBER(SEARCH(WhoKW,INDEX(FormData,$H282,f_Who)&amp;""))*(ROW(WhoKW)-MIN(ROW(WhoKW))+1)))=0,"",INDEX(WhoVal,SUMPRODUCT(MAX((WhoKW&lt;&gt;"")*ISNUMBER(SEARCH(WhoKW,INDEX(FormData,$H282,f_Who)&amp;""))*(ROW(WhoKW)-MIN(ROW(WhoKW))+1))))),""))</f>
        <v/>
      </c>
      <c r="G282" s="14">
        <f>IF($H282="","",IF(COUNTIF(People!$U$5:$U$604,$B282)+COUNTIF(People!$U$5:$U$604,$B282&amp;"")&gt;0,"✓ logged","→ add"))</f>
        <v/>
      </c>
      <c r="H282">
        <f>IFERROR(IF(INDEX(FormData,279,f_Id)&amp;""="","",279),"")</f>
        <v/>
      </c>
      <c r="I282" s="16">
        <f>IF($H282="","",IFERROR(INDEX(FormData,$H282,f_Need)&amp;"",""))</f>
        <v/>
      </c>
    </row>
    <row r="283">
      <c r="A283" s="14" t="n">
        <v>279</v>
      </c>
      <c r="B283" s="14">
        <f>IF($H283="","",INDEX(FormData,$H283,f_Id))</f>
        <v/>
      </c>
      <c r="C283" s="15">
        <f>IF($H283="","",IFERROR(INDEX(FormData,$H283,f_Time),""))</f>
        <v/>
      </c>
      <c r="D283" s="14">
        <f>IF($H283="","",IFERROR(UPPER(LEFT(TRIM(INDEX(FormData,$H283,f_Name)),1)&amp;IFERROR(MID(TRIM(INDEX(FormData,$H283,f_Name)),FIND("^",SUBSTITUTE(TRIM(INDEX(FormData,$H283,f_Name))," ","^",LEN(TRIM(INDEX(FormData,$H283,f_Name)))-LEN(SUBSTITUTE(TRIM(INDEX(FormData,$H283,f_Name))," ",""))))+1,1),"")),""))</f>
        <v/>
      </c>
      <c r="E283" s="16">
        <f>IF($H283="","",IFERROR(INDEX(EvID,MATCH(INDEX(FormData,$H283,f_Event),EvID,0)),IFERROR(INDEX(EvID,MATCH(INDEX(FormData,$H283,f_Event),EvName,0)),IFERROR(INDEX(EvID,MATCH(INT($C283),EvDate,0)),"(no event that day)"))))</f>
        <v/>
      </c>
      <c r="F283" s="16">
        <f>IF($H283="","",IFERROR(IF(SUMPRODUCT(MAX((WhoKW&lt;&gt;"")*ISNUMBER(SEARCH(WhoKW,INDEX(FormData,$H283,f_Who)&amp;""))*(ROW(WhoKW)-MIN(ROW(WhoKW))+1)))=0,"",INDEX(WhoVal,SUMPRODUCT(MAX((WhoKW&lt;&gt;"")*ISNUMBER(SEARCH(WhoKW,INDEX(FormData,$H283,f_Who)&amp;""))*(ROW(WhoKW)-MIN(ROW(WhoKW))+1))))),""))</f>
        <v/>
      </c>
      <c r="G283" s="14">
        <f>IF($H283="","",IF(COUNTIF(People!$U$5:$U$604,$B283)+COUNTIF(People!$U$5:$U$604,$B283&amp;"")&gt;0,"✓ logged","→ add"))</f>
        <v/>
      </c>
      <c r="H283">
        <f>IFERROR(IF(INDEX(FormData,280,f_Id)&amp;""="","",280),"")</f>
        <v/>
      </c>
      <c r="I283" s="16">
        <f>IF($H283="","",IFERROR(INDEX(FormData,$H283,f_Need)&amp;"",""))</f>
        <v/>
      </c>
    </row>
    <row r="284">
      <c r="A284" s="14" t="n">
        <v>280</v>
      </c>
      <c r="B284" s="14">
        <f>IF($H284="","",INDEX(FormData,$H284,f_Id))</f>
        <v/>
      </c>
      <c r="C284" s="15">
        <f>IF($H284="","",IFERROR(INDEX(FormData,$H284,f_Time),""))</f>
        <v/>
      </c>
      <c r="D284" s="14">
        <f>IF($H284="","",IFERROR(UPPER(LEFT(TRIM(INDEX(FormData,$H284,f_Name)),1)&amp;IFERROR(MID(TRIM(INDEX(FormData,$H284,f_Name)),FIND("^",SUBSTITUTE(TRIM(INDEX(FormData,$H284,f_Name))," ","^",LEN(TRIM(INDEX(FormData,$H284,f_Name)))-LEN(SUBSTITUTE(TRIM(INDEX(FormData,$H284,f_Name))," ",""))))+1,1),"")),""))</f>
        <v/>
      </c>
      <c r="E284" s="16">
        <f>IF($H284="","",IFERROR(INDEX(EvID,MATCH(INDEX(FormData,$H284,f_Event),EvID,0)),IFERROR(INDEX(EvID,MATCH(INDEX(FormData,$H284,f_Event),EvName,0)),IFERROR(INDEX(EvID,MATCH(INT($C284),EvDate,0)),"(no event that day)"))))</f>
        <v/>
      </c>
      <c r="F284" s="16">
        <f>IF($H284="","",IFERROR(IF(SUMPRODUCT(MAX((WhoKW&lt;&gt;"")*ISNUMBER(SEARCH(WhoKW,INDEX(FormData,$H284,f_Who)&amp;""))*(ROW(WhoKW)-MIN(ROW(WhoKW))+1)))=0,"",INDEX(WhoVal,SUMPRODUCT(MAX((WhoKW&lt;&gt;"")*ISNUMBER(SEARCH(WhoKW,INDEX(FormData,$H284,f_Who)&amp;""))*(ROW(WhoKW)-MIN(ROW(WhoKW))+1))))),""))</f>
        <v/>
      </c>
      <c r="G284" s="14">
        <f>IF($H284="","",IF(COUNTIF(People!$U$5:$U$604,$B284)+COUNTIF(People!$U$5:$U$604,$B284&amp;"")&gt;0,"✓ logged","→ add"))</f>
        <v/>
      </c>
      <c r="H284">
        <f>IFERROR(IF(INDEX(FormData,281,f_Id)&amp;""="","",281),"")</f>
        <v/>
      </c>
      <c r="I284" s="16">
        <f>IF($H284="","",IFERROR(INDEX(FormData,$H284,f_Need)&amp;"",""))</f>
        <v/>
      </c>
    </row>
    <row r="285">
      <c r="A285" s="14" t="n">
        <v>281</v>
      </c>
      <c r="B285" s="14">
        <f>IF($H285="","",INDEX(FormData,$H285,f_Id))</f>
        <v/>
      </c>
      <c r="C285" s="15">
        <f>IF($H285="","",IFERROR(INDEX(FormData,$H285,f_Time),""))</f>
        <v/>
      </c>
      <c r="D285" s="14">
        <f>IF($H285="","",IFERROR(UPPER(LEFT(TRIM(INDEX(FormData,$H285,f_Name)),1)&amp;IFERROR(MID(TRIM(INDEX(FormData,$H285,f_Name)),FIND("^",SUBSTITUTE(TRIM(INDEX(FormData,$H285,f_Name))," ","^",LEN(TRIM(INDEX(FormData,$H285,f_Name)))-LEN(SUBSTITUTE(TRIM(INDEX(FormData,$H285,f_Name))," ",""))))+1,1),"")),""))</f>
        <v/>
      </c>
      <c r="E285" s="16">
        <f>IF($H285="","",IFERROR(INDEX(EvID,MATCH(INDEX(FormData,$H285,f_Event),EvID,0)),IFERROR(INDEX(EvID,MATCH(INDEX(FormData,$H285,f_Event),EvName,0)),IFERROR(INDEX(EvID,MATCH(INT($C285),EvDate,0)),"(no event that day)"))))</f>
        <v/>
      </c>
      <c r="F285" s="16">
        <f>IF($H285="","",IFERROR(IF(SUMPRODUCT(MAX((WhoKW&lt;&gt;"")*ISNUMBER(SEARCH(WhoKW,INDEX(FormData,$H285,f_Who)&amp;""))*(ROW(WhoKW)-MIN(ROW(WhoKW))+1)))=0,"",INDEX(WhoVal,SUMPRODUCT(MAX((WhoKW&lt;&gt;"")*ISNUMBER(SEARCH(WhoKW,INDEX(FormData,$H285,f_Who)&amp;""))*(ROW(WhoKW)-MIN(ROW(WhoKW))+1))))),""))</f>
        <v/>
      </c>
      <c r="G285" s="14">
        <f>IF($H285="","",IF(COUNTIF(People!$U$5:$U$604,$B285)+COUNTIF(People!$U$5:$U$604,$B285&amp;"")&gt;0,"✓ logged","→ add"))</f>
        <v/>
      </c>
      <c r="H285">
        <f>IFERROR(IF(INDEX(FormData,282,f_Id)&amp;""="","",282),"")</f>
        <v/>
      </c>
      <c r="I285" s="16">
        <f>IF($H285="","",IFERROR(INDEX(FormData,$H285,f_Need)&amp;"",""))</f>
        <v/>
      </c>
    </row>
    <row r="286">
      <c r="A286" s="14" t="n">
        <v>282</v>
      </c>
      <c r="B286" s="14">
        <f>IF($H286="","",INDEX(FormData,$H286,f_Id))</f>
        <v/>
      </c>
      <c r="C286" s="15">
        <f>IF($H286="","",IFERROR(INDEX(FormData,$H286,f_Time),""))</f>
        <v/>
      </c>
      <c r="D286" s="14">
        <f>IF($H286="","",IFERROR(UPPER(LEFT(TRIM(INDEX(FormData,$H286,f_Name)),1)&amp;IFERROR(MID(TRIM(INDEX(FormData,$H286,f_Name)),FIND("^",SUBSTITUTE(TRIM(INDEX(FormData,$H286,f_Name))," ","^",LEN(TRIM(INDEX(FormData,$H286,f_Name)))-LEN(SUBSTITUTE(TRIM(INDEX(FormData,$H286,f_Name))," ",""))))+1,1),"")),""))</f>
        <v/>
      </c>
      <c r="E286" s="16">
        <f>IF($H286="","",IFERROR(INDEX(EvID,MATCH(INDEX(FormData,$H286,f_Event),EvID,0)),IFERROR(INDEX(EvID,MATCH(INDEX(FormData,$H286,f_Event),EvName,0)),IFERROR(INDEX(EvID,MATCH(INT($C286),EvDate,0)),"(no event that day)"))))</f>
        <v/>
      </c>
      <c r="F286" s="16">
        <f>IF($H286="","",IFERROR(IF(SUMPRODUCT(MAX((WhoKW&lt;&gt;"")*ISNUMBER(SEARCH(WhoKW,INDEX(FormData,$H286,f_Who)&amp;""))*(ROW(WhoKW)-MIN(ROW(WhoKW))+1)))=0,"",INDEX(WhoVal,SUMPRODUCT(MAX((WhoKW&lt;&gt;"")*ISNUMBER(SEARCH(WhoKW,INDEX(FormData,$H286,f_Who)&amp;""))*(ROW(WhoKW)-MIN(ROW(WhoKW))+1))))),""))</f>
        <v/>
      </c>
      <c r="G286" s="14">
        <f>IF($H286="","",IF(COUNTIF(People!$U$5:$U$604,$B286)+COUNTIF(People!$U$5:$U$604,$B286&amp;"")&gt;0,"✓ logged","→ add"))</f>
        <v/>
      </c>
      <c r="H286">
        <f>IFERROR(IF(INDEX(FormData,283,f_Id)&amp;""="","",283),"")</f>
        <v/>
      </c>
      <c r="I286" s="16">
        <f>IF($H286="","",IFERROR(INDEX(FormData,$H286,f_Need)&amp;"",""))</f>
        <v/>
      </c>
    </row>
    <row r="287">
      <c r="A287" s="14" t="n">
        <v>283</v>
      </c>
      <c r="B287" s="14">
        <f>IF($H287="","",INDEX(FormData,$H287,f_Id))</f>
        <v/>
      </c>
      <c r="C287" s="15">
        <f>IF($H287="","",IFERROR(INDEX(FormData,$H287,f_Time),""))</f>
        <v/>
      </c>
      <c r="D287" s="14">
        <f>IF($H287="","",IFERROR(UPPER(LEFT(TRIM(INDEX(FormData,$H287,f_Name)),1)&amp;IFERROR(MID(TRIM(INDEX(FormData,$H287,f_Name)),FIND("^",SUBSTITUTE(TRIM(INDEX(FormData,$H287,f_Name))," ","^",LEN(TRIM(INDEX(FormData,$H287,f_Name)))-LEN(SUBSTITUTE(TRIM(INDEX(FormData,$H287,f_Name))," ",""))))+1,1),"")),""))</f>
        <v/>
      </c>
      <c r="E287" s="16">
        <f>IF($H287="","",IFERROR(INDEX(EvID,MATCH(INDEX(FormData,$H287,f_Event),EvID,0)),IFERROR(INDEX(EvID,MATCH(INDEX(FormData,$H287,f_Event),EvName,0)),IFERROR(INDEX(EvID,MATCH(INT($C287),EvDate,0)),"(no event that day)"))))</f>
        <v/>
      </c>
      <c r="F287" s="16">
        <f>IF($H287="","",IFERROR(IF(SUMPRODUCT(MAX((WhoKW&lt;&gt;"")*ISNUMBER(SEARCH(WhoKW,INDEX(FormData,$H287,f_Who)&amp;""))*(ROW(WhoKW)-MIN(ROW(WhoKW))+1)))=0,"",INDEX(WhoVal,SUMPRODUCT(MAX((WhoKW&lt;&gt;"")*ISNUMBER(SEARCH(WhoKW,INDEX(FormData,$H287,f_Who)&amp;""))*(ROW(WhoKW)-MIN(ROW(WhoKW))+1))))),""))</f>
        <v/>
      </c>
      <c r="G287" s="14">
        <f>IF($H287="","",IF(COUNTIF(People!$U$5:$U$604,$B287)+COUNTIF(People!$U$5:$U$604,$B287&amp;"")&gt;0,"✓ logged","→ add"))</f>
        <v/>
      </c>
      <c r="H287">
        <f>IFERROR(IF(INDEX(FormData,284,f_Id)&amp;""="","",284),"")</f>
        <v/>
      </c>
      <c r="I287" s="16">
        <f>IF($H287="","",IFERROR(INDEX(FormData,$H287,f_Need)&amp;"",""))</f>
        <v/>
      </c>
    </row>
    <row r="288">
      <c r="A288" s="14" t="n">
        <v>284</v>
      </c>
      <c r="B288" s="14">
        <f>IF($H288="","",INDEX(FormData,$H288,f_Id))</f>
        <v/>
      </c>
      <c r="C288" s="15">
        <f>IF($H288="","",IFERROR(INDEX(FormData,$H288,f_Time),""))</f>
        <v/>
      </c>
      <c r="D288" s="14">
        <f>IF($H288="","",IFERROR(UPPER(LEFT(TRIM(INDEX(FormData,$H288,f_Name)),1)&amp;IFERROR(MID(TRIM(INDEX(FormData,$H288,f_Name)),FIND("^",SUBSTITUTE(TRIM(INDEX(FormData,$H288,f_Name))," ","^",LEN(TRIM(INDEX(FormData,$H288,f_Name)))-LEN(SUBSTITUTE(TRIM(INDEX(FormData,$H288,f_Name))," ",""))))+1,1),"")),""))</f>
        <v/>
      </c>
      <c r="E288" s="16">
        <f>IF($H288="","",IFERROR(INDEX(EvID,MATCH(INDEX(FormData,$H288,f_Event),EvID,0)),IFERROR(INDEX(EvID,MATCH(INDEX(FormData,$H288,f_Event),EvName,0)),IFERROR(INDEX(EvID,MATCH(INT($C288),EvDate,0)),"(no event that day)"))))</f>
        <v/>
      </c>
      <c r="F288" s="16">
        <f>IF($H288="","",IFERROR(IF(SUMPRODUCT(MAX((WhoKW&lt;&gt;"")*ISNUMBER(SEARCH(WhoKW,INDEX(FormData,$H288,f_Who)&amp;""))*(ROW(WhoKW)-MIN(ROW(WhoKW))+1)))=0,"",INDEX(WhoVal,SUMPRODUCT(MAX((WhoKW&lt;&gt;"")*ISNUMBER(SEARCH(WhoKW,INDEX(FormData,$H288,f_Who)&amp;""))*(ROW(WhoKW)-MIN(ROW(WhoKW))+1))))),""))</f>
        <v/>
      </c>
      <c r="G288" s="14">
        <f>IF($H288="","",IF(COUNTIF(People!$U$5:$U$604,$B288)+COUNTIF(People!$U$5:$U$604,$B288&amp;"")&gt;0,"✓ logged","→ add"))</f>
        <v/>
      </c>
      <c r="H288">
        <f>IFERROR(IF(INDEX(FormData,285,f_Id)&amp;""="","",285),"")</f>
        <v/>
      </c>
      <c r="I288" s="16">
        <f>IF($H288="","",IFERROR(INDEX(FormData,$H288,f_Need)&amp;"",""))</f>
        <v/>
      </c>
    </row>
    <row r="289">
      <c r="A289" s="14" t="n">
        <v>285</v>
      </c>
      <c r="B289" s="14">
        <f>IF($H289="","",INDEX(FormData,$H289,f_Id))</f>
        <v/>
      </c>
      <c r="C289" s="15">
        <f>IF($H289="","",IFERROR(INDEX(FormData,$H289,f_Time),""))</f>
        <v/>
      </c>
      <c r="D289" s="14">
        <f>IF($H289="","",IFERROR(UPPER(LEFT(TRIM(INDEX(FormData,$H289,f_Name)),1)&amp;IFERROR(MID(TRIM(INDEX(FormData,$H289,f_Name)),FIND("^",SUBSTITUTE(TRIM(INDEX(FormData,$H289,f_Name))," ","^",LEN(TRIM(INDEX(FormData,$H289,f_Name)))-LEN(SUBSTITUTE(TRIM(INDEX(FormData,$H289,f_Name))," ",""))))+1,1),"")),""))</f>
        <v/>
      </c>
      <c r="E289" s="16">
        <f>IF($H289="","",IFERROR(INDEX(EvID,MATCH(INDEX(FormData,$H289,f_Event),EvID,0)),IFERROR(INDEX(EvID,MATCH(INDEX(FormData,$H289,f_Event),EvName,0)),IFERROR(INDEX(EvID,MATCH(INT($C289),EvDate,0)),"(no event that day)"))))</f>
        <v/>
      </c>
      <c r="F289" s="16">
        <f>IF($H289="","",IFERROR(IF(SUMPRODUCT(MAX((WhoKW&lt;&gt;"")*ISNUMBER(SEARCH(WhoKW,INDEX(FormData,$H289,f_Who)&amp;""))*(ROW(WhoKW)-MIN(ROW(WhoKW))+1)))=0,"",INDEX(WhoVal,SUMPRODUCT(MAX((WhoKW&lt;&gt;"")*ISNUMBER(SEARCH(WhoKW,INDEX(FormData,$H289,f_Who)&amp;""))*(ROW(WhoKW)-MIN(ROW(WhoKW))+1))))),""))</f>
        <v/>
      </c>
      <c r="G289" s="14">
        <f>IF($H289="","",IF(COUNTIF(People!$U$5:$U$604,$B289)+COUNTIF(People!$U$5:$U$604,$B289&amp;"")&gt;0,"✓ logged","→ add"))</f>
        <v/>
      </c>
      <c r="H289">
        <f>IFERROR(IF(INDEX(FormData,286,f_Id)&amp;""="","",286),"")</f>
        <v/>
      </c>
      <c r="I289" s="16">
        <f>IF($H289="","",IFERROR(INDEX(FormData,$H289,f_Need)&amp;"",""))</f>
        <v/>
      </c>
    </row>
    <row r="290">
      <c r="A290" s="14" t="n">
        <v>286</v>
      </c>
      <c r="B290" s="14">
        <f>IF($H290="","",INDEX(FormData,$H290,f_Id))</f>
        <v/>
      </c>
      <c r="C290" s="15">
        <f>IF($H290="","",IFERROR(INDEX(FormData,$H290,f_Time),""))</f>
        <v/>
      </c>
      <c r="D290" s="14">
        <f>IF($H290="","",IFERROR(UPPER(LEFT(TRIM(INDEX(FormData,$H290,f_Name)),1)&amp;IFERROR(MID(TRIM(INDEX(FormData,$H290,f_Name)),FIND("^",SUBSTITUTE(TRIM(INDEX(FormData,$H290,f_Name))," ","^",LEN(TRIM(INDEX(FormData,$H290,f_Name)))-LEN(SUBSTITUTE(TRIM(INDEX(FormData,$H290,f_Name))," ",""))))+1,1),"")),""))</f>
        <v/>
      </c>
      <c r="E290" s="16">
        <f>IF($H290="","",IFERROR(INDEX(EvID,MATCH(INDEX(FormData,$H290,f_Event),EvID,0)),IFERROR(INDEX(EvID,MATCH(INDEX(FormData,$H290,f_Event),EvName,0)),IFERROR(INDEX(EvID,MATCH(INT($C290),EvDate,0)),"(no event that day)"))))</f>
        <v/>
      </c>
      <c r="F290" s="16">
        <f>IF($H290="","",IFERROR(IF(SUMPRODUCT(MAX((WhoKW&lt;&gt;"")*ISNUMBER(SEARCH(WhoKW,INDEX(FormData,$H290,f_Who)&amp;""))*(ROW(WhoKW)-MIN(ROW(WhoKW))+1)))=0,"",INDEX(WhoVal,SUMPRODUCT(MAX((WhoKW&lt;&gt;"")*ISNUMBER(SEARCH(WhoKW,INDEX(FormData,$H290,f_Who)&amp;""))*(ROW(WhoKW)-MIN(ROW(WhoKW))+1))))),""))</f>
        <v/>
      </c>
      <c r="G290" s="14">
        <f>IF($H290="","",IF(COUNTIF(People!$U$5:$U$604,$B290)+COUNTIF(People!$U$5:$U$604,$B290&amp;"")&gt;0,"✓ logged","→ add"))</f>
        <v/>
      </c>
      <c r="H290">
        <f>IFERROR(IF(INDEX(FormData,287,f_Id)&amp;""="","",287),"")</f>
        <v/>
      </c>
      <c r="I290" s="16">
        <f>IF($H290="","",IFERROR(INDEX(FormData,$H290,f_Need)&amp;"",""))</f>
        <v/>
      </c>
    </row>
    <row r="291">
      <c r="A291" s="14" t="n">
        <v>287</v>
      </c>
      <c r="B291" s="14">
        <f>IF($H291="","",INDEX(FormData,$H291,f_Id))</f>
        <v/>
      </c>
      <c r="C291" s="15">
        <f>IF($H291="","",IFERROR(INDEX(FormData,$H291,f_Time),""))</f>
        <v/>
      </c>
      <c r="D291" s="14">
        <f>IF($H291="","",IFERROR(UPPER(LEFT(TRIM(INDEX(FormData,$H291,f_Name)),1)&amp;IFERROR(MID(TRIM(INDEX(FormData,$H291,f_Name)),FIND("^",SUBSTITUTE(TRIM(INDEX(FormData,$H291,f_Name))," ","^",LEN(TRIM(INDEX(FormData,$H291,f_Name)))-LEN(SUBSTITUTE(TRIM(INDEX(FormData,$H291,f_Name))," ",""))))+1,1),"")),""))</f>
        <v/>
      </c>
      <c r="E291" s="16">
        <f>IF($H291="","",IFERROR(INDEX(EvID,MATCH(INDEX(FormData,$H291,f_Event),EvID,0)),IFERROR(INDEX(EvID,MATCH(INDEX(FormData,$H291,f_Event),EvName,0)),IFERROR(INDEX(EvID,MATCH(INT($C291),EvDate,0)),"(no event that day)"))))</f>
        <v/>
      </c>
      <c r="F291" s="16">
        <f>IF($H291="","",IFERROR(IF(SUMPRODUCT(MAX((WhoKW&lt;&gt;"")*ISNUMBER(SEARCH(WhoKW,INDEX(FormData,$H291,f_Who)&amp;""))*(ROW(WhoKW)-MIN(ROW(WhoKW))+1)))=0,"",INDEX(WhoVal,SUMPRODUCT(MAX((WhoKW&lt;&gt;"")*ISNUMBER(SEARCH(WhoKW,INDEX(FormData,$H291,f_Who)&amp;""))*(ROW(WhoKW)-MIN(ROW(WhoKW))+1))))),""))</f>
        <v/>
      </c>
      <c r="G291" s="14">
        <f>IF($H291="","",IF(COUNTIF(People!$U$5:$U$604,$B291)+COUNTIF(People!$U$5:$U$604,$B291&amp;"")&gt;0,"✓ logged","→ add"))</f>
        <v/>
      </c>
      <c r="H291">
        <f>IFERROR(IF(INDEX(FormData,288,f_Id)&amp;""="","",288),"")</f>
        <v/>
      </c>
      <c r="I291" s="16">
        <f>IF($H291="","",IFERROR(INDEX(FormData,$H291,f_Need)&amp;"",""))</f>
        <v/>
      </c>
    </row>
    <row r="292">
      <c r="A292" s="14" t="n">
        <v>288</v>
      </c>
      <c r="B292" s="14">
        <f>IF($H292="","",INDEX(FormData,$H292,f_Id))</f>
        <v/>
      </c>
      <c r="C292" s="15">
        <f>IF($H292="","",IFERROR(INDEX(FormData,$H292,f_Time),""))</f>
        <v/>
      </c>
      <c r="D292" s="14">
        <f>IF($H292="","",IFERROR(UPPER(LEFT(TRIM(INDEX(FormData,$H292,f_Name)),1)&amp;IFERROR(MID(TRIM(INDEX(FormData,$H292,f_Name)),FIND("^",SUBSTITUTE(TRIM(INDEX(FormData,$H292,f_Name))," ","^",LEN(TRIM(INDEX(FormData,$H292,f_Name)))-LEN(SUBSTITUTE(TRIM(INDEX(FormData,$H292,f_Name))," ",""))))+1,1),"")),""))</f>
        <v/>
      </c>
      <c r="E292" s="16">
        <f>IF($H292="","",IFERROR(INDEX(EvID,MATCH(INDEX(FormData,$H292,f_Event),EvID,0)),IFERROR(INDEX(EvID,MATCH(INDEX(FormData,$H292,f_Event),EvName,0)),IFERROR(INDEX(EvID,MATCH(INT($C292),EvDate,0)),"(no event that day)"))))</f>
        <v/>
      </c>
      <c r="F292" s="16">
        <f>IF($H292="","",IFERROR(IF(SUMPRODUCT(MAX((WhoKW&lt;&gt;"")*ISNUMBER(SEARCH(WhoKW,INDEX(FormData,$H292,f_Who)&amp;""))*(ROW(WhoKW)-MIN(ROW(WhoKW))+1)))=0,"",INDEX(WhoVal,SUMPRODUCT(MAX((WhoKW&lt;&gt;"")*ISNUMBER(SEARCH(WhoKW,INDEX(FormData,$H292,f_Who)&amp;""))*(ROW(WhoKW)-MIN(ROW(WhoKW))+1))))),""))</f>
        <v/>
      </c>
      <c r="G292" s="14">
        <f>IF($H292="","",IF(COUNTIF(People!$U$5:$U$604,$B292)+COUNTIF(People!$U$5:$U$604,$B292&amp;"")&gt;0,"✓ logged","→ add"))</f>
        <v/>
      </c>
      <c r="H292">
        <f>IFERROR(IF(INDEX(FormData,289,f_Id)&amp;""="","",289),"")</f>
        <v/>
      </c>
      <c r="I292" s="16">
        <f>IF($H292="","",IFERROR(INDEX(FormData,$H292,f_Need)&amp;"",""))</f>
        <v/>
      </c>
    </row>
    <row r="293">
      <c r="A293" s="14" t="n">
        <v>289</v>
      </c>
      <c r="B293" s="14">
        <f>IF($H293="","",INDEX(FormData,$H293,f_Id))</f>
        <v/>
      </c>
      <c r="C293" s="15">
        <f>IF($H293="","",IFERROR(INDEX(FormData,$H293,f_Time),""))</f>
        <v/>
      </c>
      <c r="D293" s="14">
        <f>IF($H293="","",IFERROR(UPPER(LEFT(TRIM(INDEX(FormData,$H293,f_Name)),1)&amp;IFERROR(MID(TRIM(INDEX(FormData,$H293,f_Name)),FIND("^",SUBSTITUTE(TRIM(INDEX(FormData,$H293,f_Name))," ","^",LEN(TRIM(INDEX(FormData,$H293,f_Name)))-LEN(SUBSTITUTE(TRIM(INDEX(FormData,$H293,f_Name))," ",""))))+1,1),"")),""))</f>
        <v/>
      </c>
      <c r="E293" s="16">
        <f>IF($H293="","",IFERROR(INDEX(EvID,MATCH(INDEX(FormData,$H293,f_Event),EvID,0)),IFERROR(INDEX(EvID,MATCH(INDEX(FormData,$H293,f_Event),EvName,0)),IFERROR(INDEX(EvID,MATCH(INT($C293),EvDate,0)),"(no event that day)"))))</f>
        <v/>
      </c>
      <c r="F293" s="16">
        <f>IF($H293="","",IFERROR(IF(SUMPRODUCT(MAX((WhoKW&lt;&gt;"")*ISNUMBER(SEARCH(WhoKW,INDEX(FormData,$H293,f_Who)&amp;""))*(ROW(WhoKW)-MIN(ROW(WhoKW))+1)))=0,"",INDEX(WhoVal,SUMPRODUCT(MAX((WhoKW&lt;&gt;"")*ISNUMBER(SEARCH(WhoKW,INDEX(FormData,$H293,f_Who)&amp;""))*(ROW(WhoKW)-MIN(ROW(WhoKW))+1))))),""))</f>
        <v/>
      </c>
      <c r="G293" s="14">
        <f>IF($H293="","",IF(COUNTIF(People!$U$5:$U$604,$B293)+COUNTIF(People!$U$5:$U$604,$B293&amp;"")&gt;0,"✓ logged","→ add"))</f>
        <v/>
      </c>
      <c r="H293">
        <f>IFERROR(IF(INDEX(FormData,290,f_Id)&amp;""="","",290),"")</f>
        <v/>
      </c>
      <c r="I293" s="16">
        <f>IF($H293="","",IFERROR(INDEX(FormData,$H293,f_Need)&amp;"",""))</f>
        <v/>
      </c>
    </row>
    <row r="294">
      <c r="A294" s="14" t="n">
        <v>290</v>
      </c>
      <c r="B294" s="14">
        <f>IF($H294="","",INDEX(FormData,$H294,f_Id))</f>
        <v/>
      </c>
      <c r="C294" s="15">
        <f>IF($H294="","",IFERROR(INDEX(FormData,$H294,f_Time),""))</f>
        <v/>
      </c>
      <c r="D294" s="14">
        <f>IF($H294="","",IFERROR(UPPER(LEFT(TRIM(INDEX(FormData,$H294,f_Name)),1)&amp;IFERROR(MID(TRIM(INDEX(FormData,$H294,f_Name)),FIND("^",SUBSTITUTE(TRIM(INDEX(FormData,$H294,f_Name))," ","^",LEN(TRIM(INDEX(FormData,$H294,f_Name)))-LEN(SUBSTITUTE(TRIM(INDEX(FormData,$H294,f_Name))," ",""))))+1,1),"")),""))</f>
        <v/>
      </c>
      <c r="E294" s="16">
        <f>IF($H294="","",IFERROR(INDEX(EvID,MATCH(INDEX(FormData,$H294,f_Event),EvID,0)),IFERROR(INDEX(EvID,MATCH(INDEX(FormData,$H294,f_Event),EvName,0)),IFERROR(INDEX(EvID,MATCH(INT($C294),EvDate,0)),"(no event that day)"))))</f>
        <v/>
      </c>
      <c r="F294" s="16">
        <f>IF($H294="","",IFERROR(IF(SUMPRODUCT(MAX((WhoKW&lt;&gt;"")*ISNUMBER(SEARCH(WhoKW,INDEX(FormData,$H294,f_Who)&amp;""))*(ROW(WhoKW)-MIN(ROW(WhoKW))+1)))=0,"",INDEX(WhoVal,SUMPRODUCT(MAX((WhoKW&lt;&gt;"")*ISNUMBER(SEARCH(WhoKW,INDEX(FormData,$H294,f_Who)&amp;""))*(ROW(WhoKW)-MIN(ROW(WhoKW))+1))))),""))</f>
        <v/>
      </c>
      <c r="G294" s="14">
        <f>IF($H294="","",IF(COUNTIF(People!$U$5:$U$604,$B294)+COUNTIF(People!$U$5:$U$604,$B294&amp;"")&gt;0,"✓ logged","→ add"))</f>
        <v/>
      </c>
      <c r="H294">
        <f>IFERROR(IF(INDEX(FormData,291,f_Id)&amp;""="","",291),"")</f>
        <v/>
      </c>
      <c r="I294" s="16">
        <f>IF($H294="","",IFERROR(INDEX(FormData,$H294,f_Need)&amp;"",""))</f>
        <v/>
      </c>
    </row>
    <row r="295">
      <c r="A295" s="14" t="n">
        <v>291</v>
      </c>
      <c r="B295" s="14">
        <f>IF($H295="","",INDEX(FormData,$H295,f_Id))</f>
        <v/>
      </c>
      <c r="C295" s="15">
        <f>IF($H295="","",IFERROR(INDEX(FormData,$H295,f_Time),""))</f>
        <v/>
      </c>
      <c r="D295" s="14">
        <f>IF($H295="","",IFERROR(UPPER(LEFT(TRIM(INDEX(FormData,$H295,f_Name)),1)&amp;IFERROR(MID(TRIM(INDEX(FormData,$H295,f_Name)),FIND("^",SUBSTITUTE(TRIM(INDEX(FormData,$H295,f_Name))," ","^",LEN(TRIM(INDEX(FormData,$H295,f_Name)))-LEN(SUBSTITUTE(TRIM(INDEX(FormData,$H295,f_Name))," ",""))))+1,1),"")),""))</f>
        <v/>
      </c>
      <c r="E295" s="16">
        <f>IF($H295="","",IFERROR(INDEX(EvID,MATCH(INDEX(FormData,$H295,f_Event),EvID,0)),IFERROR(INDEX(EvID,MATCH(INDEX(FormData,$H295,f_Event),EvName,0)),IFERROR(INDEX(EvID,MATCH(INT($C295),EvDate,0)),"(no event that day)"))))</f>
        <v/>
      </c>
      <c r="F295" s="16">
        <f>IF($H295="","",IFERROR(IF(SUMPRODUCT(MAX((WhoKW&lt;&gt;"")*ISNUMBER(SEARCH(WhoKW,INDEX(FormData,$H295,f_Who)&amp;""))*(ROW(WhoKW)-MIN(ROW(WhoKW))+1)))=0,"",INDEX(WhoVal,SUMPRODUCT(MAX((WhoKW&lt;&gt;"")*ISNUMBER(SEARCH(WhoKW,INDEX(FormData,$H295,f_Who)&amp;""))*(ROW(WhoKW)-MIN(ROW(WhoKW))+1))))),""))</f>
        <v/>
      </c>
      <c r="G295" s="14">
        <f>IF($H295="","",IF(COUNTIF(People!$U$5:$U$604,$B295)+COUNTIF(People!$U$5:$U$604,$B295&amp;"")&gt;0,"✓ logged","→ add"))</f>
        <v/>
      </c>
      <c r="H295">
        <f>IFERROR(IF(INDEX(FormData,292,f_Id)&amp;""="","",292),"")</f>
        <v/>
      </c>
      <c r="I295" s="16">
        <f>IF($H295="","",IFERROR(INDEX(FormData,$H295,f_Need)&amp;"",""))</f>
        <v/>
      </c>
    </row>
    <row r="296">
      <c r="A296" s="14" t="n">
        <v>292</v>
      </c>
      <c r="B296" s="14">
        <f>IF($H296="","",INDEX(FormData,$H296,f_Id))</f>
        <v/>
      </c>
      <c r="C296" s="15">
        <f>IF($H296="","",IFERROR(INDEX(FormData,$H296,f_Time),""))</f>
        <v/>
      </c>
      <c r="D296" s="14">
        <f>IF($H296="","",IFERROR(UPPER(LEFT(TRIM(INDEX(FormData,$H296,f_Name)),1)&amp;IFERROR(MID(TRIM(INDEX(FormData,$H296,f_Name)),FIND("^",SUBSTITUTE(TRIM(INDEX(FormData,$H296,f_Name))," ","^",LEN(TRIM(INDEX(FormData,$H296,f_Name)))-LEN(SUBSTITUTE(TRIM(INDEX(FormData,$H296,f_Name))," ",""))))+1,1),"")),""))</f>
        <v/>
      </c>
      <c r="E296" s="16">
        <f>IF($H296="","",IFERROR(INDEX(EvID,MATCH(INDEX(FormData,$H296,f_Event),EvID,0)),IFERROR(INDEX(EvID,MATCH(INDEX(FormData,$H296,f_Event),EvName,0)),IFERROR(INDEX(EvID,MATCH(INT($C296),EvDate,0)),"(no event that day)"))))</f>
        <v/>
      </c>
      <c r="F296" s="16">
        <f>IF($H296="","",IFERROR(IF(SUMPRODUCT(MAX((WhoKW&lt;&gt;"")*ISNUMBER(SEARCH(WhoKW,INDEX(FormData,$H296,f_Who)&amp;""))*(ROW(WhoKW)-MIN(ROW(WhoKW))+1)))=0,"",INDEX(WhoVal,SUMPRODUCT(MAX((WhoKW&lt;&gt;"")*ISNUMBER(SEARCH(WhoKW,INDEX(FormData,$H296,f_Who)&amp;""))*(ROW(WhoKW)-MIN(ROW(WhoKW))+1))))),""))</f>
        <v/>
      </c>
      <c r="G296" s="14">
        <f>IF($H296="","",IF(COUNTIF(People!$U$5:$U$604,$B296)+COUNTIF(People!$U$5:$U$604,$B296&amp;"")&gt;0,"✓ logged","→ add"))</f>
        <v/>
      </c>
      <c r="H296">
        <f>IFERROR(IF(INDEX(FormData,293,f_Id)&amp;""="","",293),"")</f>
        <v/>
      </c>
      <c r="I296" s="16">
        <f>IF($H296="","",IFERROR(INDEX(FormData,$H296,f_Need)&amp;"",""))</f>
        <v/>
      </c>
    </row>
    <row r="297">
      <c r="A297" s="14" t="n">
        <v>293</v>
      </c>
      <c r="B297" s="14">
        <f>IF($H297="","",INDEX(FormData,$H297,f_Id))</f>
        <v/>
      </c>
      <c r="C297" s="15">
        <f>IF($H297="","",IFERROR(INDEX(FormData,$H297,f_Time),""))</f>
        <v/>
      </c>
      <c r="D297" s="14">
        <f>IF($H297="","",IFERROR(UPPER(LEFT(TRIM(INDEX(FormData,$H297,f_Name)),1)&amp;IFERROR(MID(TRIM(INDEX(FormData,$H297,f_Name)),FIND("^",SUBSTITUTE(TRIM(INDEX(FormData,$H297,f_Name))," ","^",LEN(TRIM(INDEX(FormData,$H297,f_Name)))-LEN(SUBSTITUTE(TRIM(INDEX(FormData,$H297,f_Name))," ",""))))+1,1),"")),""))</f>
        <v/>
      </c>
      <c r="E297" s="16">
        <f>IF($H297="","",IFERROR(INDEX(EvID,MATCH(INDEX(FormData,$H297,f_Event),EvID,0)),IFERROR(INDEX(EvID,MATCH(INDEX(FormData,$H297,f_Event),EvName,0)),IFERROR(INDEX(EvID,MATCH(INT($C297),EvDate,0)),"(no event that day)"))))</f>
        <v/>
      </c>
      <c r="F297" s="16">
        <f>IF($H297="","",IFERROR(IF(SUMPRODUCT(MAX((WhoKW&lt;&gt;"")*ISNUMBER(SEARCH(WhoKW,INDEX(FormData,$H297,f_Who)&amp;""))*(ROW(WhoKW)-MIN(ROW(WhoKW))+1)))=0,"",INDEX(WhoVal,SUMPRODUCT(MAX((WhoKW&lt;&gt;"")*ISNUMBER(SEARCH(WhoKW,INDEX(FormData,$H297,f_Who)&amp;""))*(ROW(WhoKW)-MIN(ROW(WhoKW))+1))))),""))</f>
        <v/>
      </c>
      <c r="G297" s="14">
        <f>IF($H297="","",IF(COUNTIF(People!$U$5:$U$604,$B297)+COUNTIF(People!$U$5:$U$604,$B297&amp;"")&gt;0,"✓ logged","→ add"))</f>
        <v/>
      </c>
      <c r="H297">
        <f>IFERROR(IF(INDEX(FormData,294,f_Id)&amp;""="","",294),"")</f>
        <v/>
      </c>
      <c r="I297" s="16">
        <f>IF($H297="","",IFERROR(INDEX(FormData,$H297,f_Need)&amp;"",""))</f>
        <v/>
      </c>
    </row>
    <row r="298">
      <c r="A298" s="14" t="n">
        <v>294</v>
      </c>
      <c r="B298" s="14">
        <f>IF($H298="","",INDEX(FormData,$H298,f_Id))</f>
        <v/>
      </c>
      <c r="C298" s="15">
        <f>IF($H298="","",IFERROR(INDEX(FormData,$H298,f_Time),""))</f>
        <v/>
      </c>
      <c r="D298" s="14">
        <f>IF($H298="","",IFERROR(UPPER(LEFT(TRIM(INDEX(FormData,$H298,f_Name)),1)&amp;IFERROR(MID(TRIM(INDEX(FormData,$H298,f_Name)),FIND("^",SUBSTITUTE(TRIM(INDEX(FormData,$H298,f_Name))," ","^",LEN(TRIM(INDEX(FormData,$H298,f_Name)))-LEN(SUBSTITUTE(TRIM(INDEX(FormData,$H298,f_Name))," ",""))))+1,1),"")),""))</f>
        <v/>
      </c>
      <c r="E298" s="16">
        <f>IF($H298="","",IFERROR(INDEX(EvID,MATCH(INDEX(FormData,$H298,f_Event),EvID,0)),IFERROR(INDEX(EvID,MATCH(INDEX(FormData,$H298,f_Event),EvName,0)),IFERROR(INDEX(EvID,MATCH(INT($C298),EvDate,0)),"(no event that day)"))))</f>
        <v/>
      </c>
      <c r="F298" s="16">
        <f>IF($H298="","",IFERROR(IF(SUMPRODUCT(MAX((WhoKW&lt;&gt;"")*ISNUMBER(SEARCH(WhoKW,INDEX(FormData,$H298,f_Who)&amp;""))*(ROW(WhoKW)-MIN(ROW(WhoKW))+1)))=0,"",INDEX(WhoVal,SUMPRODUCT(MAX((WhoKW&lt;&gt;"")*ISNUMBER(SEARCH(WhoKW,INDEX(FormData,$H298,f_Who)&amp;""))*(ROW(WhoKW)-MIN(ROW(WhoKW))+1))))),""))</f>
        <v/>
      </c>
      <c r="G298" s="14">
        <f>IF($H298="","",IF(COUNTIF(People!$U$5:$U$604,$B298)+COUNTIF(People!$U$5:$U$604,$B298&amp;"")&gt;0,"✓ logged","→ add"))</f>
        <v/>
      </c>
      <c r="H298">
        <f>IFERROR(IF(INDEX(FormData,295,f_Id)&amp;""="","",295),"")</f>
        <v/>
      </c>
      <c r="I298" s="16">
        <f>IF($H298="","",IFERROR(INDEX(FormData,$H298,f_Need)&amp;"",""))</f>
        <v/>
      </c>
    </row>
    <row r="299">
      <c r="A299" s="14" t="n">
        <v>295</v>
      </c>
      <c r="B299" s="14">
        <f>IF($H299="","",INDEX(FormData,$H299,f_Id))</f>
        <v/>
      </c>
      <c r="C299" s="15">
        <f>IF($H299="","",IFERROR(INDEX(FormData,$H299,f_Time),""))</f>
        <v/>
      </c>
      <c r="D299" s="14">
        <f>IF($H299="","",IFERROR(UPPER(LEFT(TRIM(INDEX(FormData,$H299,f_Name)),1)&amp;IFERROR(MID(TRIM(INDEX(FormData,$H299,f_Name)),FIND("^",SUBSTITUTE(TRIM(INDEX(FormData,$H299,f_Name))," ","^",LEN(TRIM(INDEX(FormData,$H299,f_Name)))-LEN(SUBSTITUTE(TRIM(INDEX(FormData,$H299,f_Name))," ",""))))+1,1),"")),""))</f>
        <v/>
      </c>
      <c r="E299" s="16">
        <f>IF($H299="","",IFERROR(INDEX(EvID,MATCH(INDEX(FormData,$H299,f_Event),EvID,0)),IFERROR(INDEX(EvID,MATCH(INDEX(FormData,$H299,f_Event),EvName,0)),IFERROR(INDEX(EvID,MATCH(INT($C299),EvDate,0)),"(no event that day)"))))</f>
        <v/>
      </c>
      <c r="F299" s="16">
        <f>IF($H299="","",IFERROR(IF(SUMPRODUCT(MAX((WhoKW&lt;&gt;"")*ISNUMBER(SEARCH(WhoKW,INDEX(FormData,$H299,f_Who)&amp;""))*(ROW(WhoKW)-MIN(ROW(WhoKW))+1)))=0,"",INDEX(WhoVal,SUMPRODUCT(MAX((WhoKW&lt;&gt;"")*ISNUMBER(SEARCH(WhoKW,INDEX(FormData,$H299,f_Who)&amp;""))*(ROW(WhoKW)-MIN(ROW(WhoKW))+1))))),""))</f>
        <v/>
      </c>
      <c r="G299" s="14">
        <f>IF($H299="","",IF(COUNTIF(People!$U$5:$U$604,$B299)+COUNTIF(People!$U$5:$U$604,$B299&amp;"")&gt;0,"✓ logged","→ add"))</f>
        <v/>
      </c>
      <c r="H299">
        <f>IFERROR(IF(INDEX(FormData,296,f_Id)&amp;""="","",296),"")</f>
        <v/>
      </c>
      <c r="I299" s="16">
        <f>IF($H299="","",IFERROR(INDEX(FormData,$H299,f_Need)&amp;"",""))</f>
        <v/>
      </c>
    </row>
    <row r="300">
      <c r="A300" s="14" t="n">
        <v>296</v>
      </c>
      <c r="B300" s="14">
        <f>IF($H300="","",INDEX(FormData,$H300,f_Id))</f>
        <v/>
      </c>
      <c r="C300" s="15">
        <f>IF($H300="","",IFERROR(INDEX(FormData,$H300,f_Time),""))</f>
        <v/>
      </c>
      <c r="D300" s="14">
        <f>IF($H300="","",IFERROR(UPPER(LEFT(TRIM(INDEX(FormData,$H300,f_Name)),1)&amp;IFERROR(MID(TRIM(INDEX(FormData,$H300,f_Name)),FIND("^",SUBSTITUTE(TRIM(INDEX(FormData,$H300,f_Name))," ","^",LEN(TRIM(INDEX(FormData,$H300,f_Name)))-LEN(SUBSTITUTE(TRIM(INDEX(FormData,$H300,f_Name))," ",""))))+1,1),"")),""))</f>
        <v/>
      </c>
      <c r="E300" s="16">
        <f>IF($H300="","",IFERROR(INDEX(EvID,MATCH(INDEX(FormData,$H300,f_Event),EvID,0)),IFERROR(INDEX(EvID,MATCH(INDEX(FormData,$H300,f_Event),EvName,0)),IFERROR(INDEX(EvID,MATCH(INT($C300),EvDate,0)),"(no event that day)"))))</f>
        <v/>
      </c>
      <c r="F300" s="16">
        <f>IF($H300="","",IFERROR(IF(SUMPRODUCT(MAX((WhoKW&lt;&gt;"")*ISNUMBER(SEARCH(WhoKW,INDEX(FormData,$H300,f_Who)&amp;""))*(ROW(WhoKW)-MIN(ROW(WhoKW))+1)))=0,"",INDEX(WhoVal,SUMPRODUCT(MAX((WhoKW&lt;&gt;"")*ISNUMBER(SEARCH(WhoKW,INDEX(FormData,$H300,f_Who)&amp;""))*(ROW(WhoKW)-MIN(ROW(WhoKW))+1))))),""))</f>
        <v/>
      </c>
      <c r="G300" s="14">
        <f>IF($H300="","",IF(COUNTIF(People!$U$5:$U$604,$B300)+COUNTIF(People!$U$5:$U$604,$B300&amp;"")&gt;0,"✓ logged","→ add"))</f>
        <v/>
      </c>
      <c r="H300">
        <f>IFERROR(IF(INDEX(FormData,297,f_Id)&amp;""="","",297),"")</f>
        <v/>
      </c>
      <c r="I300" s="16">
        <f>IF($H300="","",IFERROR(INDEX(FormData,$H300,f_Need)&amp;"",""))</f>
        <v/>
      </c>
    </row>
    <row r="301">
      <c r="A301" s="14" t="n">
        <v>297</v>
      </c>
      <c r="B301" s="14">
        <f>IF($H301="","",INDEX(FormData,$H301,f_Id))</f>
        <v/>
      </c>
      <c r="C301" s="15">
        <f>IF($H301="","",IFERROR(INDEX(FormData,$H301,f_Time),""))</f>
        <v/>
      </c>
      <c r="D301" s="14">
        <f>IF($H301="","",IFERROR(UPPER(LEFT(TRIM(INDEX(FormData,$H301,f_Name)),1)&amp;IFERROR(MID(TRIM(INDEX(FormData,$H301,f_Name)),FIND("^",SUBSTITUTE(TRIM(INDEX(FormData,$H301,f_Name))," ","^",LEN(TRIM(INDEX(FormData,$H301,f_Name)))-LEN(SUBSTITUTE(TRIM(INDEX(FormData,$H301,f_Name))," ",""))))+1,1),"")),""))</f>
        <v/>
      </c>
      <c r="E301" s="16">
        <f>IF($H301="","",IFERROR(INDEX(EvID,MATCH(INDEX(FormData,$H301,f_Event),EvID,0)),IFERROR(INDEX(EvID,MATCH(INDEX(FormData,$H301,f_Event),EvName,0)),IFERROR(INDEX(EvID,MATCH(INT($C301),EvDate,0)),"(no event that day)"))))</f>
        <v/>
      </c>
      <c r="F301" s="16">
        <f>IF($H301="","",IFERROR(IF(SUMPRODUCT(MAX((WhoKW&lt;&gt;"")*ISNUMBER(SEARCH(WhoKW,INDEX(FormData,$H301,f_Who)&amp;""))*(ROW(WhoKW)-MIN(ROW(WhoKW))+1)))=0,"",INDEX(WhoVal,SUMPRODUCT(MAX((WhoKW&lt;&gt;"")*ISNUMBER(SEARCH(WhoKW,INDEX(FormData,$H301,f_Who)&amp;""))*(ROW(WhoKW)-MIN(ROW(WhoKW))+1))))),""))</f>
        <v/>
      </c>
      <c r="G301" s="14">
        <f>IF($H301="","",IF(COUNTIF(People!$U$5:$U$604,$B301)+COUNTIF(People!$U$5:$U$604,$B301&amp;"")&gt;0,"✓ logged","→ add"))</f>
        <v/>
      </c>
      <c r="H301">
        <f>IFERROR(IF(INDEX(FormData,298,f_Id)&amp;""="","",298),"")</f>
        <v/>
      </c>
      <c r="I301" s="16">
        <f>IF($H301="","",IFERROR(INDEX(FormData,$H301,f_Need)&amp;"",""))</f>
        <v/>
      </c>
    </row>
    <row r="302">
      <c r="A302" s="14" t="n">
        <v>298</v>
      </c>
      <c r="B302" s="14">
        <f>IF($H302="","",INDEX(FormData,$H302,f_Id))</f>
        <v/>
      </c>
      <c r="C302" s="15">
        <f>IF($H302="","",IFERROR(INDEX(FormData,$H302,f_Time),""))</f>
        <v/>
      </c>
      <c r="D302" s="14">
        <f>IF($H302="","",IFERROR(UPPER(LEFT(TRIM(INDEX(FormData,$H302,f_Name)),1)&amp;IFERROR(MID(TRIM(INDEX(FormData,$H302,f_Name)),FIND("^",SUBSTITUTE(TRIM(INDEX(FormData,$H302,f_Name))," ","^",LEN(TRIM(INDEX(FormData,$H302,f_Name)))-LEN(SUBSTITUTE(TRIM(INDEX(FormData,$H302,f_Name))," ",""))))+1,1),"")),""))</f>
        <v/>
      </c>
      <c r="E302" s="16">
        <f>IF($H302="","",IFERROR(INDEX(EvID,MATCH(INDEX(FormData,$H302,f_Event),EvID,0)),IFERROR(INDEX(EvID,MATCH(INDEX(FormData,$H302,f_Event),EvName,0)),IFERROR(INDEX(EvID,MATCH(INT($C302),EvDate,0)),"(no event that day)"))))</f>
        <v/>
      </c>
      <c r="F302" s="16">
        <f>IF($H302="","",IFERROR(IF(SUMPRODUCT(MAX((WhoKW&lt;&gt;"")*ISNUMBER(SEARCH(WhoKW,INDEX(FormData,$H302,f_Who)&amp;""))*(ROW(WhoKW)-MIN(ROW(WhoKW))+1)))=0,"",INDEX(WhoVal,SUMPRODUCT(MAX((WhoKW&lt;&gt;"")*ISNUMBER(SEARCH(WhoKW,INDEX(FormData,$H302,f_Who)&amp;""))*(ROW(WhoKW)-MIN(ROW(WhoKW))+1))))),""))</f>
        <v/>
      </c>
      <c r="G302" s="14">
        <f>IF($H302="","",IF(COUNTIF(People!$U$5:$U$604,$B302)+COUNTIF(People!$U$5:$U$604,$B302&amp;"")&gt;0,"✓ logged","→ add"))</f>
        <v/>
      </c>
      <c r="H302">
        <f>IFERROR(IF(INDEX(FormData,299,f_Id)&amp;""="","",299),"")</f>
        <v/>
      </c>
      <c r="I302" s="16">
        <f>IF($H302="","",IFERROR(INDEX(FormData,$H302,f_Need)&amp;"",""))</f>
        <v/>
      </c>
    </row>
    <row r="303">
      <c r="A303" s="14" t="n">
        <v>299</v>
      </c>
      <c r="B303" s="14">
        <f>IF($H303="","",INDEX(FormData,$H303,f_Id))</f>
        <v/>
      </c>
      <c r="C303" s="15">
        <f>IF($H303="","",IFERROR(INDEX(FormData,$H303,f_Time),""))</f>
        <v/>
      </c>
      <c r="D303" s="14">
        <f>IF($H303="","",IFERROR(UPPER(LEFT(TRIM(INDEX(FormData,$H303,f_Name)),1)&amp;IFERROR(MID(TRIM(INDEX(FormData,$H303,f_Name)),FIND("^",SUBSTITUTE(TRIM(INDEX(FormData,$H303,f_Name))," ","^",LEN(TRIM(INDEX(FormData,$H303,f_Name)))-LEN(SUBSTITUTE(TRIM(INDEX(FormData,$H303,f_Name))," ",""))))+1,1),"")),""))</f>
        <v/>
      </c>
      <c r="E303" s="16">
        <f>IF($H303="","",IFERROR(INDEX(EvID,MATCH(INDEX(FormData,$H303,f_Event),EvID,0)),IFERROR(INDEX(EvID,MATCH(INDEX(FormData,$H303,f_Event),EvName,0)),IFERROR(INDEX(EvID,MATCH(INT($C303),EvDate,0)),"(no event that day)"))))</f>
        <v/>
      </c>
      <c r="F303" s="16">
        <f>IF($H303="","",IFERROR(IF(SUMPRODUCT(MAX((WhoKW&lt;&gt;"")*ISNUMBER(SEARCH(WhoKW,INDEX(FormData,$H303,f_Who)&amp;""))*(ROW(WhoKW)-MIN(ROW(WhoKW))+1)))=0,"",INDEX(WhoVal,SUMPRODUCT(MAX((WhoKW&lt;&gt;"")*ISNUMBER(SEARCH(WhoKW,INDEX(FormData,$H303,f_Who)&amp;""))*(ROW(WhoKW)-MIN(ROW(WhoKW))+1))))),""))</f>
        <v/>
      </c>
      <c r="G303" s="14">
        <f>IF($H303="","",IF(COUNTIF(People!$U$5:$U$604,$B303)+COUNTIF(People!$U$5:$U$604,$B303&amp;"")&gt;0,"✓ logged","→ add"))</f>
        <v/>
      </c>
      <c r="H303">
        <f>IFERROR(IF(INDEX(FormData,300,f_Id)&amp;""="","",300),"")</f>
        <v/>
      </c>
      <c r="I303" s="16">
        <f>IF($H303="","",IFERROR(INDEX(FormData,$H303,f_Need)&amp;"",""))</f>
        <v/>
      </c>
    </row>
    <row r="304">
      <c r="A304" s="14" t="n">
        <v>300</v>
      </c>
      <c r="B304" s="14">
        <f>IF($H304="","",INDEX(FormData,$H304,f_Id))</f>
        <v/>
      </c>
      <c r="C304" s="15">
        <f>IF($H304="","",IFERROR(INDEX(FormData,$H304,f_Time),""))</f>
        <v/>
      </c>
      <c r="D304" s="14">
        <f>IF($H304="","",IFERROR(UPPER(LEFT(TRIM(INDEX(FormData,$H304,f_Name)),1)&amp;IFERROR(MID(TRIM(INDEX(FormData,$H304,f_Name)),FIND("^",SUBSTITUTE(TRIM(INDEX(FormData,$H304,f_Name))," ","^",LEN(TRIM(INDEX(FormData,$H304,f_Name)))-LEN(SUBSTITUTE(TRIM(INDEX(FormData,$H304,f_Name))," ",""))))+1,1),"")),""))</f>
        <v/>
      </c>
      <c r="E304" s="16">
        <f>IF($H304="","",IFERROR(INDEX(EvID,MATCH(INDEX(FormData,$H304,f_Event),EvID,0)),IFERROR(INDEX(EvID,MATCH(INDEX(FormData,$H304,f_Event),EvName,0)),IFERROR(INDEX(EvID,MATCH(INT($C304),EvDate,0)),"(no event that day)"))))</f>
        <v/>
      </c>
      <c r="F304" s="16">
        <f>IF($H304="","",IFERROR(IF(SUMPRODUCT(MAX((WhoKW&lt;&gt;"")*ISNUMBER(SEARCH(WhoKW,INDEX(FormData,$H304,f_Who)&amp;""))*(ROW(WhoKW)-MIN(ROW(WhoKW))+1)))=0,"",INDEX(WhoVal,SUMPRODUCT(MAX((WhoKW&lt;&gt;"")*ISNUMBER(SEARCH(WhoKW,INDEX(FormData,$H304,f_Who)&amp;""))*(ROW(WhoKW)-MIN(ROW(WhoKW))+1))))),""))</f>
        <v/>
      </c>
      <c r="G304" s="14">
        <f>IF($H304="","",IF(COUNTIF(People!$U$5:$U$604,$B304)+COUNTIF(People!$U$5:$U$604,$B304&amp;"")&gt;0,"✓ logged","→ add"))</f>
        <v/>
      </c>
      <c r="H304">
        <f>IFERROR(IF(INDEX(FormData,301,f_Id)&amp;""="","",301),"")</f>
        <v/>
      </c>
      <c r="I304" s="16">
        <f>IF($H304="","",IFERROR(INDEX(FormData,$H304,f_Need)&amp;"",""))</f>
        <v/>
      </c>
    </row>
    <row r="305">
      <c r="A305" s="14" t="n">
        <v>301</v>
      </c>
      <c r="B305" s="14">
        <f>IF($H305="","",INDEX(FormData,$H305,f_Id))</f>
        <v/>
      </c>
      <c r="C305" s="15">
        <f>IF($H305="","",IFERROR(INDEX(FormData,$H305,f_Time),""))</f>
        <v/>
      </c>
      <c r="D305" s="14">
        <f>IF($H305="","",IFERROR(UPPER(LEFT(TRIM(INDEX(FormData,$H305,f_Name)),1)&amp;IFERROR(MID(TRIM(INDEX(FormData,$H305,f_Name)),FIND("^",SUBSTITUTE(TRIM(INDEX(FormData,$H305,f_Name))," ","^",LEN(TRIM(INDEX(FormData,$H305,f_Name)))-LEN(SUBSTITUTE(TRIM(INDEX(FormData,$H305,f_Name))," ",""))))+1,1),"")),""))</f>
        <v/>
      </c>
      <c r="E305" s="16">
        <f>IF($H305="","",IFERROR(INDEX(EvID,MATCH(INDEX(FormData,$H305,f_Event),EvID,0)),IFERROR(INDEX(EvID,MATCH(INDEX(FormData,$H305,f_Event),EvName,0)),IFERROR(INDEX(EvID,MATCH(INT($C305),EvDate,0)),"(no event that day)"))))</f>
        <v/>
      </c>
      <c r="F305" s="16">
        <f>IF($H305="","",IFERROR(IF(SUMPRODUCT(MAX((WhoKW&lt;&gt;"")*ISNUMBER(SEARCH(WhoKW,INDEX(FormData,$H305,f_Who)&amp;""))*(ROW(WhoKW)-MIN(ROW(WhoKW))+1)))=0,"",INDEX(WhoVal,SUMPRODUCT(MAX((WhoKW&lt;&gt;"")*ISNUMBER(SEARCH(WhoKW,INDEX(FormData,$H305,f_Who)&amp;""))*(ROW(WhoKW)-MIN(ROW(WhoKW))+1))))),""))</f>
        <v/>
      </c>
      <c r="G305" s="14">
        <f>IF($H305="","",IF(COUNTIF(People!$U$5:$U$604,$B305)+COUNTIF(People!$U$5:$U$604,$B305&amp;"")&gt;0,"✓ logged","→ add"))</f>
        <v/>
      </c>
      <c r="H305">
        <f>IFERROR(IF(INDEX(FormData,302,f_Id)&amp;""="","",302),"")</f>
        <v/>
      </c>
      <c r="I305" s="16">
        <f>IF($H305="","",IFERROR(INDEX(FormData,$H305,f_Need)&amp;"",""))</f>
        <v/>
      </c>
    </row>
    <row r="306">
      <c r="A306" s="14" t="n">
        <v>302</v>
      </c>
      <c r="B306" s="14">
        <f>IF($H306="","",INDEX(FormData,$H306,f_Id))</f>
        <v/>
      </c>
      <c r="C306" s="15">
        <f>IF($H306="","",IFERROR(INDEX(FormData,$H306,f_Time),""))</f>
        <v/>
      </c>
      <c r="D306" s="14">
        <f>IF($H306="","",IFERROR(UPPER(LEFT(TRIM(INDEX(FormData,$H306,f_Name)),1)&amp;IFERROR(MID(TRIM(INDEX(FormData,$H306,f_Name)),FIND("^",SUBSTITUTE(TRIM(INDEX(FormData,$H306,f_Name))," ","^",LEN(TRIM(INDEX(FormData,$H306,f_Name)))-LEN(SUBSTITUTE(TRIM(INDEX(FormData,$H306,f_Name))," ",""))))+1,1),"")),""))</f>
        <v/>
      </c>
      <c r="E306" s="16">
        <f>IF($H306="","",IFERROR(INDEX(EvID,MATCH(INDEX(FormData,$H306,f_Event),EvID,0)),IFERROR(INDEX(EvID,MATCH(INDEX(FormData,$H306,f_Event),EvName,0)),IFERROR(INDEX(EvID,MATCH(INT($C306),EvDate,0)),"(no event that day)"))))</f>
        <v/>
      </c>
      <c r="F306" s="16">
        <f>IF($H306="","",IFERROR(IF(SUMPRODUCT(MAX((WhoKW&lt;&gt;"")*ISNUMBER(SEARCH(WhoKW,INDEX(FormData,$H306,f_Who)&amp;""))*(ROW(WhoKW)-MIN(ROW(WhoKW))+1)))=0,"",INDEX(WhoVal,SUMPRODUCT(MAX((WhoKW&lt;&gt;"")*ISNUMBER(SEARCH(WhoKW,INDEX(FormData,$H306,f_Who)&amp;""))*(ROW(WhoKW)-MIN(ROW(WhoKW))+1))))),""))</f>
        <v/>
      </c>
      <c r="G306" s="14">
        <f>IF($H306="","",IF(COUNTIF(People!$U$5:$U$604,$B306)+COUNTIF(People!$U$5:$U$604,$B306&amp;"")&gt;0,"✓ logged","→ add"))</f>
        <v/>
      </c>
      <c r="H306">
        <f>IFERROR(IF(INDEX(FormData,303,f_Id)&amp;""="","",303),"")</f>
        <v/>
      </c>
      <c r="I306" s="16">
        <f>IF($H306="","",IFERROR(INDEX(FormData,$H306,f_Need)&amp;"",""))</f>
        <v/>
      </c>
    </row>
    <row r="307">
      <c r="A307" s="14" t="n">
        <v>303</v>
      </c>
      <c r="B307" s="14">
        <f>IF($H307="","",INDEX(FormData,$H307,f_Id))</f>
        <v/>
      </c>
      <c r="C307" s="15">
        <f>IF($H307="","",IFERROR(INDEX(FormData,$H307,f_Time),""))</f>
        <v/>
      </c>
      <c r="D307" s="14">
        <f>IF($H307="","",IFERROR(UPPER(LEFT(TRIM(INDEX(FormData,$H307,f_Name)),1)&amp;IFERROR(MID(TRIM(INDEX(FormData,$H307,f_Name)),FIND("^",SUBSTITUTE(TRIM(INDEX(FormData,$H307,f_Name))," ","^",LEN(TRIM(INDEX(FormData,$H307,f_Name)))-LEN(SUBSTITUTE(TRIM(INDEX(FormData,$H307,f_Name))," ",""))))+1,1),"")),""))</f>
        <v/>
      </c>
      <c r="E307" s="16">
        <f>IF($H307="","",IFERROR(INDEX(EvID,MATCH(INDEX(FormData,$H307,f_Event),EvID,0)),IFERROR(INDEX(EvID,MATCH(INDEX(FormData,$H307,f_Event),EvName,0)),IFERROR(INDEX(EvID,MATCH(INT($C307),EvDate,0)),"(no event that day)"))))</f>
        <v/>
      </c>
      <c r="F307" s="16">
        <f>IF($H307="","",IFERROR(IF(SUMPRODUCT(MAX((WhoKW&lt;&gt;"")*ISNUMBER(SEARCH(WhoKW,INDEX(FormData,$H307,f_Who)&amp;""))*(ROW(WhoKW)-MIN(ROW(WhoKW))+1)))=0,"",INDEX(WhoVal,SUMPRODUCT(MAX((WhoKW&lt;&gt;"")*ISNUMBER(SEARCH(WhoKW,INDEX(FormData,$H307,f_Who)&amp;""))*(ROW(WhoKW)-MIN(ROW(WhoKW))+1))))),""))</f>
        <v/>
      </c>
      <c r="G307" s="14">
        <f>IF($H307="","",IF(COUNTIF(People!$U$5:$U$604,$B307)+COUNTIF(People!$U$5:$U$604,$B307&amp;"")&gt;0,"✓ logged","→ add"))</f>
        <v/>
      </c>
      <c r="H307">
        <f>IFERROR(IF(INDEX(FormData,304,f_Id)&amp;""="","",304),"")</f>
        <v/>
      </c>
      <c r="I307" s="16">
        <f>IF($H307="","",IFERROR(INDEX(FormData,$H307,f_Need)&amp;"",""))</f>
        <v/>
      </c>
    </row>
    <row r="308">
      <c r="A308" s="14" t="n">
        <v>304</v>
      </c>
      <c r="B308" s="14">
        <f>IF($H308="","",INDEX(FormData,$H308,f_Id))</f>
        <v/>
      </c>
      <c r="C308" s="15">
        <f>IF($H308="","",IFERROR(INDEX(FormData,$H308,f_Time),""))</f>
        <v/>
      </c>
      <c r="D308" s="14">
        <f>IF($H308="","",IFERROR(UPPER(LEFT(TRIM(INDEX(FormData,$H308,f_Name)),1)&amp;IFERROR(MID(TRIM(INDEX(FormData,$H308,f_Name)),FIND("^",SUBSTITUTE(TRIM(INDEX(FormData,$H308,f_Name))," ","^",LEN(TRIM(INDEX(FormData,$H308,f_Name)))-LEN(SUBSTITUTE(TRIM(INDEX(FormData,$H308,f_Name))," ",""))))+1,1),"")),""))</f>
        <v/>
      </c>
      <c r="E308" s="16">
        <f>IF($H308="","",IFERROR(INDEX(EvID,MATCH(INDEX(FormData,$H308,f_Event),EvID,0)),IFERROR(INDEX(EvID,MATCH(INDEX(FormData,$H308,f_Event),EvName,0)),IFERROR(INDEX(EvID,MATCH(INT($C308),EvDate,0)),"(no event that day)"))))</f>
        <v/>
      </c>
      <c r="F308" s="16">
        <f>IF($H308="","",IFERROR(IF(SUMPRODUCT(MAX((WhoKW&lt;&gt;"")*ISNUMBER(SEARCH(WhoKW,INDEX(FormData,$H308,f_Who)&amp;""))*(ROW(WhoKW)-MIN(ROW(WhoKW))+1)))=0,"",INDEX(WhoVal,SUMPRODUCT(MAX((WhoKW&lt;&gt;"")*ISNUMBER(SEARCH(WhoKW,INDEX(FormData,$H308,f_Who)&amp;""))*(ROW(WhoKW)-MIN(ROW(WhoKW))+1))))),""))</f>
        <v/>
      </c>
      <c r="G308" s="14">
        <f>IF($H308="","",IF(COUNTIF(People!$U$5:$U$604,$B308)+COUNTIF(People!$U$5:$U$604,$B308&amp;"")&gt;0,"✓ logged","→ add"))</f>
        <v/>
      </c>
      <c r="H308">
        <f>IFERROR(IF(INDEX(FormData,305,f_Id)&amp;""="","",305),"")</f>
        <v/>
      </c>
      <c r="I308" s="16">
        <f>IF($H308="","",IFERROR(INDEX(FormData,$H308,f_Need)&amp;"",""))</f>
        <v/>
      </c>
    </row>
    <row r="309">
      <c r="A309" s="14" t="n">
        <v>305</v>
      </c>
      <c r="B309" s="14">
        <f>IF($H309="","",INDEX(FormData,$H309,f_Id))</f>
        <v/>
      </c>
      <c r="C309" s="15">
        <f>IF($H309="","",IFERROR(INDEX(FormData,$H309,f_Time),""))</f>
        <v/>
      </c>
      <c r="D309" s="14">
        <f>IF($H309="","",IFERROR(UPPER(LEFT(TRIM(INDEX(FormData,$H309,f_Name)),1)&amp;IFERROR(MID(TRIM(INDEX(FormData,$H309,f_Name)),FIND("^",SUBSTITUTE(TRIM(INDEX(FormData,$H309,f_Name))," ","^",LEN(TRIM(INDEX(FormData,$H309,f_Name)))-LEN(SUBSTITUTE(TRIM(INDEX(FormData,$H309,f_Name))," ",""))))+1,1),"")),""))</f>
        <v/>
      </c>
      <c r="E309" s="16">
        <f>IF($H309="","",IFERROR(INDEX(EvID,MATCH(INDEX(FormData,$H309,f_Event),EvID,0)),IFERROR(INDEX(EvID,MATCH(INDEX(FormData,$H309,f_Event),EvName,0)),IFERROR(INDEX(EvID,MATCH(INT($C309),EvDate,0)),"(no event that day)"))))</f>
        <v/>
      </c>
      <c r="F309" s="16">
        <f>IF($H309="","",IFERROR(IF(SUMPRODUCT(MAX((WhoKW&lt;&gt;"")*ISNUMBER(SEARCH(WhoKW,INDEX(FormData,$H309,f_Who)&amp;""))*(ROW(WhoKW)-MIN(ROW(WhoKW))+1)))=0,"",INDEX(WhoVal,SUMPRODUCT(MAX((WhoKW&lt;&gt;"")*ISNUMBER(SEARCH(WhoKW,INDEX(FormData,$H309,f_Who)&amp;""))*(ROW(WhoKW)-MIN(ROW(WhoKW))+1))))),""))</f>
        <v/>
      </c>
      <c r="G309" s="14">
        <f>IF($H309="","",IF(COUNTIF(People!$U$5:$U$604,$B309)+COUNTIF(People!$U$5:$U$604,$B309&amp;"")&gt;0,"✓ logged","→ add"))</f>
        <v/>
      </c>
      <c r="H309">
        <f>IFERROR(IF(INDEX(FormData,306,f_Id)&amp;""="","",306),"")</f>
        <v/>
      </c>
      <c r="I309" s="16">
        <f>IF($H309="","",IFERROR(INDEX(FormData,$H309,f_Need)&amp;"",""))</f>
        <v/>
      </c>
    </row>
    <row r="310">
      <c r="A310" s="14" t="n">
        <v>306</v>
      </c>
      <c r="B310" s="14">
        <f>IF($H310="","",INDEX(FormData,$H310,f_Id))</f>
        <v/>
      </c>
      <c r="C310" s="15">
        <f>IF($H310="","",IFERROR(INDEX(FormData,$H310,f_Time),""))</f>
        <v/>
      </c>
      <c r="D310" s="14">
        <f>IF($H310="","",IFERROR(UPPER(LEFT(TRIM(INDEX(FormData,$H310,f_Name)),1)&amp;IFERROR(MID(TRIM(INDEX(FormData,$H310,f_Name)),FIND("^",SUBSTITUTE(TRIM(INDEX(FormData,$H310,f_Name))," ","^",LEN(TRIM(INDEX(FormData,$H310,f_Name)))-LEN(SUBSTITUTE(TRIM(INDEX(FormData,$H310,f_Name))," ",""))))+1,1),"")),""))</f>
        <v/>
      </c>
      <c r="E310" s="16">
        <f>IF($H310="","",IFERROR(INDEX(EvID,MATCH(INDEX(FormData,$H310,f_Event),EvID,0)),IFERROR(INDEX(EvID,MATCH(INDEX(FormData,$H310,f_Event),EvName,0)),IFERROR(INDEX(EvID,MATCH(INT($C310),EvDate,0)),"(no event that day)"))))</f>
        <v/>
      </c>
      <c r="F310" s="16">
        <f>IF($H310="","",IFERROR(IF(SUMPRODUCT(MAX((WhoKW&lt;&gt;"")*ISNUMBER(SEARCH(WhoKW,INDEX(FormData,$H310,f_Who)&amp;""))*(ROW(WhoKW)-MIN(ROW(WhoKW))+1)))=0,"",INDEX(WhoVal,SUMPRODUCT(MAX((WhoKW&lt;&gt;"")*ISNUMBER(SEARCH(WhoKW,INDEX(FormData,$H310,f_Who)&amp;""))*(ROW(WhoKW)-MIN(ROW(WhoKW))+1))))),""))</f>
        <v/>
      </c>
      <c r="G310" s="14">
        <f>IF($H310="","",IF(COUNTIF(People!$U$5:$U$604,$B310)+COUNTIF(People!$U$5:$U$604,$B310&amp;"")&gt;0,"✓ logged","→ add"))</f>
        <v/>
      </c>
      <c r="H310">
        <f>IFERROR(IF(INDEX(FormData,307,f_Id)&amp;""="","",307),"")</f>
        <v/>
      </c>
      <c r="I310" s="16">
        <f>IF($H310="","",IFERROR(INDEX(FormData,$H310,f_Need)&amp;"",""))</f>
        <v/>
      </c>
    </row>
    <row r="311">
      <c r="A311" s="14" t="n">
        <v>307</v>
      </c>
      <c r="B311" s="14">
        <f>IF($H311="","",INDEX(FormData,$H311,f_Id))</f>
        <v/>
      </c>
      <c r="C311" s="15">
        <f>IF($H311="","",IFERROR(INDEX(FormData,$H311,f_Time),""))</f>
        <v/>
      </c>
      <c r="D311" s="14">
        <f>IF($H311="","",IFERROR(UPPER(LEFT(TRIM(INDEX(FormData,$H311,f_Name)),1)&amp;IFERROR(MID(TRIM(INDEX(FormData,$H311,f_Name)),FIND("^",SUBSTITUTE(TRIM(INDEX(FormData,$H311,f_Name))," ","^",LEN(TRIM(INDEX(FormData,$H311,f_Name)))-LEN(SUBSTITUTE(TRIM(INDEX(FormData,$H311,f_Name))," ",""))))+1,1),"")),""))</f>
        <v/>
      </c>
      <c r="E311" s="16">
        <f>IF($H311="","",IFERROR(INDEX(EvID,MATCH(INDEX(FormData,$H311,f_Event),EvID,0)),IFERROR(INDEX(EvID,MATCH(INDEX(FormData,$H311,f_Event),EvName,0)),IFERROR(INDEX(EvID,MATCH(INT($C311),EvDate,0)),"(no event that day)"))))</f>
        <v/>
      </c>
      <c r="F311" s="16">
        <f>IF($H311="","",IFERROR(IF(SUMPRODUCT(MAX((WhoKW&lt;&gt;"")*ISNUMBER(SEARCH(WhoKW,INDEX(FormData,$H311,f_Who)&amp;""))*(ROW(WhoKW)-MIN(ROW(WhoKW))+1)))=0,"",INDEX(WhoVal,SUMPRODUCT(MAX((WhoKW&lt;&gt;"")*ISNUMBER(SEARCH(WhoKW,INDEX(FormData,$H311,f_Who)&amp;""))*(ROW(WhoKW)-MIN(ROW(WhoKW))+1))))),""))</f>
        <v/>
      </c>
      <c r="G311" s="14">
        <f>IF($H311="","",IF(COUNTIF(People!$U$5:$U$604,$B311)+COUNTIF(People!$U$5:$U$604,$B311&amp;"")&gt;0,"✓ logged","→ add"))</f>
        <v/>
      </c>
      <c r="H311">
        <f>IFERROR(IF(INDEX(FormData,308,f_Id)&amp;""="","",308),"")</f>
        <v/>
      </c>
      <c r="I311" s="16">
        <f>IF($H311="","",IFERROR(INDEX(FormData,$H311,f_Need)&amp;"",""))</f>
        <v/>
      </c>
    </row>
    <row r="312">
      <c r="A312" s="14" t="n">
        <v>308</v>
      </c>
      <c r="B312" s="14">
        <f>IF($H312="","",INDEX(FormData,$H312,f_Id))</f>
        <v/>
      </c>
      <c r="C312" s="15">
        <f>IF($H312="","",IFERROR(INDEX(FormData,$H312,f_Time),""))</f>
        <v/>
      </c>
      <c r="D312" s="14">
        <f>IF($H312="","",IFERROR(UPPER(LEFT(TRIM(INDEX(FormData,$H312,f_Name)),1)&amp;IFERROR(MID(TRIM(INDEX(FormData,$H312,f_Name)),FIND("^",SUBSTITUTE(TRIM(INDEX(FormData,$H312,f_Name))," ","^",LEN(TRIM(INDEX(FormData,$H312,f_Name)))-LEN(SUBSTITUTE(TRIM(INDEX(FormData,$H312,f_Name))," ",""))))+1,1),"")),""))</f>
        <v/>
      </c>
      <c r="E312" s="16">
        <f>IF($H312="","",IFERROR(INDEX(EvID,MATCH(INDEX(FormData,$H312,f_Event),EvID,0)),IFERROR(INDEX(EvID,MATCH(INDEX(FormData,$H312,f_Event),EvName,0)),IFERROR(INDEX(EvID,MATCH(INT($C312),EvDate,0)),"(no event that day)"))))</f>
        <v/>
      </c>
      <c r="F312" s="16">
        <f>IF($H312="","",IFERROR(IF(SUMPRODUCT(MAX((WhoKW&lt;&gt;"")*ISNUMBER(SEARCH(WhoKW,INDEX(FormData,$H312,f_Who)&amp;""))*(ROW(WhoKW)-MIN(ROW(WhoKW))+1)))=0,"",INDEX(WhoVal,SUMPRODUCT(MAX((WhoKW&lt;&gt;"")*ISNUMBER(SEARCH(WhoKW,INDEX(FormData,$H312,f_Who)&amp;""))*(ROW(WhoKW)-MIN(ROW(WhoKW))+1))))),""))</f>
        <v/>
      </c>
      <c r="G312" s="14">
        <f>IF($H312="","",IF(COUNTIF(People!$U$5:$U$604,$B312)+COUNTIF(People!$U$5:$U$604,$B312&amp;"")&gt;0,"✓ logged","→ add"))</f>
        <v/>
      </c>
      <c r="H312">
        <f>IFERROR(IF(INDEX(FormData,309,f_Id)&amp;""="","",309),"")</f>
        <v/>
      </c>
      <c r="I312" s="16">
        <f>IF($H312="","",IFERROR(INDEX(FormData,$H312,f_Need)&amp;"",""))</f>
        <v/>
      </c>
    </row>
    <row r="313">
      <c r="A313" s="14" t="n">
        <v>309</v>
      </c>
      <c r="B313" s="14">
        <f>IF($H313="","",INDEX(FormData,$H313,f_Id))</f>
        <v/>
      </c>
      <c r="C313" s="15">
        <f>IF($H313="","",IFERROR(INDEX(FormData,$H313,f_Time),""))</f>
        <v/>
      </c>
      <c r="D313" s="14">
        <f>IF($H313="","",IFERROR(UPPER(LEFT(TRIM(INDEX(FormData,$H313,f_Name)),1)&amp;IFERROR(MID(TRIM(INDEX(FormData,$H313,f_Name)),FIND("^",SUBSTITUTE(TRIM(INDEX(FormData,$H313,f_Name))," ","^",LEN(TRIM(INDEX(FormData,$H313,f_Name)))-LEN(SUBSTITUTE(TRIM(INDEX(FormData,$H313,f_Name))," ",""))))+1,1),"")),""))</f>
        <v/>
      </c>
      <c r="E313" s="16">
        <f>IF($H313="","",IFERROR(INDEX(EvID,MATCH(INDEX(FormData,$H313,f_Event),EvID,0)),IFERROR(INDEX(EvID,MATCH(INDEX(FormData,$H313,f_Event),EvName,0)),IFERROR(INDEX(EvID,MATCH(INT($C313),EvDate,0)),"(no event that day)"))))</f>
        <v/>
      </c>
      <c r="F313" s="16">
        <f>IF($H313="","",IFERROR(IF(SUMPRODUCT(MAX((WhoKW&lt;&gt;"")*ISNUMBER(SEARCH(WhoKW,INDEX(FormData,$H313,f_Who)&amp;""))*(ROW(WhoKW)-MIN(ROW(WhoKW))+1)))=0,"",INDEX(WhoVal,SUMPRODUCT(MAX((WhoKW&lt;&gt;"")*ISNUMBER(SEARCH(WhoKW,INDEX(FormData,$H313,f_Who)&amp;""))*(ROW(WhoKW)-MIN(ROW(WhoKW))+1))))),""))</f>
        <v/>
      </c>
      <c r="G313" s="14">
        <f>IF($H313="","",IF(COUNTIF(People!$U$5:$U$604,$B313)+COUNTIF(People!$U$5:$U$604,$B313&amp;"")&gt;0,"✓ logged","→ add"))</f>
        <v/>
      </c>
      <c r="H313">
        <f>IFERROR(IF(INDEX(FormData,310,f_Id)&amp;""="","",310),"")</f>
        <v/>
      </c>
      <c r="I313" s="16">
        <f>IF($H313="","",IFERROR(INDEX(FormData,$H313,f_Need)&amp;"",""))</f>
        <v/>
      </c>
    </row>
    <row r="314">
      <c r="A314" s="14" t="n">
        <v>310</v>
      </c>
      <c r="B314" s="14">
        <f>IF($H314="","",INDEX(FormData,$H314,f_Id))</f>
        <v/>
      </c>
      <c r="C314" s="15">
        <f>IF($H314="","",IFERROR(INDEX(FormData,$H314,f_Time),""))</f>
        <v/>
      </c>
      <c r="D314" s="14">
        <f>IF($H314="","",IFERROR(UPPER(LEFT(TRIM(INDEX(FormData,$H314,f_Name)),1)&amp;IFERROR(MID(TRIM(INDEX(FormData,$H314,f_Name)),FIND("^",SUBSTITUTE(TRIM(INDEX(FormData,$H314,f_Name))," ","^",LEN(TRIM(INDEX(FormData,$H314,f_Name)))-LEN(SUBSTITUTE(TRIM(INDEX(FormData,$H314,f_Name))," ",""))))+1,1),"")),""))</f>
        <v/>
      </c>
      <c r="E314" s="16">
        <f>IF($H314="","",IFERROR(INDEX(EvID,MATCH(INDEX(FormData,$H314,f_Event),EvID,0)),IFERROR(INDEX(EvID,MATCH(INDEX(FormData,$H314,f_Event),EvName,0)),IFERROR(INDEX(EvID,MATCH(INT($C314),EvDate,0)),"(no event that day)"))))</f>
        <v/>
      </c>
      <c r="F314" s="16">
        <f>IF($H314="","",IFERROR(IF(SUMPRODUCT(MAX((WhoKW&lt;&gt;"")*ISNUMBER(SEARCH(WhoKW,INDEX(FormData,$H314,f_Who)&amp;""))*(ROW(WhoKW)-MIN(ROW(WhoKW))+1)))=0,"",INDEX(WhoVal,SUMPRODUCT(MAX((WhoKW&lt;&gt;"")*ISNUMBER(SEARCH(WhoKW,INDEX(FormData,$H314,f_Who)&amp;""))*(ROW(WhoKW)-MIN(ROW(WhoKW))+1))))),""))</f>
        <v/>
      </c>
      <c r="G314" s="14">
        <f>IF($H314="","",IF(COUNTIF(People!$U$5:$U$604,$B314)+COUNTIF(People!$U$5:$U$604,$B314&amp;"")&gt;0,"✓ logged","→ add"))</f>
        <v/>
      </c>
      <c r="H314">
        <f>IFERROR(IF(INDEX(FormData,311,f_Id)&amp;""="","",311),"")</f>
        <v/>
      </c>
      <c r="I314" s="16">
        <f>IF($H314="","",IFERROR(INDEX(FormData,$H314,f_Need)&amp;"",""))</f>
        <v/>
      </c>
    </row>
    <row r="315">
      <c r="A315" s="14" t="n">
        <v>311</v>
      </c>
      <c r="B315" s="14">
        <f>IF($H315="","",INDEX(FormData,$H315,f_Id))</f>
        <v/>
      </c>
      <c r="C315" s="15">
        <f>IF($H315="","",IFERROR(INDEX(FormData,$H315,f_Time),""))</f>
        <v/>
      </c>
      <c r="D315" s="14">
        <f>IF($H315="","",IFERROR(UPPER(LEFT(TRIM(INDEX(FormData,$H315,f_Name)),1)&amp;IFERROR(MID(TRIM(INDEX(FormData,$H315,f_Name)),FIND("^",SUBSTITUTE(TRIM(INDEX(FormData,$H315,f_Name))," ","^",LEN(TRIM(INDEX(FormData,$H315,f_Name)))-LEN(SUBSTITUTE(TRIM(INDEX(FormData,$H315,f_Name))," ",""))))+1,1),"")),""))</f>
        <v/>
      </c>
      <c r="E315" s="16">
        <f>IF($H315="","",IFERROR(INDEX(EvID,MATCH(INDEX(FormData,$H315,f_Event),EvID,0)),IFERROR(INDEX(EvID,MATCH(INDEX(FormData,$H315,f_Event),EvName,0)),IFERROR(INDEX(EvID,MATCH(INT($C315),EvDate,0)),"(no event that day)"))))</f>
        <v/>
      </c>
      <c r="F315" s="16">
        <f>IF($H315="","",IFERROR(IF(SUMPRODUCT(MAX((WhoKW&lt;&gt;"")*ISNUMBER(SEARCH(WhoKW,INDEX(FormData,$H315,f_Who)&amp;""))*(ROW(WhoKW)-MIN(ROW(WhoKW))+1)))=0,"",INDEX(WhoVal,SUMPRODUCT(MAX((WhoKW&lt;&gt;"")*ISNUMBER(SEARCH(WhoKW,INDEX(FormData,$H315,f_Who)&amp;""))*(ROW(WhoKW)-MIN(ROW(WhoKW))+1))))),""))</f>
        <v/>
      </c>
      <c r="G315" s="14">
        <f>IF($H315="","",IF(COUNTIF(People!$U$5:$U$604,$B315)+COUNTIF(People!$U$5:$U$604,$B315&amp;"")&gt;0,"✓ logged","→ add"))</f>
        <v/>
      </c>
      <c r="H315">
        <f>IFERROR(IF(INDEX(FormData,312,f_Id)&amp;""="","",312),"")</f>
        <v/>
      </c>
      <c r="I315" s="16">
        <f>IF($H315="","",IFERROR(INDEX(FormData,$H315,f_Need)&amp;"",""))</f>
        <v/>
      </c>
    </row>
    <row r="316">
      <c r="A316" s="14" t="n">
        <v>312</v>
      </c>
      <c r="B316" s="14">
        <f>IF($H316="","",INDEX(FormData,$H316,f_Id))</f>
        <v/>
      </c>
      <c r="C316" s="15">
        <f>IF($H316="","",IFERROR(INDEX(FormData,$H316,f_Time),""))</f>
        <v/>
      </c>
      <c r="D316" s="14">
        <f>IF($H316="","",IFERROR(UPPER(LEFT(TRIM(INDEX(FormData,$H316,f_Name)),1)&amp;IFERROR(MID(TRIM(INDEX(FormData,$H316,f_Name)),FIND("^",SUBSTITUTE(TRIM(INDEX(FormData,$H316,f_Name))," ","^",LEN(TRIM(INDEX(FormData,$H316,f_Name)))-LEN(SUBSTITUTE(TRIM(INDEX(FormData,$H316,f_Name))," ",""))))+1,1),"")),""))</f>
        <v/>
      </c>
      <c r="E316" s="16">
        <f>IF($H316="","",IFERROR(INDEX(EvID,MATCH(INDEX(FormData,$H316,f_Event),EvID,0)),IFERROR(INDEX(EvID,MATCH(INDEX(FormData,$H316,f_Event),EvName,0)),IFERROR(INDEX(EvID,MATCH(INT($C316),EvDate,0)),"(no event that day)"))))</f>
        <v/>
      </c>
      <c r="F316" s="16">
        <f>IF($H316="","",IFERROR(IF(SUMPRODUCT(MAX((WhoKW&lt;&gt;"")*ISNUMBER(SEARCH(WhoKW,INDEX(FormData,$H316,f_Who)&amp;""))*(ROW(WhoKW)-MIN(ROW(WhoKW))+1)))=0,"",INDEX(WhoVal,SUMPRODUCT(MAX((WhoKW&lt;&gt;"")*ISNUMBER(SEARCH(WhoKW,INDEX(FormData,$H316,f_Who)&amp;""))*(ROW(WhoKW)-MIN(ROW(WhoKW))+1))))),""))</f>
        <v/>
      </c>
      <c r="G316" s="14">
        <f>IF($H316="","",IF(COUNTIF(People!$U$5:$U$604,$B316)+COUNTIF(People!$U$5:$U$604,$B316&amp;"")&gt;0,"✓ logged","→ add"))</f>
        <v/>
      </c>
      <c r="H316">
        <f>IFERROR(IF(INDEX(FormData,313,f_Id)&amp;""="","",313),"")</f>
        <v/>
      </c>
      <c r="I316" s="16">
        <f>IF($H316="","",IFERROR(INDEX(FormData,$H316,f_Need)&amp;"",""))</f>
        <v/>
      </c>
    </row>
    <row r="317">
      <c r="A317" s="14" t="n">
        <v>313</v>
      </c>
      <c r="B317" s="14">
        <f>IF($H317="","",INDEX(FormData,$H317,f_Id))</f>
        <v/>
      </c>
      <c r="C317" s="15">
        <f>IF($H317="","",IFERROR(INDEX(FormData,$H317,f_Time),""))</f>
        <v/>
      </c>
      <c r="D317" s="14">
        <f>IF($H317="","",IFERROR(UPPER(LEFT(TRIM(INDEX(FormData,$H317,f_Name)),1)&amp;IFERROR(MID(TRIM(INDEX(FormData,$H317,f_Name)),FIND("^",SUBSTITUTE(TRIM(INDEX(FormData,$H317,f_Name))," ","^",LEN(TRIM(INDEX(FormData,$H317,f_Name)))-LEN(SUBSTITUTE(TRIM(INDEX(FormData,$H317,f_Name))," ",""))))+1,1),"")),""))</f>
        <v/>
      </c>
      <c r="E317" s="16">
        <f>IF($H317="","",IFERROR(INDEX(EvID,MATCH(INDEX(FormData,$H317,f_Event),EvID,0)),IFERROR(INDEX(EvID,MATCH(INDEX(FormData,$H317,f_Event),EvName,0)),IFERROR(INDEX(EvID,MATCH(INT($C317),EvDate,0)),"(no event that day)"))))</f>
        <v/>
      </c>
      <c r="F317" s="16">
        <f>IF($H317="","",IFERROR(IF(SUMPRODUCT(MAX((WhoKW&lt;&gt;"")*ISNUMBER(SEARCH(WhoKW,INDEX(FormData,$H317,f_Who)&amp;""))*(ROW(WhoKW)-MIN(ROW(WhoKW))+1)))=0,"",INDEX(WhoVal,SUMPRODUCT(MAX((WhoKW&lt;&gt;"")*ISNUMBER(SEARCH(WhoKW,INDEX(FormData,$H317,f_Who)&amp;""))*(ROW(WhoKW)-MIN(ROW(WhoKW))+1))))),""))</f>
        <v/>
      </c>
      <c r="G317" s="14">
        <f>IF($H317="","",IF(COUNTIF(People!$U$5:$U$604,$B317)+COUNTIF(People!$U$5:$U$604,$B317&amp;"")&gt;0,"✓ logged","→ add"))</f>
        <v/>
      </c>
      <c r="H317">
        <f>IFERROR(IF(INDEX(FormData,314,f_Id)&amp;""="","",314),"")</f>
        <v/>
      </c>
      <c r="I317" s="16">
        <f>IF($H317="","",IFERROR(INDEX(FormData,$H317,f_Need)&amp;"",""))</f>
        <v/>
      </c>
    </row>
    <row r="318">
      <c r="A318" s="14" t="n">
        <v>314</v>
      </c>
      <c r="B318" s="14">
        <f>IF($H318="","",INDEX(FormData,$H318,f_Id))</f>
        <v/>
      </c>
      <c r="C318" s="15">
        <f>IF($H318="","",IFERROR(INDEX(FormData,$H318,f_Time),""))</f>
        <v/>
      </c>
      <c r="D318" s="14">
        <f>IF($H318="","",IFERROR(UPPER(LEFT(TRIM(INDEX(FormData,$H318,f_Name)),1)&amp;IFERROR(MID(TRIM(INDEX(FormData,$H318,f_Name)),FIND("^",SUBSTITUTE(TRIM(INDEX(FormData,$H318,f_Name))," ","^",LEN(TRIM(INDEX(FormData,$H318,f_Name)))-LEN(SUBSTITUTE(TRIM(INDEX(FormData,$H318,f_Name))," ",""))))+1,1),"")),""))</f>
        <v/>
      </c>
      <c r="E318" s="16">
        <f>IF($H318="","",IFERROR(INDEX(EvID,MATCH(INDEX(FormData,$H318,f_Event),EvID,0)),IFERROR(INDEX(EvID,MATCH(INDEX(FormData,$H318,f_Event),EvName,0)),IFERROR(INDEX(EvID,MATCH(INT($C318),EvDate,0)),"(no event that day)"))))</f>
        <v/>
      </c>
      <c r="F318" s="16">
        <f>IF($H318="","",IFERROR(IF(SUMPRODUCT(MAX((WhoKW&lt;&gt;"")*ISNUMBER(SEARCH(WhoKW,INDEX(FormData,$H318,f_Who)&amp;""))*(ROW(WhoKW)-MIN(ROW(WhoKW))+1)))=0,"",INDEX(WhoVal,SUMPRODUCT(MAX((WhoKW&lt;&gt;"")*ISNUMBER(SEARCH(WhoKW,INDEX(FormData,$H318,f_Who)&amp;""))*(ROW(WhoKW)-MIN(ROW(WhoKW))+1))))),""))</f>
        <v/>
      </c>
      <c r="G318" s="14">
        <f>IF($H318="","",IF(COUNTIF(People!$U$5:$U$604,$B318)+COUNTIF(People!$U$5:$U$604,$B318&amp;"")&gt;0,"✓ logged","→ add"))</f>
        <v/>
      </c>
      <c r="H318">
        <f>IFERROR(IF(INDEX(FormData,315,f_Id)&amp;""="","",315),"")</f>
        <v/>
      </c>
      <c r="I318" s="16">
        <f>IF($H318="","",IFERROR(INDEX(FormData,$H318,f_Need)&amp;"",""))</f>
        <v/>
      </c>
    </row>
    <row r="319">
      <c r="A319" s="14" t="n">
        <v>315</v>
      </c>
      <c r="B319" s="14">
        <f>IF($H319="","",INDEX(FormData,$H319,f_Id))</f>
        <v/>
      </c>
      <c r="C319" s="15">
        <f>IF($H319="","",IFERROR(INDEX(FormData,$H319,f_Time),""))</f>
        <v/>
      </c>
      <c r="D319" s="14">
        <f>IF($H319="","",IFERROR(UPPER(LEFT(TRIM(INDEX(FormData,$H319,f_Name)),1)&amp;IFERROR(MID(TRIM(INDEX(FormData,$H319,f_Name)),FIND("^",SUBSTITUTE(TRIM(INDEX(FormData,$H319,f_Name))," ","^",LEN(TRIM(INDEX(FormData,$H319,f_Name)))-LEN(SUBSTITUTE(TRIM(INDEX(FormData,$H319,f_Name))," ",""))))+1,1),"")),""))</f>
        <v/>
      </c>
      <c r="E319" s="16">
        <f>IF($H319="","",IFERROR(INDEX(EvID,MATCH(INDEX(FormData,$H319,f_Event),EvID,0)),IFERROR(INDEX(EvID,MATCH(INDEX(FormData,$H319,f_Event),EvName,0)),IFERROR(INDEX(EvID,MATCH(INT($C319),EvDate,0)),"(no event that day)"))))</f>
        <v/>
      </c>
      <c r="F319" s="16">
        <f>IF($H319="","",IFERROR(IF(SUMPRODUCT(MAX((WhoKW&lt;&gt;"")*ISNUMBER(SEARCH(WhoKW,INDEX(FormData,$H319,f_Who)&amp;""))*(ROW(WhoKW)-MIN(ROW(WhoKW))+1)))=0,"",INDEX(WhoVal,SUMPRODUCT(MAX((WhoKW&lt;&gt;"")*ISNUMBER(SEARCH(WhoKW,INDEX(FormData,$H319,f_Who)&amp;""))*(ROW(WhoKW)-MIN(ROW(WhoKW))+1))))),""))</f>
        <v/>
      </c>
      <c r="G319" s="14">
        <f>IF($H319="","",IF(COUNTIF(People!$U$5:$U$604,$B319)+COUNTIF(People!$U$5:$U$604,$B319&amp;"")&gt;0,"✓ logged","→ add"))</f>
        <v/>
      </c>
      <c r="H319">
        <f>IFERROR(IF(INDEX(FormData,316,f_Id)&amp;""="","",316),"")</f>
        <v/>
      </c>
      <c r="I319" s="16">
        <f>IF($H319="","",IFERROR(INDEX(FormData,$H319,f_Need)&amp;"",""))</f>
        <v/>
      </c>
    </row>
    <row r="320">
      <c r="A320" s="14" t="n">
        <v>316</v>
      </c>
      <c r="B320" s="14">
        <f>IF($H320="","",INDEX(FormData,$H320,f_Id))</f>
        <v/>
      </c>
      <c r="C320" s="15">
        <f>IF($H320="","",IFERROR(INDEX(FormData,$H320,f_Time),""))</f>
        <v/>
      </c>
      <c r="D320" s="14">
        <f>IF($H320="","",IFERROR(UPPER(LEFT(TRIM(INDEX(FormData,$H320,f_Name)),1)&amp;IFERROR(MID(TRIM(INDEX(FormData,$H320,f_Name)),FIND("^",SUBSTITUTE(TRIM(INDEX(FormData,$H320,f_Name))," ","^",LEN(TRIM(INDEX(FormData,$H320,f_Name)))-LEN(SUBSTITUTE(TRIM(INDEX(FormData,$H320,f_Name))," ",""))))+1,1),"")),""))</f>
        <v/>
      </c>
      <c r="E320" s="16">
        <f>IF($H320="","",IFERROR(INDEX(EvID,MATCH(INDEX(FormData,$H320,f_Event),EvID,0)),IFERROR(INDEX(EvID,MATCH(INDEX(FormData,$H320,f_Event),EvName,0)),IFERROR(INDEX(EvID,MATCH(INT($C320),EvDate,0)),"(no event that day)"))))</f>
        <v/>
      </c>
      <c r="F320" s="16">
        <f>IF($H320="","",IFERROR(IF(SUMPRODUCT(MAX((WhoKW&lt;&gt;"")*ISNUMBER(SEARCH(WhoKW,INDEX(FormData,$H320,f_Who)&amp;""))*(ROW(WhoKW)-MIN(ROW(WhoKW))+1)))=0,"",INDEX(WhoVal,SUMPRODUCT(MAX((WhoKW&lt;&gt;"")*ISNUMBER(SEARCH(WhoKW,INDEX(FormData,$H320,f_Who)&amp;""))*(ROW(WhoKW)-MIN(ROW(WhoKW))+1))))),""))</f>
        <v/>
      </c>
      <c r="G320" s="14">
        <f>IF($H320="","",IF(COUNTIF(People!$U$5:$U$604,$B320)+COUNTIF(People!$U$5:$U$604,$B320&amp;"")&gt;0,"✓ logged","→ add"))</f>
        <v/>
      </c>
      <c r="H320">
        <f>IFERROR(IF(INDEX(FormData,317,f_Id)&amp;""="","",317),"")</f>
        <v/>
      </c>
      <c r="I320" s="16">
        <f>IF($H320="","",IFERROR(INDEX(FormData,$H320,f_Need)&amp;"",""))</f>
        <v/>
      </c>
    </row>
    <row r="321">
      <c r="A321" s="14" t="n">
        <v>317</v>
      </c>
      <c r="B321" s="14">
        <f>IF($H321="","",INDEX(FormData,$H321,f_Id))</f>
        <v/>
      </c>
      <c r="C321" s="15">
        <f>IF($H321="","",IFERROR(INDEX(FormData,$H321,f_Time),""))</f>
        <v/>
      </c>
      <c r="D321" s="14">
        <f>IF($H321="","",IFERROR(UPPER(LEFT(TRIM(INDEX(FormData,$H321,f_Name)),1)&amp;IFERROR(MID(TRIM(INDEX(FormData,$H321,f_Name)),FIND("^",SUBSTITUTE(TRIM(INDEX(FormData,$H321,f_Name))," ","^",LEN(TRIM(INDEX(FormData,$H321,f_Name)))-LEN(SUBSTITUTE(TRIM(INDEX(FormData,$H321,f_Name))," ",""))))+1,1),"")),""))</f>
        <v/>
      </c>
      <c r="E321" s="16">
        <f>IF($H321="","",IFERROR(INDEX(EvID,MATCH(INDEX(FormData,$H321,f_Event),EvID,0)),IFERROR(INDEX(EvID,MATCH(INDEX(FormData,$H321,f_Event),EvName,0)),IFERROR(INDEX(EvID,MATCH(INT($C321),EvDate,0)),"(no event that day)"))))</f>
        <v/>
      </c>
      <c r="F321" s="16">
        <f>IF($H321="","",IFERROR(IF(SUMPRODUCT(MAX((WhoKW&lt;&gt;"")*ISNUMBER(SEARCH(WhoKW,INDEX(FormData,$H321,f_Who)&amp;""))*(ROW(WhoKW)-MIN(ROW(WhoKW))+1)))=0,"",INDEX(WhoVal,SUMPRODUCT(MAX((WhoKW&lt;&gt;"")*ISNUMBER(SEARCH(WhoKW,INDEX(FormData,$H321,f_Who)&amp;""))*(ROW(WhoKW)-MIN(ROW(WhoKW))+1))))),""))</f>
        <v/>
      </c>
      <c r="G321" s="14">
        <f>IF($H321="","",IF(COUNTIF(People!$U$5:$U$604,$B321)+COUNTIF(People!$U$5:$U$604,$B321&amp;"")&gt;0,"✓ logged","→ add"))</f>
        <v/>
      </c>
      <c r="H321">
        <f>IFERROR(IF(INDEX(FormData,318,f_Id)&amp;""="","",318),"")</f>
        <v/>
      </c>
      <c r="I321" s="16">
        <f>IF($H321="","",IFERROR(INDEX(FormData,$H321,f_Need)&amp;"",""))</f>
        <v/>
      </c>
    </row>
    <row r="322">
      <c r="A322" s="14" t="n">
        <v>318</v>
      </c>
      <c r="B322" s="14">
        <f>IF($H322="","",INDEX(FormData,$H322,f_Id))</f>
        <v/>
      </c>
      <c r="C322" s="15">
        <f>IF($H322="","",IFERROR(INDEX(FormData,$H322,f_Time),""))</f>
        <v/>
      </c>
      <c r="D322" s="14">
        <f>IF($H322="","",IFERROR(UPPER(LEFT(TRIM(INDEX(FormData,$H322,f_Name)),1)&amp;IFERROR(MID(TRIM(INDEX(FormData,$H322,f_Name)),FIND("^",SUBSTITUTE(TRIM(INDEX(FormData,$H322,f_Name))," ","^",LEN(TRIM(INDEX(FormData,$H322,f_Name)))-LEN(SUBSTITUTE(TRIM(INDEX(FormData,$H322,f_Name))," ",""))))+1,1),"")),""))</f>
        <v/>
      </c>
      <c r="E322" s="16">
        <f>IF($H322="","",IFERROR(INDEX(EvID,MATCH(INDEX(FormData,$H322,f_Event),EvID,0)),IFERROR(INDEX(EvID,MATCH(INDEX(FormData,$H322,f_Event),EvName,0)),IFERROR(INDEX(EvID,MATCH(INT($C322),EvDate,0)),"(no event that day)"))))</f>
        <v/>
      </c>
      <c r="F322" s="16">
        <f>IF($H322="","",IFERROR(IF(SUMPRODUCT(MAX((WhoKW&lt;&gt;"")*ISNUMBER(SEARCH(WhoKW,INDEX(FormData,$H322,f_Who)&amp;""))*(ROW(WhoKW)-MIN(ROW(WhoKW))+1)))=0,"",INDEX(WhoVal,SUMPRODUCT(MAX((WhoKW&lt;&gt;"")*ISNUMBER(SEARCH(WhoKW,INDEX(FormData,$H322,f_Who)&amp;""))*(ROW(WhoKW)-MIN(ROW(WhoKW))+1))))),""))</f>
        <v/>
      </c>
      <c r="G322" s="14">
        <f>IF($H322="","",IF(COUNTIF(People!$U$5:$U$604,$B322)+COUNTIF(People!$U$5:$U$604,$B322&amp;"")&gt;0,"✓ logged","→ add"))</f>
        <v/>
      </c>
      <c r="H322">
        <f>IFERROR(IF(INDEX(FormData,319,f_Id)&amp;""="","",319),"")</f>
        <v/>
      </c>
      <c r="I322" s="16">
        <f>IF($H322="","",IFERROR(INDEX(FormData,$H322,f_Need)&amp;"",""))</f>
        <v/>
      </c>
    </row>
    <row r="323">
      <c r="A323" s="14" t="n">
        <v>319</v>
      </c>
      <c r="B323" s="14">
        <f>IF($H323="","",INDEX(FormData,$H323,f_Id))</f>
        <v/>
      </c>
      <c r="C323" s="15">
        <f>IF($H323="","",IFERROR(INDEX(FormData,$H323,f_Time),""))</f>
        <v/>
      </c>
      <c r="D323" s="14">
        <f>IF($H323="","",IFERROR(UPPER(LEFT(TRIM(INDEX(FormData,$H323,f_Name)),1)&amp;IFERROR(MID(TRIM(INDEX(FormData,$H323,f_Name)),FIND("^",SUBSTITUTE(TRIM(INDEX(FormData,$H323,f_Name))," ","^",LEN(TRIM(INDEX(FormData,$H323,f_Name)))-LEN(SUBSTITUTE(TRIM(INDEX(FormData,$H323,f_Name))," ",""))))+1,1),"")),""))</f>
        <v/>
      </c>
      <c r="E323" s="16">
        <f>IF($H323="","",IFERROR(INDEX(EvID,MATCH(INDEX(FormData,$H323,f_Event),EvID,0)),IFERROR(INDEX(EvID,MATCH(INDEX(FormData,$H323,f_Event),EvName,0)),IFERROR(INDEX(EvID,MATCH(INT($C323),EvDate,0)),"(no event that day)"))))</f>
        <v/>
      </c>
      <c r="F323" s="16">
        <f>IF($H323="","",IFERROR(IF(SUMPRODUCT(MAX((WhoKW&lt;&gt;"")*ISNUMBER(SEARCH(WhoKW,INDEX(FormData,$H323,f_Who)&amp;""))*(ROW(WhoKW)-MIN(ROW(WhoKW))+1)))=0,"",INDEX(WhoVal,SUMPRODUCT(MAX((WhoKW&lt;&gt;"")*ISNUMBER(SEARCH(WhoKW,INDEX(FormData,$H323,f_Who)&amp;""))*(ROW(WhoKW)-MIN(ROW(WhoKW))+1))))),""))</f>
        <v/>
      </c>
      <c r="G323" s="14">
        <f>IF($H323="","",IF(COUNTIF(People!$U$5:$U$604,$B323)+COUNTIF(People!$U$5:$U$604,$B323&amp;"")&gt;0,"✓ logged","→ add"))</f>
        <v/>
      </c>
      <c r="H323">
        <f>IFERROR(IF(INDEX(FormData,320,f_Id)&amp;""="","",320),"")</f>
        <v/>
      </c>
      <c r="I323" s="16">
        <f>IF($H323="","",IFERROR(INDEX(FormData,$H323,f_Need)&amp;"",""))</f>
        <v/>
      </c>
    </row>
    <row r="324">
      <c r="A324" s="14" t="n">
        <v>320</v>
      </c>
      <c r="B324" s="14">
        <f>IF($H324="","",INDEX(FormData,$H324,f_Id))</f>
        <v/>
      </c>
      <c r="C324" s="15">
        <f>IF($H324="","",IFERROR(INDEX(FormData,$H324,f_Time),""))</f>
        <v/>
      </c>
      <c r="D324" s="14">
        <f>IF($H324="","",IFERROR(UPPER(LEFT(TRIM(INDEX(FormData,$H324,f_Name)),1)&amp;IFERROR(MID(TRIM(INDEX(FormData,$H324,f_Name)),FIND("^",SUBSTITUTE(TRIM(INDEX(FormData,$H324,f_Name))," ","^",LEN(TRIM(INDEX(FormData,$H324,f_Name)))-LEN(SUBSTITUTE(TRIM(INDEX(FormData,$H324,f_Name))," ",""))))+1,1),"")),""))</f>
        <v/>
      </c>
      <c r="E324" s="16">
        <f>IF($H324="","",IFERROR(INDEX(EvID,MATCH(INDEX(FormData,$H324,f_Event),EvID,0)),IFERROR(INDEX(EvID,MATCH(INDEX(FormData,$H324,f_Event),EvName,0)),IFERROR(INDEX(EvID,MATCH(INT($C324),EvDate,0)),"(no event that day)"))))</f>
        <v/>
      </c>
      <c r="F324" s="16">
        <f>IF($H324="","",IFERROR(IF(SUMPRODUCT(MAX((WhoKW&lt;&gt;"")*ISNUMBER(SEARCH(WhoKW,INDEX(FormData,$H324,f_Who)&amp;""))*(ROW(WhoKW)-MIN(ROW(WhoKW))+1)))=0,"",INDEX(WhoVal,SUMPRODUCT(MAX((WhoKW&lt;&gt;"")*ISNUMBER(SEARCH(WhoKW,INDEX(FormData,$H324,f_Who)&amp;""))*(ROW(WhoKW)-MIN(ROW(WhoKW))+1))))),""))</f>
        <v/>
      </c>
      <c r="G324" s="14">
        <f>IF($H324="","",IF(COUNTIF(People!$U$5:$U$604,$B324)+COUNTIF(People!$U$5:$U$604,$B324&amp;"")&gt;0,"✓ logged","→ add"))</f>
        <v/>
      </c>
      <c r="H324">
        <f>IFERROR(IF(INDEX(FormData,321,f_Id)&amp;""="","",321),"")</f>
        <v/>
      </c>
      <c r="I324" s="16">
        <f>IF($H324="","",IFERROR(INDEX(FormData,$H324,f_Need)&amp;"",""))</f>
        <v/>
      </c>
    </row>
    <row r="325">
      <c r="A325" s="14" t="n">
        <v>321</v>
      </c>
      <c r="B325" s="14">
        <f>IF($H325="","",INDEX(FormData,$H325,f_Id))</f>
        <v/>
      </c>
      <c r="C325" s="15">
        <f>IF($H325="","",IFERROR(INDEX(FormData,$H325,f_Time),""))</f>
        <v/>
      </c>
      <c r="D325" s="14">
        <f>IF($H325="","",IFERROR(UPPER(LEFT(TRIM(INDEX(FormData,$H325,f_Name)),1)&amp;IFERROR(MID(TRIM(INDEX(FormData,$H325,f_Name)),FIND("^",SUBSTITUTE(TRIM(INDEX(FormData,$H325,f_Name))," ","^",LEN(TRIM(INDEX(FormData,$H325,f_Name)))-LEN(SUBSTITUTE(TRIM(INDEX(FormData,$H325,f_Name))," ",""))))+1,1),"")),""))</f>
        <v/>
      </c>
      <c r="E325" s="16">
        <f>IF($H325="","",IFERROR(INDEX(EvID,MATCH(INDEX(FormData,$H325,f_Event),EvID,0)),IFERROR(INDEX(EvID,MATCH(INDEX(FormData,$H325,f_Event),EvName,0)),IFERROR(INDEX(EvID,MATCH(INT($C325),EvDate,0)),"(no event that day)"))))</f>
        <v/>
      </c>
      <c r="F325" s="16">
        <f>IF($H325="","",IFERROR(IF(SUMPRODUCT(MAX((WhoKW&lt;&gt;"")*ISNUMBER(SEARCH(WhoKW,INDEX(FormData,$H325,f_Who)&amp;""))*(ROW(WhoKW)-MIN(ROW(WhoKW))+1)))=0,"",INDEX(WhoVal,SUMPRODUCT(MAX((WhoKW&lt;&gt;"")*ISNUMBER(SEARCH(WhoKW,INDEX(FormData,$H325,f_Who)&amp;""))*(ROW(WhoKW)-MIN(ROW(WhoKW))+1))))),""))</f>
        <v/>
      </c>
      <c r="G325" s="14">
        <f>IF($H325="","",IF(COUNTIF(People!$U$5:$U$604,$B325)+COUNTIF(People!$U$5:$U$604,$B325&amp;"")&gt;0,"✓ logged","→ add"))</f>
        <v/>
      </c>
      <c r="H325">
        <f>IFERROR(IF(INDEX(FormData,322,f_Id)&amp;""="","",322),"")</f>
        <v/>
      </c>
      <c r="I325" s="16">
        <f>IF($H325="","",IFERROR(INDEX(FormData,$H325,f_Need)&amp;"",""))</f>
        <v/>
      </c>
    </row>
    <row r="326">
      <c r="A326" s="14" t="n">
        <v>322</v>
      </c>
      <c r="B326" s="14">
        <f>IF($H326="","",INDEX(FormData,$H326,f_Id))</f>
        <v/>
      </c>
      <c r="C326" s="15">
        <f>IF($H326="","",IFERROR(INDEX(FormData,$H326,f_Time),""))</f>
        <v/>
      </c>
      <c r="D326" s="14">
        <f>IF($H326="","",IFERROR(UPPER(LEFT(TRIM(INDEX(FormData,$H326,f_Name)),1)&amp;IFERROR(MID(TRIM(INDEX(FormData,$H326,f_Name)),FIND("^",SUBSTITUTE(TRIM(INDEX(FormData,$H326,f_Name))," ","^",LEN(TRIM(INDEX(FormData,$H326,f_Name)))-LEN(SUBSTITUTE(TRIM(INDEX(FormData,$H326,f_Name))," ",""))))+1,1),"")),""))</f>
        <v/>
      </c>
      <c r="E326" s="16">
        <f>IF($H326="","",IFERROR(INDEX(EvID,MATCH(INDEX(FormData,$H326,f_Event),EvID,0)),IFERROR(INDEX(EvID,MATCH(INDEX(FormData,$H326,f_Event),EvName,0)),IFERROR(INDEX(EvID,MATCH(INT($C326),EvDate,0)),"(no event that day)"))))</f>
        <v/>
      </c>
      <c r="F326" s="16">
        <f>IF($H326="","",IFERROR(IF(SUMPRODUCT(MAX((WhoKW&lt;&gt;"")*ISNUMBER(SEARCH(WhoKW,INDEX(FormData,$H326,f_Who)&amp;""))*(ROW(WhoKW)-MIN(ROW(WhoKW))+1)))=0,"",INDEX(WhoVal,SUMPRODUCT(MAX((WhoKW&lt;&gt;"")*ISNUMBER(SEARCH(WhoKW,INDEX(FormData,$H326,f_Who)&amp;""))*(ROW(WhoKW)-MIN(ROW(WhoKW))+1))))),""))</f>
        <v/>
      </c>
      <c r="G326" s="14">
        <f>IF($H326="","",IF(COUNTIF(People!$U$5:$U$604,$B326)+COUNTIF(People!$U$5:$U$604,$B326&amp;"")&gt;0,"✓ logged","→ add"))</f>
        <v/>
      </c>
      <c r="H326">
        <f>IFERROR(IF(INDEX(FormData,323,f_Id)&amp;""="","",323),"")</f>
        <v/>
      </c>
      <c r="I326" s="16">
        <f>IF($H326="","",IFERROR(INDEX(FormData,$H326,f_Need)&amp;"",""))</f>
        <v/>
      </c>
    </row>
    <row r="327">
      <c r="A327" s="14" t="n">
        <v>323</v>
      </c>
      <c r="B327" s="14">
        <f>IF($H327="","",INDEX(FormData,$H327,f_Id))</f>
        <v/>
      </c>
      <c r="C327" s="15">
        <f>IF($H327="","",IFERROR(INDEX(FormData,$H327,f_Time),""))</f>
        <v/>
      </c>
      <c r="D327" s="14">
        <f>IF($H327="","",IFERROR(UPPER(LEFT(TRIM(INDEX(FormData,$H327,f_Name)),1)&amp;IFERROR(MID(TRIM(INDEX(FormData,$H327,f_Name)),FIND("^",SUBSTITUTE(TRIM(INDEX(FormData,$H327,f_Name))," ","^",LEN(TRIM(INDEX(FormData,$H327,f_Name)))-LEN(SUBSTITUTE(TRIM(INDEX(FormData,$H327,f_Name))," ",""))))+1,1),"")),""))</f>
        <v/>
      </c>
      <c r="E327" s="16">
        <f>IF($H327="","",IFERROR(INDEX(EvID,MATCH(INDEX(FormData,$H327,f_Event),EvID,0)),IFERROR(INDEX(EvID,MATCH(INDEX(FormData,$H327,f_Event),EvName,0)),IFERROR(INDEX(EvID,MATCH(INT($C327),EvDate,0)),"(no event that day)"))))</f>
        <v/>
      </c>
      <c r="F327" s="16">
        <f>IF($H327="","",IFERROR(IF(SUMPRODUCT(MAX((WhoKW&lt;&gt;"")*ISNUMBER(SEARCH(WhoKW,INDEX(FormData,$H327,f_Who)&amp;""))*(ROW(WhoKW)-MIN(ROW(WhoKW))+1)))=0,"",INDEX(WhoVal,SUMPRODUCT(MAX((WhoKW&lt;&gt;"")*ISNUMBER(SEARCH(WhoKW,INDEX(FormData,$H327,f_Who)&amp;""))*(ROW(WhoKW)-MIN(ROW(WhoKW))+1))))),""))</f>
        <v/>
      </c>
      <c r="G327" s="14">
        <f>IF($H327="","",IF(COUNTIF(People!$U$5:$U$604,$B327)+COUNTIF(People!$U$5:$U$604,$B327&amp;"")&gt;0,"✓ logged","→ add"))</f>
        <v/>
      </c>
      <c r="H327">
        <f>IFERROR(IF(INDEX(FormData,324,f_Id)&amp;""="","",324),"")</f>
        <v/>
      </c>
      <c r="I327" s="16">
        <f>IF($H327="","",IFERROR(INDEX(FormData,$H327,f_Need)&amp;"",""))</f>
        <v/>
      </c>
    </row>
    <row r="328">
      <c r="A328" s="14" t="n">
        <v>324</v>
      </c>
      <c r="B328" s="14">
        <f>IF($H328="","",INDEX(FormData,$H328,f_Id))</f>
        <v/>
      </c>
      <c r="C328" s="15">
        <f>IF($H328="","",IFERROR(INDEX(FormData,$H328,f_Time),""))</f>
        <v/>
      </c>
      <c r="D328" s="14">
        <f>IF($H328="","",IFERROR(UPPER(LEFT(TRIM(INDEX(FormData,$H328,f_Name)),1)&amp;IFERROR(MID(TRIM(INDEX(FormData,$H328,f_Name)),FIND("^",SUBSTITUTE(TRIM(INDEX(FormData,$H328,f_Name))," ","^",LEN(TRIM(INDEX(FormData,$H328,f_Name)))-LEN(SUBSTITUTE(TRIM(INDEX(FormData,$H328,f_Name))," ",""))))+1,1),"")),""))</f>
        <v/>
      </c>
      <c r="E328" s="16">
        <f>IF($H328="","",IFERROR(INDEX(EvID,MATCH(INDEX(FormData,$H328,f_Event),EvID,0)),IFERROR(INDEX(EvID,MATCH(INDEX(FormData,$H328,f_Event),EvName,0)),IFERROR(INDEX(EvID,MATCH(INT($C328),EvDate,0)),"(no event that day)"))))</f>
        <v/>
      </c>
      <c r="F328" s="16">
        <f>IF($H328="","",IFERROR(IF(SUMPRODUCT(MAX((WhoKW&lt;&gt;"")*ISNUMBER(SEARCH(WhoKW,INDEX(FormData,$H328,f_Who)&amp;""))*(ROW(WhoKW)-MIN(ROW(WhoKW))+1)))=0,"",INDEX(WhoVal,SUMPRODUCT(MAX((WhoKW&lt;&gt;"")*ISNUMBER(SEARCH(WhoKW,INDEX(FormData,$H328,f_Who)&amp;""))*(ROW(WhoKW)-MIN(ROW(WhoKW))+1))))),""))</f>
        <v/>
      </c>
      <c r="G328" s="14">
        <f>IF($H328="","",IF(COUNTIF(People!$U$5:$U$604,$B328)+COUNTIF(People!$U$5:$U$604,$B328&amp;"")&gt;0,"✓ logged","→ add"))</f>
        <v/>
      </c>
      <c r="H328">
        <f>IFERROR(IF(INDEX(FormData,325,f_Id)&amp;""="","",325),"")</f>
        <v/>
      </c>
      <c r="I328" s="16">
        <f>IF($H328="","",IFERROR(INDEX(FormData,$H328,f_Need)&amp;"",""))</f>
        <v/>
      </c>
    </row>
    <row r="329">
      <c r="A329" s="14" t="n">
        <v>325</v>
      </c>
      <c r="B329" s="14">
        <f>IF($H329="","",INDEX(FormData,$H329,f_Id))</f>
        <v/>
      </c>
      <c r="C329" s="15">
        <f>IF($H329="","",IFERROR(INDEX(FormData,$H329,f_Time),""))</f>
        <v/>
      </c>
      <c r="D329" s="14">
        <f>IF($H329="","",IFERROR(UPPER(LEFT(TRIM(INDEX(FormData,$H329,f_Name)),1)&amp;IFERROR(MID(TRIM(INDEX(FormData,$H329,f_Name)),FIND("^",SUBSTITUTE(TRIM(INDEX(FormData,$H329,f_Name))," ","^",LEN(TRIM(INDEX(FormData,$H329,f_Name)))-LEN(SUBSTITUTE(TRIM(INDEX(FormData,$H329,f_Name))," ",""))))+1,1),"")),""))</f>
        <v/>
      </c>
      <c r="E329" s="16">
        <f>IF($H329="","",IFERROR(INDEX(EvID,MATCH(INDEX(FormData,$H329,f_Event),EvID,0)),IFERROR(INDEX(EvID,MATCH(INDEX(FormData,$H329,f_Event),EvName,0)),IFERROR(INDEX(EvID,MATCH(INT($C329),EvDate,0)),"(no event that day)"))))</f>
        <v/>
      </c>
      <c r="F329" s="16">
        <f>IF($H329="","",IFERROR(IF(SUMPRODUCT(MAX((WhoKW&lt;&gt;"")*ISNUMBER(SEARCH(WhoKW,INDEX(FormData,$H329,f_Who)&amp;""))*(ROW(WhoKW)-MIN(ROW(WhoKW))+1)))=0,"",INDEX(WhoVal,SUMPRODUCT(MAX((WhoKW&lt;&gt;"")*ISNUMBER(SEARCH(WhoKW,INDEX(FormData,$H329,f_Who)&amp;""))*(ROW(WhoKW)-MIN(ROW(WhoKW))+1))))),""))</f>
        <v/>
      </c>
      <c r="G329" s="14">
        <f>IF($H329="","",IF(COUNTIF(People!$U$5:$U$604,$B329)+COUNTIF(People!$U$5:$U$604,$B329&amp;"")&gt;0,"✓ logged","→ add"))</f>
        <v/>
      </c>
      <c r="H329">
        <f>IFERROR(IF(INDEX(FormData,326,f_Id)&amp;""="","",326),"")</f>
        <v/>
      </c>
      <c r="I329" s="16">
        <f>IF($H329="","",IFERROR(INDEX(FormData,$H329,f_Need)&amp;"",""))</f>
        <v/>
      </c>
    </row>
    <row r="330">
      <c r="A330" s="14" t="n">
        <v>326</v>
      </c>
      <c r="B330" s="14">
        <f>IF($H330="","",INDEX(FormData,$H330,f_Id))</f>
        <v/>
      </c>
      <c r="C330" s="15">
        <f>IF($H330="","",IFERROR(INDEX(FormData,$H330,f_Time),""))</f>
        <v/>
      </c>
      <c r="D330" s="14">
        <f>IF($H330="","",IFERROR(UPPER(LEFT(TRIM(INDEX(FormData,$H330,f_Name)),1)&amp;IFERROR(MID(TRIM(INDEX(FormData,$H330,f_Name)),FIND("^",SUBSTITUTE(TRIM(INDEX(FormData,$H330,f_Name))," ","^",LEN(TRIM(INDEX(FormData,$H330,f_Name)))-LEN(SUBSTITUTE(TRIM(INDEX(FormData,$H330,f_Name))," ",""))))+1,1),"")),""))</f>
        <v/>
      </c>
      <c r="E330" s="16">
        <f>IF($H330="","",IFERROR(INDEX(EvID,MATCH(INDEX(FormData,$H330,f_Event),EvID,0)),IFERROR(INDEX(EvID,MATCH(INDEX(FormData,$H330,f_Event),EvName,0)),IFERROR(INDEX(EvID,MATCH(INT($C330),EvDate,0)),"(no event that day)"))))</f>
        <v/>
      </c>
      <c r="F330" s="16">
        <f>IF($H330="","",IFERROR(IF(SUMPRODUCT(MAX((WhoKW&lt;&gt;"")*ISNUMBER(SEARCH(WhoKW,INDEX(FormData,$H330,f_Who)&amp;""))*(ROW(WhoKW)-MIN(ROW(WhoKW))+1)))=0,"",INDEX(WhoVal,SUMPRODUCT(MAX((WhoKW&lt;&gt;"")*ISNUMBER(SEARCH(WhoKW,INDEX(FormData,$H330,f_Who)&amp;""))*(ROW(WhoKW)-MIN(ROW(WhoKW))+1))))),""))</f>
        <v/>
      </c>
      <c r="G330" s="14">
        <f>IF($H330="","",IF(COUNTIF(People!$U$5:$U$604,$B330)+COUNTIF(People!$U$5:$U$604,$B330&amp;"")&gt;0,"✓ logged","→ add"))</f>
        <v/>
      </c>
      <c r="H330">
        <f>IFERROR(IF(INDEX(FormData,327,f_Id)&amp;""="","",327),"")</f>
        <v/>
      </c>
      <c r="I330" s="16">
        <f>IF($H330="","",IFERROR(INDEX(FormData,$H330,f_Need)&amp;"",""))</f>
        <v/>
      </c>
    </row>
    <row r="331">
      <c r="A331" s="14" t="n">
        <v>327</v>
      </c>
      <c r="B331" s="14">
        <f>IF($H331="","",INDEX(FormData,$H331,f_Id))</f>
        <v/>
      </c>
      <c r="C331" s="15">
        <f>IF($H331="","",IFERROR(INDEX(FormData,$H331,f_Time),""))</f>
        <v/>
      </c>
      <c r="D331" s="14">
        <f>IF($H331="","",IFERROR(UPPER(LEFT(TRIM(INDEX(FormData,$H331,f_Name)),1)&amp;IFERROR(MID(TRIM(INDEX(FormData,$H331,f_Name)),FIND("^",SUBSTITUTE(TRIM(INDEX(FormData,$H331,f_Name))," ","^",LEN(TRIM(INDEX(FormData,$H331,f_Name)))-LEN(SUBSTITUTE(TRIM(INDEX(FormData,$H331,f_Name))," ",""))))+1,1),"")),""))</f>
        <v/>
      </c>
      <c r="E331" s="16">
        <f>IF($H331="","",IFERROR(INDEX(EvID,MATCH(INDEX(FormData,$H331,f_Event),EvID,0)),IFERROR(INDEX(EvID,MATCH(INDEX(FormData,$H331,f_Event),EvName,0)),IFERROR(INDEX(EvID,MATCH(INT($C331),EvDate,0)),"(no event that day)"))))</f>
        <v/>
      </c>
      <c r="F331" s="16">
        <f>IF($H331="","",IFERROR(IF(SUMPRODUCT(MAX((WhoKW&lt;&gt;"")*ISNUMBER(SEARCH(WhoKW,INDEX(FormData,$H331,f_Who)&amp;""))*(ROW(WhoKW)-MIN(ROW(WhoKW))+1)))=0,"",INDEX(WhoVal,SUMPRODUCT(MAX((WhoKW&lt;&gt;"")*ISNUMBER(SEARCH(WhoKW,INDEX(FormData,$H331,f_Who)&amp;""))*(ROW(WhoKW)-MIN(ROW(WhoKW))+1))))),""))</f>
        <v/>
      </c>
      <c r="G331" s="14">
        <f>IF($H331="","",IF(COUNTIF(People!$U$5:$U$604,$B331)+COUNTIF(People!$U$5:$U$604,$B331&amp;"")&gt;0,"✓ logged","→ add"))</f>
        <v/>
      </c>
      <c r="H331">
        <f>IFERROR(IF(INDEX(FormData,328,f_Id)&amp;""="","",328),"")</f>
        <v/>
      </c>
      <c r="I331" s="16">
        <f>IF($H331="","",IFERROR(INDEX(FormData,$H331,f_Need)&amp;"",""))</f>
        <v/>
      </c>
    </row>
    <row r="332">
      <c r="A332" s="14" t="n">
        <v>328</v>
      </c>
      <c r="B332" s="14">
        <f>IF($H332="","",INDEX(FormData,$H332,f_Id))</f>
        <v/>
      </c>
      <c r="C332" s="15">
        <f>IF($H332="","",IFERROR(INDEX(FormData,$H332,f_Time),""))</f>
        <v/>
      </c>
      <c r="D332" s="14">
        <f>IF($H332="","",IFERROR(UPPER(LEFT(TRIM(INDEX(FormData,$H332,f_Name)),1)&amp;IFERROR(MID(TRIM(INDEX(FormData,$H332,f_Name)),FIND("^",SUBSTITUTE(TRIM(INDEX(FormData,$H332,f_Name))," ","^",LEN(TRIM(INDEX(FormData,$H332,f_Name)))-LEN(SUBSTITUTE(TRIM(INDEX(FormData,$H332,f_Name))," ",""))))+1,1),"")),""))</f>
        <v/>
      </c>
      <c r="E332" s="16">
        <f>IF($H332="","",IFERROR(INDEX(EvID,MATCH(INDEX(FormData,$H332,f_Event),EvID,0)),IFERROR(INDEX(EvID,MATCH(INDEX(FormData,$H332,f_Event),EvName,0)),IFERROR(INDEX(EvID,MATCH(INT($C332),EvDate,0)),"(no event that day)"))))</f>
        <v/>
      </c>
      <c r="F332" s="16">
        <f>IF($H332="","",IFERROR(IF(SUMPRODUCT(MAX((WhoKW&lt;&gt;"")*ISNUMBER(SEARCH(WhoKW,INDEX(FormData,$H332,f_Who)&amp;""))*(ROW(WhoKW)-MIN(ROW(WhoKW))+1)))=0,"",INDEX(WhoVal,SUMPRODUCT(MAX((WhoKW&lt;&gt;"")*ISNUMBER(SEARCH(WhoKW,INDEX(FormData,$H332,f_Who)&amp;""))*(ROW(WhoKW)-MIN(ROW(WhoKW))+1))))),""))</f>
        <v/>
      </c>
      <c r="G332" s="14">
        <f>IF($H332="","",IF(COUNTIF(People!$U$5:$U$604,$B332)+COUNTIF(People!$U$5:$U$604,$B332&amp;"")&gt;0,"✓ logged","→ add"))</f>
        <v/>
      </c>
      <c r="H332">
        <f>IFERROR(IF(INDEX(FormData,329,f_Id)&amp;""="","",329),"")</f>
        <v/>
      </c>
      <c r="I332" s="16">
        <f>IF($H332="","",IFERROR(INDEX(FormData,$H332,f_Need)&amp;"",""))</f>
        <v/>
      </c>
    </row>
    <row r="333">
      <c r="A333" s="14" t="n">
        <v>329</v>
      </c>
      <c r="B333" s="14">
        <f>IF($H333="","",INDEX(FormData,$H333,f_Id))</f>
        <v/>
      </c>
      <c r="C333" s="15">
        <f>IF($H333="","",IFERROR(INDEX(FormData,$H333,f_Time),""))</f>
        <v/>
      </c>
      <c r="D333" s="14">
        <f>IF($H333="","",IFERROR(UPPER(LEFT(TRIM(INDEX(FormData,$H333,f_Name)),1)&amp;IFERROR(MID(TRIM(INDEX(FormData,$H333,f_Name)),FIND("^",SUBSTITUTE(TRIM(INDEX(FormData,$H333,f_Name))," ","^",LEN(TRIM(INDEX(FormData,$H333,f_Name)))-LEN(SUBSTITUTE(TRIM(INDEX(FormData,$H333,f_Name))," ",""))))+1,1),"")),""))</f>
        <v/>
      </c>
      <c r="E333" s="16">
        <f>IF($H333="","",IFERROR(INDEX(EvID,MATCH(INDEX(FormData,$H333,f_Event),EvID,0)),IFERROR(INDEX(EvID,MATCH(INDEX(FormData,$H333,f_Event),EvName,0)),IFERROR(INDEX(EvID,MATCH(INT($C333),EvDate,0)),"(no event that day)"))))</f>
        <v/>
      </c>
      <c r="F333" s="16">
        <f>IF($H333="","",IFERROR(IF(SUMPRODUCT(MAX((WhoKW&lt;&gt;"")*ISNUMBER(SEARCH(WhoKW,INDEX(FormData,$H333,f_Who)&amp;""))*(ROW(WhoKW)-MIN(ROW(WhoKW))+1)))=0,"",INDEX(WhoVal,SUMPRODUCT(MAX((WhoKW&lt;&gt;"")*ISNUMBER(SEARCH(WhoKW,INDEX(FormData,$H333,f_Who)&amp;""))*(ROW(WhoKW)-MIN(ROW(WhoKW))+1))))),""))</f>
        <v/>
      </c>
      <c r="G333" s="14">
        <f>IF($H333="","",IF(COUNTIF(People!$U$5:$U$604,$B333)+COUNTIF(People!$U$5:$U$604,$B333&amp;"")&gt;0,"✓ logged","→ add"))</f>
        <v/>
      </c>
      <c r="H333">
        <f>IFERROR(IF(INDEX(FormData,330,f_Id)&amp;""="","",330),"")</f>
        <v/>
      </c>
      <c r="I333" s="16">
        <f>IF($H333="","",IFERROR(INDEX(FormData,$H333,f_Need)&amp;"",""))</f>
        <v/>
      </c>
    </row>
    <row r="334">
      <c r="A334" s="14" t="n">
        <v>330</v>
      </c>
      <c r="B334" s="14">
        <f>IF($H334="","",INDEX(FormData,$H334,f_Id))</f>
        <v/>
      </c>
      <c r="C334" s="15">
        <f>IF($H334="","",IFERROR(INDEX(FormData,$H334,f_Time),""))</f>
        <v/>
      </c>
      <c r="D334" s="14">
        <f>IF($H334="","",IFERROR(UPPER(LEFT(TRIM(INDEX(FormData,$H334,f_Name)),1)&amp;IFERROR(MID(TRIM(INDEX(FormData,$H334,f_Name)),FIND("^",SUBSTITUTE(TRIM(INDEX(FormData,$H334,f_Name))," ","^",LEN(TRIM(INDEX(FormData,$H334,f_Name)))-LEN(SUBSTITUTE(TRIM(INDEX(FormData,$H334,f_Name))," ",""))))+1,1),"")),""))</f>
        <v/>
      </c>
      <c r="E334" s="16">
        <f>IF($H334="","",IFERROR(INDEX(EvID,MATCH(INDEX(FormData,$H334,f_Event),EvID,0)),IFERROR(INDEX(EvID,MATCH(INDEX(FormData,$H334,f_Event),EvName,0)),IFERROR(INDEX(EvID,MATCH(INT($C334),EvDate,0)),"(no event that day)"))))</f>
        <v/>
      </c>
      <c r="F334" s="16">
        <f>IF($H334="","",IFERROR(IF(SUMPRODUCT(MAX((WhoKW&lt;&gt;"")*ISNUMBER(SEARCH(WhoKW,INDEX(FormData,$H334,f_Who)&amp;""))*(ROW(WhoKW)-MIN(ROW(WhoKW))+1)))=0,"",INDEX(WhoVal,SUMPRODUCT(MAX((WhoKW&lt;&gt;"")*ISNUMBER(SEARCH(WhoKW,INDEX(FormData,$H334,f_Who)&amp;""))*(ROW(WhoKW)-MIN(ROW(WhoKW))+1))))),""))</f>
        <v/>
      </c>
      <c r="G334" s="14">
        <f>IF($H334="","",IF(COUNTIF(People!$U$5:$U$604,$B334)+COUNTIF(People!$U$5:$U$604,$B334&amp;"")&gt;0,"✓ logged","→ add"))</f>
        <v/>
      </c>
      <c r="H334">
        <f>IFERROR(IF(INDEX(FormData,331,f_Id)&amp;""="","",331),"")</f>
        <v/>
      </c>
      <c r="I334" s="16">
        <f>IF($H334="","",IFERROR(INDEX(FormData,$H334,f_Need)&amp;"",""))</f>
        <v/>
      </c>
    </row>
    <row r="335">
      <c r="A335" s="14" t="n">
        <v>331</v>
      </c>
      <c r="B335" s="14">
        <f>IF($H335="","",INDEX(FormData,$H335,f_Id))</f>
        <v/>
      </c>
      <c r="C335" s="15">
        <f>IF($H335="","",IFERROR(INDEX(FormData,$H335,f_Time),""))</f>
        <v/>
      </c>
      <c r="D335" s="14">
        <f>IF($H335="","",IFERROR(UPPER(LEFT(TRIM(INDEX(FormData,$H335,f_Name)),1)&amp;IFERROR(MID(TRIM(INDEX(FormData,$H335,f_Name)),FIND("^",SUBSTITUTE(TRIM(INDEX(FormData,$H335,f_Name))," ","^",LEN(TRIM(INDEX(FormData,$H335,f_Name)))-LEN(SUBSTITUTE(TRIM(INDEX(FormData,$H335,f_Name))," ",""))))+1,1),"")),""))</f>
        <v/>
      </c>
      <c r="E335" s="16">
        <f>IF($H335="","",IFERROR(INDEX(EvID,MATCH(INDEX(FormData,$H335,f_Event),EvID,0)),IFERROR(INDEX(EvID,MATCH(INDEX(FormData,$H335,f_Event),EvName,0)),IFERROR(INDEX(EvID,MATCH(INT($C335),EvDate,0)),"(no event that day)"))))</f>
        <v/>
      </c>
      <c r="F335" s="16">
        <f>IF($H335="","",IFERROR(IF(SUMPRODUCT(MAX((WhoKW&lt;&gt;"")*ISNUMBER(SEARCH(WhoKW,INDEX(FormData,$H335,f_Who)&amp;""))*(ROW(WhoKW)-MIN(ROW(WhoKW))+1)))=0,"",INDEX(WhoVal,SUMPRODUCT(MAX((WhoKW&lt;&gt;"")*ISNUMBER(SEARCH(WhoKW,INDEX(FormData,$H335,f_Who)&amp;""))*(ROW(WhoKW)-MIN(ROW(WhoKW))+1))))),""))</f>
        <v/>
      </c>
      <c r="G335" s="14">
        <f>IF($H335="","",IF(COUNTIF(People!$U$5:$U$604,$B335)+COUNTIF(People!$U$5:$U$604,$B335&amp;"")&gt;0,"✓ logged","→ add"))</f>
        <v/>
      </c>
      <c r="H335">
        <f>IFERROR(IF(INDEX(FormData,332,f_Id)&amp;""="","",332),"")</f>
        <v/>
      </c>
      <c r="I335" s="16">
        <f>IF($H335="","",IFERROR(INDEX(FormData,$H335,f_Need)&amp;"",""))</f>
        <v/>
      </c>
    </row>
    <row r="336">
      <c r="A336" s="14" t="n">
        <v>332</v>
      </c>
      <c r="B336" s="14">
        <f>IF($H336="","",INDEX(FormData,$H336,f_Id))</f>
        <v/>
      </c>
      <c r="C336" s="15">
        <f>IF($H336="","",IFERROR(INDEX(FormData,$H336,f_Time),""))</f>
        <v/>
      </c>
      <c r="D336" s="14">
        <f>IF($H336="","",IFERROR(UPPER(LEFT(TRIM(INDEX(FormData,$H336,f_Name)),1)&amp;IFERROR(MID(TRIM(INDEX(FormData,$H336,f_Name)),FIND("^",SUBSTITUTE(TRIM(INDEX(FormData,$H336,f_Name))," ","^",LEN(TRIM(INDEX(FormData,$H336,f_Name)))-LEN(SUBSTITUTE(TRIM(INDEX(FormData,$H336,f_Name))," ",""))))+1,1),"")),""))</f>
        <v/>
      </c>
      <c r="E336" s="16">
        <f>IF($H336="","",IFERROR(INDEX(EvID,MATCH(INDEX(FormData,$H336,f_Event),EvID,0)),IFERROR(INDEX(EvID,MATCH(INDEX(FormData,$H336,f_Event),EvName,0)),IFERROR(INDEX(EvID,MATCH(INT($C336),EvDate,0)),"(no event that day)"))))</f>
        <v/>
      </c>
      <c r="F336" s="16">
        <f>IF($H336="","",IFERROR(IF(SUMPRODUCT(MAX((WhoKW&lt;&gt;"")*ISNUMBER(SEARCH(WhoKW,INDEX(FormData,$H336,f_Who)&amp;""))*(ROW(WhoKW)-MIN(ROW(WhoKW))+1)))=0,"",INDEX(WhoVal,SUMPRODUCT(MAX((WhoKW&lt;&gt;"")*ISNUMBER(SEARCH(WhoKW,INDEX(FormData,$H336,f_Who)&amp;""))*(ROW(WhoKW)-MIN(ROW(WhoKW))+1))))),""))</f>
        <v/>
      </c>
      <c r="G336" s="14">
        <f>IF($H336="","",IF(COUNTIF(People!$U$5:$U$604,$B336)+COUNTIF(People!$U$5:$U$604,$B336&amp;"")&gt;0,"✓ logged","→ add"))</f>
        <v/>
      </c>
      <c r="H336">
        <f>IFERROR(IF(INDEX(FormData,333,f_Id)&amp;""="","",333),"")</f>
        <v/>
      </c>
      <c r="I336" s="16">
        <f>IF($H336="","",IFERROR(INDEX(FormData,$H336,f_Need)&amp;"",""))</f>
        <v/>
      </c>
    </row>
    <row r="337">
      <c r="A337" s="14" t="n">
        <v>333</v>
      </c>
      <c r="B337" s="14">
        <f>IF($H337="","",INDEX(FormData,$H337,f_Id))</f>
        <v/>
      </c>
      <c r="C337" s="15">
        <f>IF($H337="","",IFERROR(INDEX(FormData,$H337,f_Time),""))</f>
        <v/>
      </c>
      <c r="D337" s="14">
        <f>IF($H337="","",IFERROR(UPPER(LEFT(TRIM(INDEX(FormData,$H337,f_Name)),1)&amp;IFERROR(MID(TRIM(INDEX(FormData,$H337,f_Name)),FIND("^",SUBSTITUTE(TRIM(INDEX(FormData,$H337,f_Name))," ","^",LEN(TRIM(INDEX(FormData,$H337,f_Name)))-LEN(SUBSTITUTE(TRIM(INDEX(FormData,$H337,f_Name))," ",""))))+1,1),"")),""))</f>
        <v/>
      </c>
      <c r="E337" s="16">
        <f>IF($H337="","",IFERROR(INDEX(EvID,MATCH(INDEX(FormData,$H337,f_Event),EvID,0)),IFERROR(INDEX(EvID,MATCH(INDEX(FormData,$H337,f_Event),EvName,0)),IFERROR(INDEX(EvID,MATCH(INT($C337),EvDate,0)),"(no event that day)"))))</f>
        <v/>
      </c>
      <c r="F337" s="16">
        <f>IF($H337="","",IFERROR(IF(SUMPRODUCT(MAX((WhoKW&lt;&gt;"")*ISNUMBER(SEARCH(WhoKW,INDEX(FormData,$H337,f_Who)&amp;""))*(ROW(WhoKW)-MIN(ROW(WhoKW))+1)))=0,"",INDEX(WhoVal,SUMPRODUCT(MAX((WhoKW&lt;&gt;"")*ISNUMBER(SEARCH(WhoKW,INDEX(FormData,$H337,f_Who)&amp;""))*(ROW(WhoKW)-MIN(ROW(WhoKW))+1))))),""))</f>
        <v/>
      </c>
      <c r="G337" s="14">
        <f>IF($H337="","",IF(COUNTIF(People!$U$5:$U$604,$B337)+COUNTIF(People!$U$5:$U$604,$B337&amp;"")&gt;0,"✓ logged","→ add"))</f>
        <v/>
      </c>
      <c r="H337">
        <f>IFERROR(IF(INDEX(FormData,334,f_Id)&amp;""="","",334),"")</f>
        <v/>
      </c>
      <c r="I337" s="16">
        <f>IF($H337="","",IFERROR(INDEX(FormData,$H337,f_Need)&amp;"",""))</f>
        <v/>
      </c>
    </row>
    <row r="338">
      <c r="A338" s="14" t="n">
        <v>334</v>
      </c>
      <c r="B338" s="14">
        <f>IF($H338="","",INDEX(FormData,$H338,f_Id))</f>
        <v/>
      </c>
      <c r="C338" s="15">
        <f>IF($H338="","",IFERROR(INDEX(FormData,$H338,f_Time),""))</f>
        <v/>
      </c>
      <c r="D338" s="14">
        <f>IF($H338="","",IFERROR(UPPER(LEFT(TRIM(INDEX(FormData,$H338,f_Name)),1)&amp;IFERROR(MID(TRIM(INDEX(FormData,$H338,f_Name)),FIND("^",SUBSTITUTE(TRIM(INDEX(FormData,$H338,f_Name))," ","^",LEN(TRIM(INDEX(FormData,$H338,f_Name)))-LEN(SUBSTITUTE(TRIM(INDEX(FormData,$H338,f_Name))," ",""))))+1,1),"")),""))</f>
        <v/>
      </c>
      <c r="E338" s="16">
        <f>IF($H338="","",IFERROR(INDEX(EvID,MATCH(INDEX(FormData,$H338,f_Event),EvID,0)),IFERROR(INDEX(EvID,MATCH(INDEX(FormData,$H338,f_Event),EvName,0)),IFERROR(INDEX(EvID,MATCH(INT($C338),EvDate,0)),"(no event that day)"))))</f>
        <v/>
      </c>
      <c r="F338" s="16">
        <f>IF($H338="","",IFERROR(IF(SUMPRODUCT(MAX((WhoKW&lt;&gt;"")*ISNUMBER(SEARCH(WhoKW,INDEX(FormData,$H338,f_Who)&amp;""))*(ROW(WhoKW)-MIN(ROW(WhoKW))+1)))=0,"",INDEX(WhoVal,SUMPRODUCT(MAX((WhoKW&lt;&gt;"")*ISNUMBER(SEARCH(WhoKW,INDEX(FormData,$H338,f_Who)&amp;""))*(ROW(WhoKW)-MIN(ROW(WhoKW))+1))))),""))</f>
        <v/>
      </c>
      <c r="G338" s="14">
        <f>IF($H338="","",IF(COUNTIF(People!$U$5:$U$604,$B338)+COUNTIF(People!$U$5:$U$604,$B338&amp;"")&gt;0,"✓ logged","→ add"))</f>
        <v/>
      </c>
      <c r="H338">
        <f>IFERROR(IF(INDEX(FormData,335,f_Id)&amp;""="","",335),"")</f>
        <v/>
      </c>
      <c r="I338" s="16">
        <f>IF($H338="","",IFERROR(INDEX(FormData,$H338,f_Need)&amp;"",""))</f>
        <v/>
      </c>
    </row>
    <row r="339">
      <c r="A339" s="14" t="n">
        <v>335</v>
      </c>
      <c r="B339" s="14">
        <f>IF($H339="","",INDEX(FormData,$H339,f_Id))</f>
        <v/>
      </c>
      <c r="C339" s="15">
        <f>IF($H339="","",IFERROR(INDEX(FormData,$H339,f_Time),""))</f>
        <v/>
      </c>
      <c r="D339" s="14">
        <f>IF($H339="","",IFERROR(UPPER(LEFT(TRIM(INDEX(FormData,$H339,f_Name)),1)&amp;IFERROR(MID(TRIM(INDEX(FormData,$H339,f_Name)),FIND("^",SUBSTITUTE(TRIM(INDEX(FormData,$H339,f_Name))," ","^",LEN(TRIM(INDEX(FormData,$H339,f_Name)))-LEN(SUBSTITUTE(TRIM(INDEX(FormData,$H339,f_Name))," ",""))))+1,1),"")),""))</f>
        <v/>
      </c>
      <c r="E339" s="16">
        <f>IF($H339="","",IFERROR(INDEX(EvID,MATCH(INDEX(FormData,$H339,f_Event),EvID,0)),IFERROR(INDEX(EvID,MATCH(INDEX(FormData,$H339,f_Event),EvName,0)),IFERROR(INDEX(EvID,MATCH(INT($C339),EvDate,0)),"(no event that day)"))))</f>
        <v/>
      </c>
      <c r="F339" s="16">
        <f>IF($H339="","",IFERROR(IF(SUMPRODUCT(MAX((WhoKW&lt;&gt;"")*ISNUMBER(SEARCH(WhoKW,INDEX(FormData,$H339,f_Who)&amp;""))*(ROW(WhoKW)-MIN(ROW(WhoKW))+1)))=0,"",INDEX(WhoVal,SUMPRODUCT(MAX((WhoKW&lt;&gt;"")*ISNUMBER(SEARCH(WhoKW,INDEX(FormData,$H339,f_Who)&amp;""))*(ROW(WhoKW)-MIN(ROW(WhoKW))+1))))),""))</f>
        <v/>
      </c>
      <c r="G339" s="14">
        <f>IF($H339="","",IF(COUNTIF(People!$U$5:$U$604,$B339)+COUNTIF(People!$U$5:$U$604,$B339&amp;"")&gt;0,"✓ logged","→ add"))</f>
        <v/>
      </c>
      <c r="H339">
        <f>IFERROR(IF(INDEX(FormData,336,f_Id)&amp;""="","",336),"")</f>
        <v/>
      </c>
      <c r="I339" s="16">
        <f>IF($H339="","",IFERROR(INDEX(FormData,$H339,f_Need)&amp;"",""))</f>
        <v/>
      </c>
    </row>
    <row r="340">
      <c r="A340" s="14" t="n">
        <v>336</v>
      </c>
      <c r="B340" s="14">
        <f>IF($H340="","",INDEX(FormData,$H340,f_Id))</f>
        <v/>
      </c>
      <c r="C340" s="15">
        <f>IF($H340="","",IFERROR(INDEX(FormData,$H340,f_Time),""))</f>
        <v/>
      </c>
      <c r="D340" s="14">
        <f>IF($H340="","",IFERROR(UPPER(LEFT(TRIM(INDEX(FormData,$H340,f_Name)),1)&amp;IFERROR(MID(TRIM(INDEX(FormData,$H340,f_Name)),FIND("^",SUBSTITUTE(TRIM(INDEX(FormData,$H340,f_Name))," ","^",LEN(TRIM(INDEX(FormData,$H340,f_Name)))-LEN(SUBSTITUTE(TRIM(INDEX(FormData,$H340,f_Name))," ",""))))+1,1),"")),""))</f>
        <v/>
      </c>
      <c r="E340" s="16">
        <f>IF($H340="","",IFERROR(INDEX(EvID,MATCH(INDEX(FormData,$H340,f_Event),EvID,0)),IFERROR(INDEX(EvID,MATCH(INDEX(FormData,$H340,f_Event),EvName,0)),IFERROR(INDEX(EvID,MATCH(INT($C340),EvDate,0)),"(no event that day)"))))</f>
        <v/>
      </c>
      <c r="F340" s="16">
        <f>IF($H340="","",IFERROR(IF(SUMPRODUCT(MAX((WhoKW&lt;&gt;"")*ISNUMBER(SEARCH(WhoKW,INDEX(FormData,$H340,f_Who)&amp;""))*(ROW(WhoKW)-MIN(ROW(WhoKW))+1)))=0,"",INDEX(WhoVal,SUMPRODUCT(MAX((WhoKW&lt;&gt;"")*ISNUMBER(SEARCH(WhoKW,INDEX(FormData,$H340,f_Who)&amp;""))*(ROW(WhoKW)-MIN(ROW(WhoKW))+1))))),""))</f>
        <v/>
      </c>
      <c r="G340" s="14">
        <f>IF($H340="","",IF(COUNTIF(People!$U$5:$U$604,$B340)+COUNTIF(People!$U$5:$U$604,$B340&amp;"")&gt;0,"✓ logged","→ add"))</f>
        <v/>
      </c>
      <c r="H340">
        <f>IFERROR(IF(INDEX(FormData,337,f_Id)&amp;""="","",337),"")</f>
        <v/>
      </c>
      <c r="I340" s="16">
        <f>IF($H340="","",IFERROR(INDEX(FormData,$H340,f_Need)&amp;"",""))</f>
        <v/>
      </c>
    </row>
    <row r="341">
      <c r="A341" s="14" t="n">
        <v>337</v>
      </c>
      <c r="B341" s="14">
        <f>IF($H341="","",INDEX(FormData,$H341,f_Id))</f>
        <v/>
      </c>
      <c r="C341" s="15">
        <f>IF($H341="","",IFERROR(INDEX(FormData,$H341,f_Time),""))</f>
        <v/>
      </c>
      <c r="D341" s="14">
        <f>IF($H341="","",IFERROR(UPPER(LEFT(TRIM(INDEX(FormData,$H341,f_Name)),1)&amp;IFERROR(MID(TRIM(INDEX(FormData,$H341,f_Name)),FIND("^",SUBSTITUTE(TRIM(INDEX(FormData,$H341,f_Name))," ","^",LEN(TRIM(INDEX(FormData,$H341,f_Name)))-LEN(SUBSTITUTE(TRIM(INDEX(FormData,$H341,f_Name))," ",""))))+1,1),"")),""))</f>
        <v/>
      </c>
      <c r="E341" s="16">
        <f>IF($H341="","",IFERROR(INDEX(EvID,MATCH(INDEX(FormData,$H341,f_Event),EvID,0)),IFERROR(INDEX(EvID,MATCH(INDEX(FormData,$H341,f_Event),EvName,0)),IFERROR(INDEX(EvID,MATCH(INT($C341),EvDate,0)),"(no event that day)"))))</f>
        <v/>
      </c>
      <c r="F341" s="16">
        <f>IF($H341="","",IFERROR(IF(SUMPRODUCT(MAX((WhoKW&lt;&gt;"")*ISNUMBER(SEARCH(WhoKW,INDEX(FormData,$H341,f_Who)&amp;""))*(ROW(WhoKW)-MIN(ROW(WhoKW))+1)))=0,"",INDEX(WhoVal,SUMPRODUCT(MAX((WhoKW&lt;&gt;"")*ISNUMBER(SEARCH(WhoKW,INDEX(FormData,$H341,f_Who)&amp;""))*(ROW(WhoKW)-MIN(ROW(WhoKW))+1))))),""))</f>
        <v/>
      </c>
      <c r="G341" s="14">
        <f>IF($H341="","",IF(COUNTIF(People!$U$5:$U$604,$B341)+COUNTIF(People!$U$5:$U$604,$B341&amp;"")&gt;0,"✓ logged","→ add"))</f>
        <v/>
      </c>
      <c r="H341">
        <f>IFERROR(IF(INDEX(FormData,338,f_Id)&amp;""="","",338),"")</f>
        <v/>
      </c>
      <c r="I341" s="16">
        <f>IF($H341="","",IFERROR(INDEX(FormData,$H341,f_Need)&amp;"",""))</f>
        <v/>
      </c>
    </row>
    <row r="342">
      <c r="A342" s="14" t="n">
        <v>338</v>
      </c>
      <c r="B342" s="14">
        <f>IF($H342="","",INDEX(FormData,$H342,f_Id))</f>
        <v/>
      </c>
      <c r="C342" s="15">
        <f>IF($H342="","",IFERROR(INDEX(FormData,$H342,f_Time),""))</f>
        <v/>
      </c>
      <c r="D342" s="14">
        <f>IF($H342="","",IFERROR(UPPER(LEFT(TRIM(INDEX(FormData,$H342,f_Name)),1)&amp;IFERROR(MID(TRIM(INDEX(FormData,$H342,f_Name)),FIND("^",SUBSTITUTE(TRIM(INDEX(FormData,$H342,f_Name))," ","^",LEN(TRIM(INDEX(FormData,$H342,f_Name)))-LEN(SUBSTITUTE(TRIM(INDEX(FormData,$H342,f_Name))," ",""))))+1,1),"")),""))</f>
        <v/>
      </c>
      <c r="E342" s="16">
        <f>IF($H342="","",IFERROR(INDEX(EvID,MATCH(INDEX(FormData,$H342,f_Event),EvID,0)),IFERROR(INDEX(EvID,MATCH(INDEX(FormData,$H342,f_Event),EvName,0)),IFERROR(INDEX(EvID,MATCH(INT($C342),EvDate,0)),"(no event that day)"))))</f>
        <v/>
      </c>
      <c r="F342" s="16">
        <f>IF($H342="","",IFERROR(IF(SUMPRODUCT(MAX((WhoKW&lt;&gt;"")*ISNUMBER(SEARCH(WhoKW,INDEX(FormData,$H342,f_Who)&amp;""))*(ROW(WhoKW)-MIN(ROW(WhoKW))+1)))=0,"",INDEX(WhoVal,SUMPRODUCT(MAX((WhoKW&lt;&gt;"")*ISNUMBER(SEARCH(WhoKW,INDEX(FormData,$H342,f_Who)&amp;""))*(ROW(WhoKW)-MIN(ROW(WhoKW))+1))))),""))</f>
        <v/>
      </c>
      <c r="G342" s="14">
        <f>IF($H342="","",IF(COUNTIF(People!$U$5:$U$604,$B342)+COUNTIF(People!$U$5:$U$604,$B342&amp;"")&gt;0,"✓ logged","→ add"))</f>
        <v/>
      </c>
      <c r="H342">
        <f>IFERROR(IF(INDEX(FormData,339,f_Id)&amp;""="","",339),"")</f>
        <v/>
      </c>
      <c r="I342" s="16">
        <f>IF($H342="","",IFERROR(INDEX(FormData,$H342,f_Need)&amp;"",""))</f>
        <v/>
      </c>
    </row>
    <row r="343">
      <c r="A343" s="14" t="n">
        <v>339</v>
      </c>
      <c r="B343" s="14">
        <f>IF($H343="","",INDEX(FormData,$H343,f_Id))</f>
        <v/>
      </c>
      <c r="C343" s="15">
        <f>IF($H343="","",IFERROR(INDEX(FormData,$H343,f_Time),""))</f>
        <v/>
      </c>
      <c r="D343" s="14">
        <f>IF($H343="","",IFERROR(UPPER(LEFT(TRIM(INDEX(FormData,$H343,f_Name)),1)&amp;IFERROR(MID(TRIM(INDEX(FormData,$H343,f_Name)),FIND("^",SUBSTITUTE(TRIM(INDEX(FormData,$H343,f_Name))," ","^",LEN(TRIM(INDEX(FormData,$H343,f_Name)))-LEN(SUBSTITUTE(TRIM(INDEX(FormData,$H343,f_Name))," ",""))))+1,1),"")),""))</f>
        <v/>
      </c>
      <c r="E343" s="16">
        <f>IF($H343="","",IFERROR(INDEX(EvID,MATCH(INDEX(FormData,$H343,f_Event),EvID,0)),IFERROR(INDEX(EvID,MATCH(INDEX(FormData,$H343,f_Event),EvName,0)),IFERROR(INDEX(EvID,MATCH(INT($C343),EvDate,0)),"(no event that day)"))))</f>
        <v/>
      </c>
      <c r="F343" s="16">
        <f>IF($H343="","",IFERROR(IF(SUMPRODUCT(MAX((WhoKW&lt;&gt;"")*ISNUMBER(SEARCH(WhoKW,INDEX(FormData,$H343,f_Who)&amp;""))*(ROW(WhoKW)-MIN(ROW(WhoKW))+1)))=0,"",INDEX(WhoVal,SUMPRODUCT(MAX((WhoKW&lt;&gt;"")*ISNUMBER(SEARCH(WhoKW,INDEX(FormData,$H343,f_Who)&amp;""))*(ROW(WhoKW)-MIN(ROW(WhoKW))+1))))),""))</f>
        <v/>
      </c>
      <c r="G343" s="14">
        <f>IF($H343="","",IF(COUNTIF(People!$U$5:$U$604,$B343)+COUNTIF(People!$U$5:$U$604,$B343&amp;"")&gt;0,"✓ logged","→ add"))</f>
        <v/>
      </c>
      <c r="H343">
        <f>IFERROR(IF(INDEX(FormData,340,f_Id)&amp;""="","",340),"")</f>
        <v/>
      </c>
      <c r="I343" s="16">
        <f>IF($H343="","",IFERROR(INDEX(FormData,$H343,f_Need)&amp;"",""))</f>
        <v/>
      </c>
    </row>
    <row r="344">
      <c r="A344" s="14" t="n">
        <v>340</v>
      </c>
      <c r="B344" s="14">
        <f>IF($H344="","",INDEX(FormData,$H344,f_Id))</f>
        <v/>
      </c>
      <c r="C344" s="15">
        <f>IF($H344="","",IFERROR(INDEX(FormData,$H344,f_Time),""))</f>
        <v/>
      </c>
      <c r="D344" s="14">
        <f>IF($H344="","",IFERROR(UPPER(LEFT(TRIM(INDEX(FormData,$H344,f_Name)),1)&amp;IFERROR(MID(TRIM(INDEX(FormData,$H344,f_Name)),FIND("^",SUBSTITUTE(TRIM(INDEX(FormData,$H344,f_Name))," ","^",LEN(TRIM(INDEX(FormData,$H344,f_Name)))-LEN(SUBSTITUTE(TRIM(INDEX(FormData,$H344,f_Name))," ",""))))+1,1),"")),""))</f>
        <v/>
      </c>
      <c r="E344" s="16">
        <f>IF($H344="","",IFERROR(INDEX(EvID,MATCH(INDEX(FormData,$H344,f_Event),EvID,0)),IFERROR(INDEX(EvID,MATCH(INDEX(FormData,$H344,f_Event),EvName,0)),IFERROR(INDEX(EvID,MATCH(INT($C344),EvDate,0)),"(no event that day)"))))</f>
        <v/>
      </c>
      <c r="F344" s="16">
        <f>IF($H344="","",IFERROR(IF(SUMPRODUCT(MAX((WhoKW&lt;&gt;"")*ISNUMBER(SEARCH(WhoKW,INDEX(FormData,$H344,f_Who)&amp;""))*(ROW(WhoKW)-MIN(ROW(WhoKW))+1)))=0,"",INDEX(WhoVal,SUMPRODUCT(MAX((WhoKW&lt;&gt;"")*ISNUMBER(SEARCH(WhoKW,INDEX(FormData,$H344,f_Who)&amp;""))*(ROW(WhoKW)-MIN(ROW(WhoKW))+1))))),""))</f>
        <v/>
      </c>
      <c r="G344" s="14">
        <f>IF($H344="","",IF(COUNTIF(People!$U$5:$U$604,$B344)+COUNTIF(People!$U$5:$U$604,$B344&amp;"")&gt;0,"✓ logged","→ add"))</f>
        <v/>
      </c>
      <c r="H344">
        <f>IFERROR(IF(INDEX(FormData,341,f_Id)&amp;""="","",341),"")</f>
        <v/>
      </c>
      <c r="I344" s="16">
        <f>IF($H344="","",IFERROR(INDEX(FormData,$H344,f_Need)&amp;"",""))</f>
        <v/>
      </c>
    </row>
    <row r="345">
      <c r="A345" s="14" t="n">
        <v>341</v>
      </c>
      <c r="B345" s="14">
        <f>IF($H345="","",INDEX(FormData,$H345,f_Id))</f>
        <v/>
      </c>
      <c r="C345" s="15">
        <f>IF($H345="","",IFERROR(INDEX(FormData,$H345,f_Time),""))</f>
        <v/>
      </c>
      <c r="D345" s="14">
        <f>IF($H345="","",IFERROR(UPPER(LEFT(TRIM(INDEX(FormData,$H345,f_Name)),1)&amp;IFERROR(MID(TRIM(INDEX(FormData,$H345,f_Name)),FIND("^",SUBSTITUTE(TRIM(INDEX(FormData,$H345,f_Name))," ","^",LEN(TRIM(INDEX(FormData,$H345,f_Name)))-LEN(SUBSTITUTE(TRIM(INDEX(FormData,$H345,f_Name))," ",""))))+1,1),"")),""))</f>
        <v/>
      </c>
      <c r="E345" s="16">
        <f>IF($H345="","",IFERROR(INDEX(EvID,MATCH(INDEX(FormData,$H345,f_Event),EvID,0)),IFERROR(INDEX(EvID,MATCH(INDEX(FormData,$H345,f_Event),EvName,0)),IFERROR(INDEX(EvID,MATCH(INT($C345),EvDate,0)),"(no event that day)"))))</f>
        <v/>
      </c>
      <c r="F345" s="16">
        <f>IF($H345="","",IFERROR(IF(SUMPRODUCT(MAX((WhoKW&lt;&gt;"")*ISNUMBER(SEARCH(WhoKW,INDEX(FormData,$H345,f_Who)&amp;""))*(ROW(WhoKW)-MIN(ROW(WhoKW))+1)))=0,"",INDEX(WhoVal,SUMPRODUCT(MAX((WhoKW&lt;&gt;"")*ISNUMBER(SEARCH(WhoKW,INDEX(FormData,$H345,f_Who)&amp;""))*(ROW(WhoKW)-MIN(ROW(WhoKW))+1))))),""))</f>
        <v/>
      </c>
      <c r="G345" s="14">
        <f>IF($H345="","",IF(COUNTIF(People!$U$5:$U$604,$B345)+COUNTIF(People!$U$5:$U$604,$B345&amp;"")&gt;0,"✓ logged","→ add"))</f>
        <v/>
      </c>
      <c r="H345">
        <f>IFERROR(IF(INDEX(FormData,342,f_Id)&amp;""="","",342),"")</f>
        <v/>
      </c>
      <c r="I345" s="16">
        <f>IF($H345="","",IFERROR(INDEX(FormData,$H345,f_Need)&amp;"",""))</f>
        <v/>
      </c>
    </row>
    <row r="346">
      <c r="A346" s="14" t="n">
        <v>342</v>
      </c>
      <c r="B346" s="14">
        <f>IF($H346="","",INDEX(FormData,$H346,f_Id))</f>
        <v/>
      </c>
      <c r="C346" s="15">
        <f>IF($H346="","",IFERROR(INDEX(FormData,$H346,f_Time),""))</f>
        <v/>
      </c>
      <c r="D346" s="14">
        <f>IF($H346="","",IFERROR(UPPER(LEFT(TRIM(INDEX(FormData,$H346,f_Name)),1)&amp;IFERROR(MID(TRIM(INDEX(FormData,$H346,f_Name)),FIND("^",SUBSTITUTE(TRIM(INDEX(FormData,$H346,f_Name))," ","^",LEN(TRIM(INDEX(FormData,$H346,f_Name)))-LEN(SUBSTITUTE(TRIM(INDEX(FormData,$H346,f_Name))," ",""))))+1,1),"")),""))</f>
        <v/>
      </c>
      <c r="E346" s="16">
        <f>IF($H346="","",IFERROR(INDEX(EvID,MATCH(INDEX(FormData,$H346,f_Event),EvID,0)),IFERROR(INDEX(EvID,MATCH(INDEX(FormData,$H346,f_Event),EvName,0)),IFERROR(INDEX(EvID,MATCH(INT($C346),EvDate,0)),"(no event that day)"))))</f>
        <v/>
      </c>
      <c r="F346" s="16">
        <f>IF($H346="","",IFERROR(IF(SUMPRODUCT(MAX((WhoKW&lt;&gt;"")*ISNUMBER(SEARCH(WhoKW,INDEX(FormData,$H346,f_Who)&amp;""))*(ROW(WhoKW)-MIN(ROW(WhoKW))+1)))=0,"",INDEX(WhoVal,SUMPRODUCT(MAX((WhoKW&lt;&gt;"")*ISNUMBER(SEARCH(WhoKW,INDEX(FormData,$H346,f_Who)&amp;""))*(ROW(WhoKW)-MIN(ROW(WhoKW))+1))))),""))</f>
        <v/>
      </c>
      <c r="G346" s="14">
        <f>IF($H346="","",IF(COUNTIF(People!$U$5:$U$604,$B346)+COUNTIF(People!$U$5:$U$604,$B346&amp;"")&gt;0,"✓ logged","→ add"))</f>
        <v/>
      </c>
      <c r="H346">
        <f>IFERROR(IF(INDEX(FormData,343,f_Id)&amp;""="","",343),"")</f>
        <v/>
      </c>
      <c r="I346" s="16">
        <f>IF($H346="","",IFERROR(INDEX(FormData,$H346,f_Need)&amp;"",""))</f>
        <v/>
      </c>
    </row>
    <row r="347">
      <c r="A347" s="14" t="n">
        <v>343</v>
      </c>
      <c r="B347" s="14">
        <f>IF($H347="","",INDEX(FormData,$H347,f_Id))</f>
        <v/>
      </c>
      <c r="C347" s="15">
        <f>IF($H347="","",IFERROR(INDEX(FormData,$H347,f_Time),""))</f>
        <v/>
      </c>
      <c r="D347" s="14">
        <f>IF($H347="","",IFERROR(UPPER(LEFT(TRIM(INDEX(FormData,$H347,f_Name)),1)&amp;IFERROR(MID(TRIM(INDEX(FormData,$H347,f_Name)),FIND("^",SUBSTITUTE(TRIM(INDEX(FormData,$H347,f_Name))," ","^",LEN(TRIM(INDEX(FormData,$H347,f_Name)))-LEN(SUBSTITUTE(TRIM(INDEX(FormData,$H347,f_Name))," ",""))))+1,1),"")),""))</f>
        <v/>
      </c>
      <c r="E347" s="16">
        <f>IF($H347="","",IFERROR(INDEX(EvID,MATCH(INDEX(FormData,$H347,f_Event),EvID,0)),IFERROR(INDEX(EvID,MATCH(INDEX(FormData,$H347,f_Event),EvName,0)),IFERROR(INDEX(EvID,MATCH(INT($C347),EvDate,0)),"(no event that day)"))))</f>
        <v/>
      </c>
      <c r="F347" s="16">
        <f>IF($H347="","",IFERROR(IF(SUMPRODUCT(MAX((WhoKW&lt;&gt;"")*ISNUMBER(SEARCH(WhoKW,INDEX(FormData,$H347,f_Who)&amp;""))*(ROW(WhoKW)-MIN(ROW(WhoKW))+1)))=0,"",INDEX(WhoVal,SUMPRODUCT(MAX((WhoKW&lt;&gt;"")*ISNUMBER(SEARCH(WhoKW,INDEX(FormData,$H347,f_Who)&amp;""))*(ROW(WhoKW)-MIN(ROW(WhoKW))+1))))),""))</f>
        <v/>
      </c>
      <c r="G347" s="14">
        <f>IF($H347="","",IF(COUNTIF(People!$U$5:$U$604,$B347)+COUNTIF(People!$U$5:$U$604,$B347&amp;"")&gt;0,"✓ logged","→ add"))</f>
        <v/>
      </c>
      <c r="H347">
        <f>IFERROR(IF(INDEX(FormData,344,f_Id)&amp;""="","",344),"")</f>
        <v/>
      </c>
      <c r="I347" s="16">
        <f>IF($H347="","",IFERROR(INDEX(FormData,$H347,f_Need)&amp;"",""))</f>
        <v/>
      </c>
    </row>
    <row r="348">
      <c r="A348" s="14" t="n">
        <v>344</v>
      </c>
      <c r="B348" s="14">
        <f>IF($H348="","",INDEX(FormData,$H348,f_Id))</f>
        <v/>
      </c>
      <c r="C348" s="15">
        <f>IF($H348="","",IFERROR(INDEX(FormData,$H348,f_Time),""))</f>
        <v/>
      </c>
      <c r="D348" s="14">
        <f>IF($H348="","",IFERROR(UPPER(LEFT(TRIM(INDEX(FormData,$H348,f_Name)),1)&amp;IFERROR(MID(TRIM(INDEX(FormData,$H348,f_Name)),FIND("^",SUBSTITUTE(TRIM(INDEX(FormData,$H348,f_Name))," ","^",LEN(TRIM(INDEX(FormData,$H348,f_Name)))-LEN(SUBSTITUTE(TRIM(INDEX(FormData,$H348,f_Name))," ",""))))+1,1),"")),""))</f>
        <v/>
      </c>
      <c r="E348" s="16">
        <f>IF($H348="","",IFERROR(INDEX(EvID,MATCH(INDEX(FormData,$H348,f_Event),EvID,0)),IFERROR(INDEX(EvID,MATCH(INDEX(FormData,$H348,f_Event),EvName,0)),IFERROR(INDEX(EvID,MATCH(INT($C348),EvDate,0)),"(no event that day)"))))</f>
        <v/>
      </c>
      <c r="F348" s="16">
        <f>IF($H348="","",IFERROR(IF(SUMPRODUCT(MAX((WhoKW&lt;&gt;"")*ISNUMBER(SEARCH(WhoKW,INDEX(FormData,$H348,f_Who)&amp;""))*(ROW(WhoKW)-MIN(ROW(WhoKW))+1)))=0,"",INDEX(WhoVal,SUMPRODUCT(MAX((WhoKW&lt;&gt;"")*ISNUMBER(SEARCH(WhoKW,INDEX(FormData,$H348,f_Who)&amp;""))*(ROW(WhoKW)-MIN(ROW(WhoKW))+1))))),""))</f>
        <v/>
      </c>
      <c r="G348" s="14">
        <f>IF($H348="","",IF(COUNTIF(People!$U$5:$U$604,$B348)+COUNTIF(People!$U$5:$U$604,$B348&amp;"")&gt;0,"✓ logged","→ add"))</f>
        <v/>
      </c>
      <c r="H348">
        <f>IFERROR(IF(INDEX(FormData,345,f_Id)&amp;""="","",345),"")</f>
        <v/>
      </c>
      <c r="I348" s="16">
        <f>IF($H348="","",IFERROR(INDEX(FormData,$H348,f_Need)&amp;"",""))</f>
        <v/>
      </c>
    </row>
    <row r="349">
      <c r="A349" s="14" t="n">
        <v>345</v>
      </c>
      <c r="B349" s="14">
        <f>IF($H349="","",INDEX(FormData,$H349,f_Id))</f>
        <v/>
      </c>
      <c r="C349" s="15">
        <f>IF($H349="","",IFERROR(INDEX(FormData,$H349,f_Time),""))</f>
        <v/>
      </c>
      <c r="D349" s="14">
        <f>IF($H349="","",IFERROR(UPPER(LEFT(TRIM(INDEX(FormData,$H349,f_Name)),1)&amp;IFERROR(MID(TRIM(INDEX(FormData,$H349,f_Name)),FIND("^",SUBSTITUTE(TRIM(INDEX(FormData,$H349,f_Name))," ","^",LEN(TRIM(INDEX(FormData,$H349,f_Name)))-LEN(SUBSTITUTE(TRIM(INDEX(FormData,$H349,f_Name))," ",""))))+1,1),"")),""))</f>
        <v/>
      </c>
      <c r="E349" s="16">
        <f>IF($H349="","",IFERROR(INDEX(EvID,MATCH(INDEX(FormData,$H349,f_Event),EvID,0)),IFERROR(INDEX(EvID,MATCH(INDEX(FormData,$H349,f_Event),EvName,0)),IFERROR(INDEX(EvID,MATCH(INT($C349),EvDate,0)),"(no event that day)"))))</f>
        <v/>
      </c>
      <c r="F349" s="16">
        <f>IF($H349="","",IFERROR(IF(SUMPRODUCT(MAX((WhoKW&lt;&gt;"")*ISNUMBER(SEARCH(WhoKW,INDEX(FormData,$H349,f_Who)&amp;""))*(ROW(WhoKW)-MIN(ROW(WhoKW))+1)))=0,"",INDEX(WhoVal,SUMPRODUCT(MAX((WhoKW&lt;&gt;"")*ISNUMBER(SEARCH(WhoKW,INDEX(FormData,$H349,f_Who)&amp;""))*(ROW(WhoKW)-MIN(ROW(WhoKW))+1))))),""))</f>
        <v/>
      </c>
      <c r="G349" s="14">
        <f>IF($H349="","",IF(COUNTIF(People!$U$5:$U$604,$B349)+COUNTIF(People!$U$5:$U$604,$B349&amp;"")&gt;0,"✓ logged","→ add"))</f>
        <v/>
      </c>
      <c r="H349">
        <f>IFERROR(IF(INDEX(FormData,346,f_Id)&amp;""="","",346),"")</f>
        <v/>
      </c>
      <c r="I349" s="16">
        <f>IF($H349="","",IFERROR(INDEX(FormData,$H349,f_Need)&amp;"",""))</f>
        <v/>
      </c>
    </row>
    <row r="350">
      <c r="A350" s="14" t="n">
        <v>346</v>
      </c>
      <c r="B350" s="14">
        <f>IF($H350="","",INDEX(FormData,$H350,f_Id))</f>
        <v/>
      </c>
      <c r="C350" s="15">
        <f>IF($H350="","",IFERROR(INDEX(FormData,$H350,f_Time),""))</f>
        <v/>
      </c>
      <c r="D350" s="14">
        <f>IF($H350="","",IFERROR(UPPER(LEFT(TRIM(INDEX(FormData,$H350,f_Name)),1)&amp;IFERROR(MID(TRIM(INDEX(FormData,$H350,f_Name)),FIND("^",SUBSTITUTE(TRIM(INDEX(FormData,$H350,f_Name))," ","^",LEN(TRIM(INDEX(FormData,$H350,f_Name)))-LEN(SUBSTITUTE(TRIM(INDEX(FormData,$H350,f_Name))," ",""))))+1,1),"")),""))</f>
        <v/>
      </c>
      <c r="E350" s="16">
        <f>IF($H350="","",IFERROR(INDEX(EvID,MATCH(INDEX(FormData,$H350,f_Event),EvID,0)),IFERROR(INDEX(EvID,MATCH(INDEX(FormData,$H350,f_Event),EvName,0)),IFERROR(INDEX(EvID,MATCH(INT($C350),EvDate,0)),"(no event that day)"))))</f>
        <v/>
      </c>
      <c r="F350" s="16">
        <f>IF($H350="","",IFERROR(IF(SUMPRODUCT(MAX((WhoKW&lt;&gt;"")*ISNUMBER(SEARCH(WhoKW,INDEX(FormData,$H350,f_Who)&amp;""))*(ROW(WhoKW)-MIN(ROW(WhoKW))+1)))=0,"",INDEX(WhoVal,SUMPRODUCT(MAX((WhoKW&lt;&gt;"")*ISNUMBER(SEARCH(WhoKW,INDEX(FormData,$H350,f_Who)&amp;""))*(ROW(WhoKW)-MIN(ROW(WhoKW))+1))))),""))</f>
        <v/>
      </c>
      <c r="G350" s="14">
        <f>IF($H350="","",IF(COUNTIF(People!$U$5:$U$604,$B350)+COUNTIF(People!$U$5:$U$604,$B350&amp;"")&gt;0,"✓ logged","→ add"))</f>
        <v/>
      </c>
      <c r="H350">
        <f>IFERROR(IF(INDEX(FormData,347,f_Id)&amp;""="","",347),"")</f>
        <v/>
      </c>
      <c r="I350" s="16">
        <f>IF($H350="","",IFERROR(INDEX(FormData,$H350,f_Need)&amp;"",""))</f>
        <v/>
      </c>
    </row>
    <row r="351">
      <c r="A351" s="14" t="n">
        <v>347</v>
      </c>
      <c r="B351" s="14">
        <f>IF($H351="","",INDEX(FormData,$H351,f_Id))</f>
        <v/>
      </c>
      <c r="C351" s="15">
        <f>IF($H351="","",IFERROR(INDEX(FormData,$H351,f_Time),""))</f>
        <v/>
      </c>
      <c r="D351" s="14">
        <f>IF($H351="","",IFERROR(UPPER(LEFT(TRIM(INDEX(FormData,$H351,f_Name)),1)&amp;IFERROR(MID(TRIM(INDEX(FormData,$H351,f_Name)),FIND("^",SUBSTITUTE(TRIM(INDEX(FormData,$H351,f_Name))," ","^",LEN(TRIM(INDEX(FormData,$H351,f_Name)))-LEN(SUBSTITUTE(TRIM(INDEX(FormData,$H351,f_Name))," ",""))))+1,1),"")),""))</f>
        <v/>
      </c>
      <c r="E351" s="16">
        <f>IF($H351="","",IFERROR(INDEX(EvID,MATCH(INDEX(FormData,$H351,f_Event),EvID,0)),IFERROR(INDEX(EvID,MATCH(INDEX(FormData,$H351,f_Event),EvName,0)),IFERROR(INDEX(EvID,MATCH(INT($C351),EvDate,0)),"(no event that day)"))))</f>
        <v/>
      </c>
      <c r="F351" s="16">
        <f>IF($H351="","",IFERROR(IF(SUMPRODUCT(MAX((WhoKW&lt;&gt;"")*ISNUMBER(SEARCH(WhoKW,INDEX(FormData,$H351,f_Who)&amp;""))*(ROW(WhoKW)-MIN(ROW(WhoKW))+1)))=0,"",INDEX(WhoVal,SUMPRODUCT(MAX((WhoKW&lt;&gt;"")*ISNUMBER(SEARCH(WhoKW,INDEX(FormData,$H351,f_Who)&amp;""))*(ROW(WhoKW)-MIN(ROW(WhoKW))+1))))),""))</f>
        <v/>
      </c>
      <c r="G351" s="14">
        <f>IF($H351="","",IF(COUNTIF(People!$U$5:$U$604,$B351)+COUNTIF(People!$U$5:$U$604,$B351&amp;"")&gt;0,"✓ logged","→ add"))</f>
        <v/>
      </c>
      <c r="H351">
        <f>IFERROR(IF(INDEX(FormData,348,f_Id)&amp;""="","",348),"")</f>
        <v/>
      </c>
      <c r="I351" s="16">
        <f>IF($H351="","",IFERROR(INDEX(FormData,$H351,f_Need)&amp;"",""))</f>
        <v/>
      </c>
    </row>
    <row r="352">
      <c r="A352" s="14" t="n">
        <v>348</v>
      </c>
      <c r="B352" s="14">
        <f>IF($H352="","",INDEX(FormData,$H352,f_Id))</f>
        <v/>
      </c>
      <c r="C352" s="15">
        <f>IF($H352="","",IFERROR(INDEX(FormData,$H352,f_Time),""))</f>
        <v/>
      </c>
      <c r="D352" s="14">
        <f>IF($H352="","",IFERROR(UPPER(LEFT(TRIM(INDEX(FormData,$H352,f_Name)),1)&amp;IFERROR(MID(TRIM(INDEX(FormData,$H352,f_Name)),FIND("^",SUBSTITUTE(TRIM(INDEX(FormData,$H352,f_Name))," ","^",LEN(TRIM(INDEX(FormData,$H352,f_Name)))-LEN(SUBSTITUTE(TRIM(INDEX(FormData,$H352,f_Name))," ",""))))+1,1),"")),""))</f>
        <v/>
      </c>
      <c r="E352" s="16">
        <f>IF($H352="","",IFERROR(INDEX(EvID,MATCH(INDEX(FormData,$H352,f_Event),EvID,0)),IFERROR(INDEX(EvID,MATCH(INDEX(FormData,$H352,f_Event),EvName,0)),IFERROR(INDEX(EvID,MATCH(INT($C352),EvDate,0)),"(no event that day)"))))</f>
        <v/>
      </c>
      <c r="F352" s="16">
        <f>IF($H352="","",IFERROR(IF(SUMPRODUCT(MAX((WhoKW&lt;&gt;"")*ISNUMBER(SEARCH(WhoKW,INDEX(FormData,$H352,f_Who)&amp;""))*(ROW(WhoKW)-MIN(ROW(WhoKW))+1)))=0,"",INDEX(WhoVal,SUMPRODUCT(MAX((WhoKW&lt;&gt;"")*ISNUMBER(SEARCH(WhoKW,INDEX(FormData,$H352,f_Who)&amp;""))*(ROW(WhoKW)-MIN(ROW(WhoKW))+1))))),""))</f>
        <v/>
      </c>
      <c r="G352" s="14">
        <f>IF($H352="","",IF(COUNTIF(People!$U$5:$U$604,$B352)+COUNTIF(People!$U$5:$U$604,$B352&amp;"")&gt;0,"✓ logged","→ add"))</f>
        <v/>
      </c>
      <c r="H352">
        <f>IFERROR(IF(INDEX(FormData,349,f_Id)&amp;""="","",349),"")</f>
        <v/>
      </c>
      <c r="I352" s="16">
        <f>IF($H352="","",IFERROR(INDEX(FormData,$H352,f_Need)&amp;"",""))</f>
        <v/>
      </c>
    </row>
    <row r="353">
      <c r="A353" s="14" t="n">
        <v>349</v>
      </c>
      <c r="B353" s="14">
        <f>IF($H353="","",INDEX(FormData,$H353,f_Id))</f>
        <v/>
      </c>
      <c r="C353" s="15">
        <f>IF($H353="","",IFERROR(INDEX(FormData,$H353,f_Time),""))</f>
        <v/>
      </c>
      <c r="D353" s="14">
        <f>IF($H353="","",IFERROR(UPPER(LEFT(TRIM(INDEX(FormData,$H353,f_Name)),1)&amp;IFERROR(MID(TRIM(INDEX(FormData,$H353,f_Name)),FIND("^",SUBSTITUTE(TRIM(INDEX(FormData,$H353,f_Name))," ","^",LEN(TRIM(INDEX(FormData,$H353,f_Name)))-LEN(SUBSTITUTE(TRIM(INDEX(FormData,$H353,f_Name))," ",""))))+1,1),"")),""))</f>
        <v/>
      </c>
      <c r="E353" s="16">
        <f>IF($H353="","",IFERROR(INDEX(EvID,MATCH(INDEX(FormData,$H353,f_Event),EvID,0)),IFERROR(INDEX(EvID,MATCH(INDEX(FormData,$H353,f_Event),EvName,0)),IFERROR(INDEX(EvID,MATCH(INT($C353),EvDate,0)),"(no event that day)"))))</f>
        <v/>
      </c>
      <c r="F353" s="16">
        <f>IF($H353="","",IFERROR(IF(SUMPRODUCT(MAX((WhoKW&lt;&gt;"")*ISNUMBER(SEARCH(WhoKW,INDEX(FormData,$H353,f_Who)&amp;""))*(ROW(WhoKW)-MIN(ROW(WhoKW))+1)))=0,"",INDEX(WhoVal,SUMPRODUCT(MAX((WhoKW&lt;&gt;"")*ISNUMBER(SEARCH(WhoKW,INDEX(FormData,$H353,f_Who)&amp;""))*(ROW(WhoKW)-MIN(ROW(WhoKW))+1))))),""))</f>
        <v/>
      </c>
      <c r="G353" s="14">
        <f>IF($H353="","",IF(COUNTIF(People!$U$5:$U$604,$B353)+COUNTIF(People!$U$5:$U$604,$B353&amp;"")&gt;0,"✓ logged","→ add"))</f>
        <v/>
      </c>
      <c r="H353">
        <f>IFERROR(IF(INDEX(FormData,350,f_Id)&amp;""="","",350),"")</f>
        <v/>
      </c>
      <c r="I353" s="16">
        <f>IF($H353="","",IFERROR(INDEX(FormData,$H353,f_Need)&amp;"",""))</f>
        <v/>
      </c>
    </row>
    <row r="354">
      <c r="A354" s="14" t="n">
        <v>350</v>
      </c>
      <c r="B354" s="14">
        <f>IF($H354="","",INDEX(FormData,$H354,f_Id))</f>
        <v/>
      </c>
      <c r="C354" s="15">
        <f>IF($H354="","",IFERROR(INDEX(FormData,$H354,f_Time),""))</f>
        <v/>
      </c>
      <c r="D354" s="14">
        <f>IF($H354="","",IFERROR(UPPER(LEFT(TRIM(INDEX(FormData,$H354,f_Name)),1)&amp;IFERROR(MID(TRIM(INDEX(FormData,$H354,f_Name)),FIND("^",SUBSTITUTE(TRIM(INDEX(FormData,$H354,f_Name))," ","^",LEN(TRIM(INDEX(FormData,$H354,f_Name)))-LEN(SUBSTITUTE(TRIM(INDEX(FormData,$H354,f_Name))," ",""))))+1,1),"")),""))</f>
        <v/>
      </c>
      <c r="E354" s="16">
        <f>IF($H354="","",IFERROR(INDEX(EvID,MATCH(INDEX(FormData,$H354,f_Event),EvID,0)),IFERROR(INDEX(EvID,MATCH(INDEX(FormData,$H354,f_Event),EvName,0)),IFERROR(INDEX(EvID,MATCH(INT($C354),EvDate,0)),"(no event that day)"))))</f>
        <v/>
      </c>
      <c r="F354" s="16">
        <f>IF($H354="","",IFERROR(IF(SUMPRODUCT(MAX((WhoKW&lt;&gt;"")*ISNUMBER(SEARCH(WhoKW,INDEX(FormData,$H354,f_Who)&amp;""))*(ROW(WhoKW)-MIN(ROW(WhoKW))+1)))=0,"",INDEX(WhoVal,SUMPRODUCT(MAX((WhoKW&lt;&gt;"")*ISNUMBER(SEARCH(WhoKW,INDEX(FormData,$H354,f_Who)&amp;""))*(ROW(WhoKW)-MIN(ROW(WhoKW))+1))))),""))</f>
        <v/>
      </c>
      <c r="G354" s="14">
        <f>IF($H354="","",IF(COUNTIF(People!$U$5:$U$604,$B354)+COUNTIF(People!$U$5:$U$604,$B354&amp;"")&gt;0,"✓ logged","→ add"))</f>
        <v/>
      </c>
      <c r="H354">
        <f>IFERROR(IF(INDEX(FormData,351,f_Id)&amp;""="","",351),"")</f>
        <v/>
      </c>
      <c r="I354" s="16">
        <f>IF($H354="","",IFERROR(INDEX(FormData,$H354,f_Need)&amp;"",""))</f>
        <v/>
      </c>
    </row>
    <row r="355">
      <c r="A355" s="14" t="n">
        <v>351</v>
      </c>
      <c r="B355" s="14">
        <f>IF($H355="","",INDEX(FormData,$H355,f_Id))</f>
        <v/>
      </c>
      <c r="C355" s="15">
        <f>IF($H355="","",IFERROR(INDEX(FormData,$H355,f_Time),""))</f>
        <v/>
      </c>
      <c r="D355" s="14">
        <f>IF($H355="","",IFERROR(UPPER(LEFT(TRIM(INDEX(FormData,$H355,f_Name)),1)&amp;IFERROR(MID(TRIM(INDEX(FormData,$H355,f_Name)),FIND("^",SUBSTITUTE(TRIM(INDEX(FormData,$H355,f_Name))," ","^",LEN(TRIM(INDEX(FormData,$H355,f_Name)))-LEN(SUBSTITUTE(TRIM(INDEX(FormData,$H355,f_Name))," ",""))))+1,1),"")),""))</f>
        <v/>
      </c>
      <c r="E355" s="16">
        <f>IF($H355="","",IFERROR(INDEX(EvID,MATCH(INDEX(FormData,$H355,f_Event),EvID,0)),IFERROR(INDEX(EvID,MATCH(INDEX(FormData,$H355,f_Event),EvName,0)),IFERROR(INDEX(EvID,MATCH(INT($C355),EvDate,0)),"(no event that day)"))))</f>
        <v/>
      </c>
      <c r="F355" s="16">
        <f>IF($H355="","",IFERROR(IF(SUMPRODUCT(MAX((WhoKW&lt;&gt;"")*ISNUMBER(SEARCH(WhoKW,INDEX(FormData,$H355,f_Who)&amp;""))*(ROW(WhoKW)-MIN(ROW(WhoKW))+1)))=0,"",INDEX(WhoVal,SUMPRODUCT(MAX((WhoKW&lt;&gt;"")*ISNUMBER(SEARCH(WhoKW,INDEX(FormData,$H355,f_Who)&amp;""))*(ROW(WhoKW)-MIN(ROW(WhoKW))+1))))),""))</f>
        <v/>
      </c>
      <c r="G355" s="14">
        <f>IF($H355="","",IF(COUNTIF(People!$U$5:$U$604,$B355)+COUNTIF(People!$U$5:$U$604,$B355&amp;"")&gt;0,"✓ logged","→ add"))</f>
        <v/>
      </c>
      <c r="H355">
        <f>IFERROR(IF(INDEX(FormData,352,f_Id)&amp;""="","",352),"")</f>
        <v/>
      </c>
      <c r="I355" s="16">
        <f>IF($H355="","",IFERROR(INDEX(FormData,$H355,f_Need)&amp;"",""))</f>
        <v/>
      </c>
    </row>
    <row r="356">
      <c r="A356" s="14" t="n">
        <v>352</v>
      </c>
      <c r="B356" s="14">
        <f>IF($H356="","",INDEX(FormData,$H356,f_Id))</f>
        <v/>
      </c>
      <c r="C356" s="15">
        <f>IF($H356="","",IFERROR(INDEX(FormData,$H356,f_Time),""))</f>
        <v/>
      </c>
      <c r="D356" s="14">
        <f>IF($H356="","",IFERROR(UPPER(LEFT(TRIM(INDEX(FormData,$H356,f_Name)),1)&amp;IFERROR(MID(TRIM(INDEX(FormData,$H356,f_Name)),FIND("^",SUBSTITUTE(TRIM(INDEX(FormData,$H356,f_Name))," ","^",LEN(TRIM(INDEX(FormData,$H356,f_Name)))-LEN(SUBSTITUTE(TRIM(INDEX(FormData,$H356,f_Name))," ",""))))+1,1),"")),""))</f>
        <v/>
      </c>
      <c r="E356" s="16">
        <f>IF($H356="","",IFERROR(INDEX(EvID,MATCH(INDEX(FormData,$H356,f_Event),EvID,0)),IFERROR(INDEX(EvID,MATCH(INDEX(FormData,$H356,f_Event),EvName,0)),IFERROR(INDEX(EvID,MATCH(INT($C356),EvDate,0)),"(no event that day)"))))</f>
        <v/>
      </c>
      <c r="F356" s="16">
        <f>IF($H356="","",IFERROR(IF(SUMPRODUCT(MAX((WhoKW&lt;&gt;"")*ISNUMBER(SEARCH(WhoKW,INDEX(FormData,$H356,f_Who)&amp;""))*(ROW(WhoKW)-MIN(ROW(WhoKW))+1)))=0,"",INDEX(WhoVal,SUMPRODUCT(MAX((WhoKW&lt;&gt;"")*ISNUMBER(SEARCH(WhoKW,INDEX(FormData,$H356,f_Who)&amp;""))*(ROW(WhoKW)-MIN(ROW(WhoKW))+1))))),""))</f>
        <v/>
      </c>
      <c r="G356" s="14">
        <f>IF($H356="","",IF(COUNTIF(People!$U$5:$U$604,$B356)+COUNTIF(People!$U$5:$U$604,$B356&amp;"")&gt;0,"✓ logged","→ add"))</f>
        <v/>
      </c>
      <c r="H356">
        <f>IFERROR(IF(INDEX(FormData,353,f_Id)&amp;""="","",353),"")</f>
        <v/>
      </c>
      <c r="I356" s="16">
        <f>IF($H356="","",IFERROR(INDEX(FormData,$H356,f_Need)&amp;"",""))</f>
        <v/>
      </c>
    </row>
    <row r="357">
      <c r="A357" s="14" t="n">
        <v>353</v>
      </c>
      <c r="B357" s="14">
        <f>IF($H357="","",INDEX(FormData,$H357,f_Id))</f>
        <v/>
      </c>
      <c r="C357" s="15">
        <f>IF($H357="","",IFERROR(INDEX(FormData,$H357,f_Time),""))</f>
        <v/>
      </c>
      <c r="D357" s="14">
        <f>IF($H357="","",IFERROR(UPPER(LEFT(TRIM(INDEX(FormData,$H357,f_Name)),1)&amp;IFERROR(MID(TRIM(INDEX(FormData,$H357,f_Name)),FIND("^",SUBSTITUTE(TRIM(INDEX(FormData,$H357,f_Name))," ","^",LEN(TRIM(INDEX(FormData,$H357,f_Name)))-LEN(SUBSTITUTE(TRIM(INDEX(FormData,$H357,f_Name))," ",""))))+1,1),"")),""))</f>
        <v/>
      </c>
      <c r="E357" s="16">
        <f>IF($H357="","",IFERROR(INDEX(EvID,MATCH(INDEX(FormData,$H357,f_Event),EvID,0)),IFERROR(INDEX(EvID,MATCH(INDEX(FormData,$H357,f_Event),EvName,0)),IFERROR(INDEX(EvID,MATCH(INT($C357),EvDate,0)),"(no event that day)"))))</f>
        <v/>
      </c>
      <c r="F357" s="16">
        <f>IF($H357="","",IFERROR(IF(SUMPRODUCT(MAX((WhoKW&lt;&gt;"")*ISNUMBER(SEARCH(WhoKW,INDEX(FormData,$H357,f_Who)&amp;""))*(ROW(WhoKW)-MIN(ROW(WhoKW))+1)))=0,"",INDEX(WhoVal,SUMPRODUCT(MAX((WhoKW&lt;&gt;"")*ISNUMBER(SEARCH(WhoKW,INDEX(FormData,$H357,f_Who)&amp;""))*(ROW(WhoKW)-MIN(ROW(WhoKW))+1))))),""))</f>
        <v/>
      </c>
      <c r="G357" s="14">
        <f>IF($H357="","",IF(COUNTIF(People!$U$5:$U$604,$B357)+COUNTIF(People!$U$5:$U$604,$B357&amp;"")&gt;0,"✓ logged","→ add"))</f>
        <v/>
      </c>
      <c r="H357">
        <f>IFERROR(IF(INDEX(FormData,354,f_Id)&amp;""="","",354),"")</f>
        <v/>
      </c>
      <c r="I357" s="16">
        <f>IF($H357="","",IFERROR(INDEX(FormData,$H357,f_Need)&amp;"",""))</f>
        <v/>
      </c>
    </row>
    <row r="358">
      <c r="A358" s="14" t="n">
        <v>354</v>
      </c>
      <c r="B358" s="14">
        <f>IF($H358="","",INDEX(FormData,$H358,f_Id))</f>
        <v/>
      </c>
      <c r="C358" s="15">
        <f>IF($H358="","",IFERROR(INDEX(FormData,$H358,f_Time),""))</f>
        <v/>
      </c>
      <c r="D358" s="14">
        <f>IF($H358="","",IFERROR(UPPER(LEFT(TRIM(INDEX(FormData,$H358,f_Name)),1)&amp;IFERROR(MID(TRIM(INDEX(FormData,$H358,f_Name)),FIND("^",SUBSTITUTE(TRIM(INDEX(FormData,$H358,f_Name))," ","^",LEN(TRIM(INDEX(FormData,$H358,f_Name)))-LEN(SUBSTITUTE(TRIM(INDEX(FormData,$H358,f_Name))," ",""))))+1,1),"")),""))</f>
        <v/>
      </c>
      <c r="E358" s="16">
        <f>IF($H358="","",IFERROR(INDEX(EvID,MATCH(INDEX(FormData,$H358,f_Event),EvID,0)),IFERROR(INDEX(EvID,MATCH(INDEX(FormData,$H358,f_Event),EvName,0)),IFERROR(INDEX(EvID,MATCH(INT($C358),EvDate,0)),"(no event that day)"))))</f>
        <v/>
      </c>
      <c r="F358" s="16">
        <f>IF($H358="","",IFERROR(IF(SUMPRODUCT(MAX((WhoKW&lt;&gt;"")*ISNUMBER(SEARCH(WhoKW,INDEX(FormData,$H358,f_Who)&amp;""))*(ROW(WhoKW)-MIN(ROW(WhoKW))+1)))=0,"",INDEX(WhoVal,SUMPRODUCT(MAX((WhoKW&lt;&gt;"")*ISNUMBER(SEARCH(WhoKW,INDEX(FormData,$H358,f_Who)&amp;""))*(ROW(WhoKW)-MIN(ROW(WhoKW))+1))))),""))</f>
        <v/>
      </c>
      <c r="G358" s="14">
        <f>IF($H358="","",IF(COUNTIF(People!$U$5:$U$604,$B358)+COUNTIF(People!$U$5:$U$604,$B358&amp;"")&gt;0,"✓ logged","→ add"))</f>
        <v/>
      </c>
      <c r="H358">
        <f>IFERROR(IF(INDEX(FormData,355,f_Id)&amp;""="","",355),"")</f>
        <v/>
      </c>
      <c r="I358" s="16">
        <f>IF($H358="","",IFERROR(INDEX(FormData,$H358,f_Need)&amp;"",""))</f>
        <v/>
      </c>
    </row>
    <row r="359">
      <c r="A359" s="14" t="n">
        <v>355</v>
      </c>
      <c r="B359" s="14">
        <f>IF($H359="","",INDEX(FormData,$H359,f_Id))</f>
        <v/>
      </c>
      <c r="C359" s="15">
        <f>IF($H359="","",IFERROR(INDEX(FormData,$H359,f_Time),""))</f>
        <v/>
      </c>
      <c r="D359" s="14">
        <f>IF($H359="","",IFERROR(UPPER(LEFT(TRIM(INDEX(FormData,$H359,f_Name)),1)&amp;IFERROR(MID(TRIM(INDEX(FormData,$H359,f_Name)),FIND("^",SUBSTITUTE(TRIM(INDEX(FormData,$H359,f_Name))," ","^",LEN(TRIM(INDEX(FormData,$H359,f_Name)))-LEN(SUBSTITUTE(TRIM(INDEX(FormData,$H359,f_Name))," ",""))))+1,1),"")),""))</f>
        <v/>
      </c>
      <c r="E359" s="16">
        <f>IF($H359="","",IFERROR(INDEX(EvID,MATCH(INDEX(FormData,$H359,f_Event),EvID,0)),IFERROR(INDEX(EvID,MATCH(INDEX(FormData,$H359,f_Event),EvName,0)),IFERROR(INDEX(EvID,MATCH(INT($C359),EvDate,0)),"(no event that day)"))))</f>
        <v/>
      </c>
      <c r="F359" s="16">
        <f>IF($H359="","",IFERROR(IF(SUMPRODUCT(MAX((WhoKW&lt;&gt;"")*ISNUMBER(SEARCH(WhoKW,INDEX(FormData,$H359,f_Who)&amp;""))*(ROW(WhoKW)-MIN(ROW(WhoKW))+1)))=0,"",INDEX(WhoVal,SUMPRODUCT(MAX((WhoKW&lt;&gt;"")*ISNUMBER(SEARCH(WhoKW,INDEX(FormData,$H359,f_Who)&amp;""))*(ROW(WhoKW)-MIN(ROW(WhoKW))+1))))),""))</f>
        <v/>
      </c>
      <c r="G359" s="14">
        <f>IF($H359="","",IF(COUNTIF(People!$U$5:$U$604,$B359)+COUNTIF(People!$U$5:$U$604,$B359&amp;"")&gt;0,"✓ logged","→ add"))</f>
        <v/>
      </c>
      <c r="H359">
        <f>IFERROR(IF(INDEX(FormData,356,f_Id)&amp;""="","",356),"")</f>
        <v/>
      </c>
      <c r="I359" s="16">
        <f>IF($H359="","",IFERROR(INDEX(FormData,$H359,f_Need)&amp;"",""))</f>
        <v/>
      </c>
    </row>
    <row r="360">
      <c r="A360" s="14" t="n">
        <v>356</v>
      </c>
      <c r="B360" s="14">
        <f>IF($H360="","",INDEX(FormData,$H360,f_Id))</f>
        <v/>
      </c>
      <c r="C360" s="15">
        <f>IF($H360="","",IFERROR(INDEX(FormData,$H360,f_Time),""))</f>
        <v/>
      </c>
      <c r="D360" s="14">
        <f>IF($H360="","",IFERROR(UPPER(LEFT(TRIM(INDEX(FormData,$H360,f_Name)),1)&amp;IFERROR(MID(TRIM(INDEX(FormData,$H360,f_Name)),FIND("^",SUBSTITUTE(TRIM(INDEX(FormData,$H360,f_Name))," ","^",LEN(TRIM(INDEX(FormData,$H360,f_Name)))-LEN(SUBSTITUTE(TRIM(INDEX(FormData,$H360,f_Name))," ",""))))+1,1),"")),""))</f>
        <v/>
      </c>
      <c r="E360" s="16">
        <f>IF($H360="","",IFERROR(INDEX(EvID,MATCH(INDEX(FormData,$H360,f_Event),EvID,0)),IFERROR(INDEX(EvID,MATCH(INDEX(FormData,$H360,f_Event),EvName,0)),IFERROR(INDEX(EvID,MATCH(INT($C360),EvDate,0)),"(no event that day)"))))</f>
        <v/>
      </c>
      <c r="F360" s="16">
        <f>IF($H360="","",IFERROR(IF(SUMPRODUCT(MAX((WhoKW&lt;&gt;"")*ISNUMBER(SEARCH(WhoKW,INDEX(FormData,$H360,f_Who)&amp;""))*(ROW(WhoKW)-MIN(ROW(WhoKW))+1)))=0,"",INDEX(WhoVal,SUMPRODUCT(MAX((WhoKW&lt;&gt;"")*ISNUMBER(SEARCH(WhoKW,INDEX(FormData,$H360,f_Who)&amp;""))*(ROW(WhoKW)-MIN(ROW(WhoKW))+1))))),""))</f>
        <v/>
      </c>
      <c r="G360" s="14">
        <f>IF($H360="","",IF(COUNTIF(People!$U$5:$U$604,$B360)+COUNTIF(People!$U$5:$U$604,$B360&amp;"")&gt;0,"✓ logged","→ add"))</f>
        <v/>
      </c>
      <c r="H360">
        <f>IFERROR(IF(INDEX(FormData,357,f_Id)&amp;""="","",357),"")</f>
        <v/>
      </c>
      <c r="I360" s="16">
        <f>IF($H360="","",IFERROR(INDEX(FormData,$H360,f_Need)&amp;"",""))</f>
        <v/>
      </c>
    </row>
    <row r="361">
      <c r="A361" s="14" t="n">
        <v>357</v>
      </c>
      <c r="B361" s="14">
        <f>IF($H361="","",INDEX(FormData,$H361,f_Id))</f>
        <v/>
      </c>
      <c r="C361" s="15">
        <f>IF($H361="","",IFERROR(INDEX(FormData,$H361,f_Time),""))</f>
        <v/>
      </c>
      <c r="D361" s="14">
        <f>IF($H361="","",IFERROR(UPPER(LEFT(TRIM(INDEX(FormData,$H361,f_Name)),1)&amp;IFERROR(MID(TRIM(INDEX(FormData,$H361,f_Name)),FIND("^",SUBSTITUTE(TRIM(INDEX(FormData,$H361,f_Name))," ","^",LEN(TRIM(INDEX(FormData,$H361,f_Name)))-LEN(SUBSTITUTE(TRIM(INDEX(FormData,$H361,f_Name))," ",""))))+1,1),"")),""))</f>
        <v/>
      </c>
      <c r="E361" s="16">
        <f>IF($H361="","",IFERROR(INDEX(EvID,MATCH(INDEX(FormData,$H361,f_Event),EvID,0)),IFERROR(INDEX(EvID,MATCH(INDEX(FormData,$H361,f_Event),EvName,0)),IFERROR(INDEX(EvID,MATCH(INT($C361),EvDate,0)),"(no event that day)"))))</f>
        <v/>
      </c>
      <c r="F361" s="16">
        <f>IF($H361="","",IFERROR(IF(SUMPRODUCT(MAX((WhoKW&lt;&gt;"")*ISNUMBER(SEARCH(WhoKW,INDEX(FormData,$H361,f_Who)&amp;""))*(ROW(WhoKW)-MIN(ROW(WhoKW))+1)))=0,"",INDEX(WhoVal,SUMPRODUCT(MAX((WhoKW&lt;&gt;"")*ISNUMBER(SEARCH(WhoKW,INDEX(FormData,$H361,f_Who)&amp;""))*(ROW(WhoKW)-MIN(ROW(WhoKW))+1))))),""))</f>
        <v/>
      </c>
      <c r="G361" s="14">
        <f>IF($H361="","",IF(COUNTIF(People!$U$5:$U$604,$B361)+COUNTIF(People!$U$5:$U$604,$B361&amp;"")&gt;0,"✓ logged","→ add"))</f>
        <v/>
      </c>
      <c r="H361">
        <f>IFERROR(IF(INDEX(FormData,358,f_Id)&amp;""="","",358),"")</f>
        <v/>
      </c>
      <c r="I361" s="16">
        <f>IF($H361="","",IFERROR(INDEX(FormData,$H361,f_Need)&amp;"",""))</f>
        <v/>
      </c>
    </row>
    <row r="362">
      <c r="A362" s="14" t="n">
        <v>358</v>
      </c>
      <c r="B362" s="14">
        <f>IF($H362="","",INDEX(FormData,$H362,f_Id))</f>
        <v/>
      </c>
      <c r="C362" s="15">
        <f>IF($H362="","",IFERROR(INDEX(FormData,$H362,f_Time),""))</f>
        <v/>
      </c>
      <c r="D362" s="14">
        <f>IF($H362="","",IFERROR(UPPER(LEFT(TRIM(INDEX(FormData,$H362,f_Name)),1)&amp;IFERROR(MID(TRIM(INDEX(FormData,$H362,f_Name)),FIND("^",SUBSTITUTE(TRIM(INDEX(FormData,$H362,f_Name))," ","^",LEN(TRIM(INDEX(FormData,$H362,f_Name)))-LEN(SUBSTITUTE(TRIM(INDEX(FormData,$H362,f_Name))," ",""))))+1,1),"")),""))</f>
        <v/>
      </c>
      <c r="E362" s="16">
        <f>IF($H362="","",IFERROR(INDEX(EvID,MATCH(INDEX(FormData,$H362,f_Event),EvID,0)),IFERROR(INDEX(EvID,MATCH(INDEX(FormData,$H362,f_Event),EvName,0)),IFERROR(INDEX(EvID,MATCH(INT($C362),EvDate,0)),"(no event that day)"))))</f>
        <v/>
      </c>
      <c r="F362" s="16">
        <f>IF($H362="","",IFERROR(IF(SUMPRODUCT(MAX((WhoKW&lt;&gt;"")*ISNUMBER(SEARCH(WhoKW,INDEX(FormData,$H362,f_Who)&amp;""))*(ROW(WhoKW)-MIN(ROW(WhoKW))+1)))=0,"",INDEX(WhoVal,SUMPRODUCT(MAX((WhoKW&lt;&gt;"")*ISNUMBER(SEARCH(WhoKW,INDEX(FormData,$H362,f_Who)&amp;""))*(ROW(WhoKW)-MIN(ROW(WhoKW))+1))))),""))</f>
        <v/>
      </c>
      <c r="G362" s="14">
        <f>IF($H362="","",IF(COUNTIF(People!$U$5:$U$604,$B362)+COUNTIF(People!$U$5:$U$604,$B362&amp;"")&gt;0,"✓ logged","→ add"))</f>
        <v/>
      </c>
      <c r="H362">
        <f>IFERROR(IF(INDEX(FormData,359,f_Id)&amp;""="","",359),"")</f>
        <v/>
      </c>
      <c r="I362" s="16">
        <f>IF($H362="","",IFERROR(INDEX(FormData,$H362,f_Need)&amp;"",""))</f>
        <v/>
      </c>
    </row>
    <row r="363">
      <c r="A363" s="14" t="n">
        <v>359</v>
      </c>
      <c r="B363" s="14">
        <f>IF($H363="","",INDEX(FormData,$H363,f_Id))</f>
        <v/>
      </c>
      <c r="C363" s="15">
        <f>IF($H363="","",IFERROR(INDEX(FormData,$H363,f_Time),""))</f>
        <v/>
      </c>
      <c r="D363" s="14">
        <f>IF($H363="","",IFERROR(UPPER(LEFT(TRIM(INDEX(FormData,$H363,f_Name)),1)&amp;IFERROR(MID(TRIM(INDEX(FormData,$H363,f_Name)),FIND("^",SUBSTITUTE(TRIM(INDEX(FormData,$H363,f_Name))," ","^",LEN(TRIM(INDEX(FormData,$H363,f_Name)))-LEN(SUBSTITUTE(TRIM(INDEX(FormData,$H363,f_Name))," ",""))))+1,1),"")),""))</f>
        <v/>
      </c>
      <c r="E363" s="16">
        <f>IF($H363="","",IFERROR(INDEX(EvID,MATCH(INDEX(FormData,$H363,f_Event),EvID,0)),IFERROR(INDEX(EvID,MATCH(INDEX(FormData,$H363,f_Event),EvName,0)),IFERROR(INDEX(EvID,MATCH(INT($C363),EvDate,0)),"(no event that day)"))))</f>
        <v/>
      </c>
      <c r="F363" s="16">
        <f>IF($H363="","",IFERROR(IF(SUMPRODUCT(MAX((WhoKW&lt;&gt;"")*ISNUMBER(SEARCH(WhoKW,INDEX(FormData,$H363,f_Who)&amp;""))*(ROW(WhoKW)-MIN(ROW(WhoKW))+1)))=0,"",INDEX(WhoVal,SUMPRODUCT(MAX((WhoKW&lt;&gt;"")*ISNUMBER(SEARCH(WhoKW,INDEX(FormData,$H363,f_Who)&amp;""))*(ROW(WhoKW)-MIN(ROW(WhoKW))+1))))),""))</f>
        <v/>
      </c>
      <c r="G363" s="14">
        <f>IF($H363="","",IF(COUNTIF(People!$U$5:$U$604,$B363)+COUNTIF(People!$U$5:$U$604,$B363&amp;"")&gt;0,"✓ logged","→ add"))</f>
        <v/>
      </c>
      <c r="H363">
        <f>IFERROR(IF(INDEX(FormData,360,f_Id)&amp;""="","",360),"")</f>
        <v/>
      </c>
      <c r="I363" s="16">
        <f>IF($H363="","",IFERROR(INDEX(FormData,$H363,f_Need)&amp;"",""))</f>
        <v/>
      </c>
    </row>
    <row r="364">
      <c r="A364" s="14" t="n">
        <v>360</v>
      </c>
      <c r="B364" s="14">
        <f>IF($H364="","",INDEX(FormData,$H364,f_Id))</f>
        <v/>
      </c>
      <c r="C364" s="15">
        <f>IF($H364="","",IFERROR(INDEX(FormData,$H364,f_Time),""))</f>
        <v/>
      </c>
      <c r="D364" s="14">
        <f>IF($H364="","",IFERROR(UPPER(LEFT(TRIM(INDEX(FormData,$H364,f_Name)),1)&amp;IFERROR(MID(TRIM(INDEX(FormData,$H364,f_Name)),FIND("^",SUBSTITUTE(TRIM(INDEX(FormData,$H364,f_Name))," ","^",LEN(TRIM(INDEX(FormData,$H364,f_Name)))-LEN(SUBSTITUTE(TRIM(INDEX(FormData,$H364,f_Name))," ",""))))+1,1),"")),""))</f>
        <v/>
      </c>
      <c r="E364" s="16">
        <f>IF($H364="","",IFERROR(INDEX(EvID,MATCH(INDEX(FormData,$H364,f_Event),EvID,0)),IFERROR(INDEX(EvID,MATCH(INDEX(FormData,$H364,f_Event),EvName,0)),IFERROR(INDEX(EvID,MATCH(INT($C364),EvDate,0)),"(no event that day)"))))</f>
        <v/>
      </c>
      <c r="F364" s="16">
        <f>IF($H364="","",IFERROR(IF(SUMPRODUCT(MAX((WhoKW&lt;&gt;"")*ISNUMBER(SEARCH(WhoKW,INDEX(FormData,$H364,f_Who)&amp;""))*(ROW(WhoKW)-MIN(ROW(WhoKW))+1)))=0,"",INDEX(WhoVal,SUMPRODUCT(MAX((WhoKW&lt;&gt;"")*ISNUMBER(SEARCH(WhoKW,INDEX(FormData,$H364,f_Who)&amp;""))*(ROW(WhoKW)-MIN(ROW(WhoKW))+1))))),""))</f>
        <v/>
      </c>
      <c r="G364" s="14">
        <f>IF($H364="","",IF(COUNTIF(People!$U$5:$U$604,$B364)+COUNTIF(People!$U$5:$U$604,$B364&amp;"")&gt;0,"✓ logged","→ add"))</f>
        <v/>
      </c>
      <c r="H364">
        <f>IFERROR(IF(INDEX(FormData,361,f_Id)&amp;""="","",361),"")</f>
        <v/>
      </c>
      <c r="I364" s="16">
        <f>IF($H364="","",IFERROR(INDEX(FormData,$H364,f_Need)&amp;"",""))</f>
        <v/>
      </c>
    </row>
    <row r="365">
      <c r="A365" s="14" t="n">
        <v>361</v>
      </c>
      <c r="B365" s="14">
        <f>IF($H365="","",INDEX(FormData,$H365,f_Id))</f>
        <v/>
      </c>
      <c r="C365" s="15">
        <f>IF($H365="","",IFERROR(INDEX(FormData,$H365,f_Time),""))</f>
        <v/>
      </c>
      <c r="D365" s="14">
        <f>IF($H365="","",IFERROR(UPPER(LEFT(TRIM(INDEX(FormData,$H365,f_Name)),1)&amp;IFERROR(MID(TRIM(INDEX(FormData,$H365,f_Name)),FIND("^",SUBSTITUTE(TRIM(INDEX(FormData,$H365,f_Name))," ","^",LEN(TRIM(INDEX(FormData,$H365,f_Name)))-LEN(SUBSTITUTE(TRIM(INDEX(FormData,$H365,f_Name))," ",""))))+1,1),"")),""))</f>
        <v/>
      </c>
      <c r="E365" s="16">
        <f>IF($H365="","",IFERROR(INDEX(EvID,MATCH(INDEX(FormData,$H365,f_Event),EvID,0)),IFERROR(INDEX(EvID,MATCH(INDEX(FormData,$H365,f_Event),EvName,0)),IFERROR(INDEX(EvID,MATCH(INT($C365),EvDate,0)),"(no event that day)"))))</f>
        <v/>
      </c>
      <c r="F365" s="16">
        <f>IF($H365="","",IFERROR(IF(SUMPRODUCT(MAX((WhoKW&lt;&gt;"")*ISNUMBER(SEARCH(WhoKW,INDEX(FormData,$H365,f_Who)&amp;""))*(ROW(WhoKW)-MIN(ROW(WhoKW))+1)))=0,"",INDEX(WhoVal,SUMPRODUCT(MAX((WhoKW&lt;&gt;"")*ISNUMBER(SEARCH(WhoKW,INDEX(FormData,$H365,f_Who)&amp;""))*(ROW(WhoKW)-MIN(ROW(WhoKW))+1))))),""))</f>
        <v/>
      </c>
      <c r="G365" s="14">
        <f>IF($H365="","",IF(COUNTIF(People!$U$5:$U$604,$B365)+COUNTIF(People!$U$5:$U$604,$B365&amp;"")&gt;0,"✓ logged","→ add"))</f>
        <v/>
      </c>
      <c r="H365">
        <f>IFERROR(IF(INDEX(FormData,362,f_Id)&amp;""="","",362),"")</f>
        <v/>
      </c>
      <c r="I365" s="16">
        <f>IF($H365="","",IFERROR(INDEX(FormData,$H365,f_Need)&amp;"",""))</f>
        <v/>
      </c>
    </row>
    <row r="366">
      <c r="A366" s="14" t="n">
        <v>362</v>
      </c>
      <c r="B366" s="14">
        <f>IF($H366="","",INDEX(FormData,$H366,f_Id))</f>
        <v/>
      </c>
      <c r="C366" s="15">
        <f>IF($H366="","",IFERROR(INDEX(FormData,$H366,f_Time),""))</f>
        <v/>
      </c>
      <c r="D366" s="14">
        <f>IF($H366="","",IFERROR(UPPER(LEFT(TRIM(INDEX(FormData,$H366,f_Name)),1)&amp;IFERROR(MID(TRIM(INDEX(FormData,$H366,f_Name)),FIND("^",SUBSTITUTE(TRIM(INDEX(FormData,$H366,f_Name))," ","^",LEN(TRIM(INDEX(FormData,$H366,f_Name)))-LEN(SUBSTITUTE(TRIM(INDEX(FormData,$H366,f_Name))," ",""))))+1,1),"")),""))</f>
        <v/>
      </c>
      <c r="E366" s="16">
        <f>IF($H366="","",IFERROR(INDEX(EvID,MATCH(INDEX(FormData,$H366,f_Event),EvID,0)),IFERROR(INDEX(EvID,MATCH(INDEX(FormData,$H366,f_Event),EvName,0)),IFERROR(INDEX(EvID,MATCH(INT($C366),EvDate,0)),"(no event that day)"))))</f>
        <v/>
      </c>
      <c r="F366" s="16">
        <f>IF($H366="","",IFERROR(IF(SUMPRODUCT(MAX((WhoKW&lt;&gt;"")*ISNUMBER(SEARCH(WhoKW,INDEX(FormData,$H366,f_Who)&amp;""))*(ROW(WhoKW)-MIN(ROW(WhoKW))+1)))=0,"",INDEX(WhoVal,SUMPRODUCT(MAX((WhoKW&lt;&gt;"")*ISNUMBER(SEARCH(WhoKW,INDEX(FormData,$H366,f_Who)&amp;""))*(ROW(WhoKW)-MIN(ROW(WhoKW))+1))))),""))</f>
        <v/>
      </c>
      <c r="G366" s="14">
        <f>IF($H366="","",IF(COUNTIF(People!$U$5:$U$604,$B366)+COUNTIF(People!$U$5:$U$604,$B366&amp;"")&gt;0,"✓ logged","→ add"))</f>
        <v/>
      </c>
      <c r="H366">
        <f>IFERROR(IF(INDEX(FormData,363,f_Id)&amp;""="","",363),"")</f>
        <v/>
      </c>
      <c r="I366" s="16">
        <f>IF($H366="","",IFERROR(INDEX(FormData,$H366,f_Need)&amp;"",""))</f>
        <v/>
      </c>
    </row>
    <row r="367">
      <c r="A367" s="14" t="n">
        <v>363</v>
      </c>
      <c r="B367" s="14">
        <f>IF($H367="","",INDEX(FormData,$H367,f_Id))</f>
        <v/>
      </c>
      <c r="C367" s="15">
        <f>IF($H367="","",IFERROR(INDEX(FormData,$H367,f_Time),""))</f>
        <v/>
      </c>
      <c r="D367" s="14">
        <f>IF($H367="","",IFERROR(UPPER(LEFT(TRIM(INDEX(FormData,$H367,f_Name)),1)&amp;IFERROR(MID(TRIM(INDEX(FormData,$H367,f_Name)),FIND("^",SUBSTITUTE(TRIM(INDEX(FormData,$H367,f_Name))," ","^",LEN(TRIM(INDEX(FormData,$H367,f_Name)))-LEN(SUBSTITUTE(TRIM(INDEX(FormData,$H367,f_Name))," ",""))))+1,1),"")),""))</f>
        <v/>
      </c>
      <c r="E367" s="16">
        <f>IF($H367="","",IFERROR(INDEX(EvID,MATCH(INDEX(FormData,$H367,f_Event),EvID,0)),IFERROR(INDEX(EvID,MATCH(INDEX(FormData,$H367,f_Event),EvName,0)),IFERROR(INDEX(EvID,MATCH(INT($C367),EvDate,0)),"(no event that day)"))))</f>
        <v/>
      </c>
      <c r="F367" s="16">
        <f>IF($H367="","",IFERROR(IF(SUMPRODUCT(MAX((WhoKW&lt;&gt;"")*ISNUMBER(SEARCH(WhoKW,INDEX(FormData,$H367,f_Who)&amp;""))*(ROW(WhoKW)-MIN(ROW(WhoKW))+1)))=0,"",INDEX(WhoVal,SUMPRODUCT(MAX((WhoKW&lt;&gt;"")*ISNUMBER(SEARCH(WhoKW,INDEX(FormData,$H367,f_Who)&amp;""))*(ROW(WhoKW)-MIN(ROW(WhoKW))+1))))),""))</f>
        <v/>
      </c>
      <c r="G367" s="14">
        <f>IF($H367="","",IF(COUNTIF(People!$U$5:$U$604,$B367)+COUNTIF(People!$U$5:$U$604,$B367&amp;"")&gt;0,"✓ logged","→ add"))</f>
        <v/>
      </c>
      <c r="H367">
        <f>IFERROR(IF(INDEX(FormData,364,f_Id)&amp;""="","",364),"")</f>
        <v/>
      </c>
      <c r="I367" s="16">
        <f>IF($H367="","",IFERROR(INDEX(FormData,$H367,f_Need)&amp;"",""))</f>
        <v/>
      </c>
    </row>
    <row r="368">
      <c r="A368" s="14" t="n">
        <v>364</v>
      </c>
      <c r="B368" s="14">
        <f>IF($H368="","",INDEX(FormData,$H368,f_Id))</f>
        <v/>
      </c>
      <c r="C368" s="15">
        <f>IF($H368="","",IFERROR(INDEX(FormData,$H368,f_Time),""))</f>
        <v/>
      </c>
      <c r="D368" s="14">
        <f>IF($H368="","",IFERROR(UPPER(LEFT(TRIM(INDEX(FormData,$H368,f_Name)),1)&amp;IFERROR(MID(TRIM(INDEX(FormData,$H368,f_Name)),FIND("^",SUBSTITUTE(TRIM(INDEX(FormData,$H368,f_Name))," ","^",LEN(TRIM(INDEX(FormData,$H368,f_Name)))-LEN(SUBSTITUTE(TRIM(INDEX(FormData,$H368,f_Name))," ",""))))+1,1),"")),""))</f>
        <v/>
      </c>
      <c r="E368" s="16">
        <f>IF($H368="","",IFERROR(INDEX(EvID,MATCH(INDEX(FormData,$H368,f_Event),EvID,0)),IFERROR(INDEX(EvID,MATCH(INDEX(FormData,$H368,f_Event),EvName,0)),IFERROR(INDEX(EvID,MATCH(INT($C368),EvDate,0)),"(no event that day)"))))</f>
        <v/>
      </c>
      <c r="F368" s="16">
        <f>IF($H368="","",IFERROR(IF(SUMPRODUCT(MAX((WhoKW&lt;&gt;"")*ISNUMBER(SEARCH(WhoKW,INDEX(FormData,$H368,f_Who)&amp;""))*(ROW(WhoKW)-MIN(ROW(WhoKW))+1)))=0,"",INDEX(WhoVal,SUMPRODUCT(MAX((WhoKW&lt;&gt;"")*ISNUMBER(SEARCH(WhoKW,INDEX(FormData,$H368,f_Who)&amp;""))*(ROW(WhoKW)-MIN(ROW(WhoKW))+1))))),""))</f>
        <v/>
      </c>
      <c r="G368" s="14">
        <f>IF($H368="","",IF(COUNTIF(People!$U$5:$U$604,$B368)+COUNTIF(People!$U$5:$U$604,$B368&amp;"")&gt;0,"✓ logged","→ add"))</f>
        <v/>
      </c>
      <c r="H368">
        <f>IFERROR(IF(INDEX(FormData,365,f_Id)&amp;""="","",365),"")</f>
        <v/>
      </c>
      <c r="I368" s="16">
        <f>IF($H368="","",IFERROR(INDEX(FormData,$H368,f_Need)&amp;"",""))</f>
        <v/>
      </c>
    </row>
    <row r="369">
      <c r="A369" s="14" t="n">
        <v>365</v>
      </c>
      <c r="B369" s="14">
        <f>IF($H369="","",INDEX(FormData,$H369,f_Id))</f>
        <v/>
      </c>
      <c r="C369" s="15">
        <f>IF($H369="","",IFERROR(INDEX(FormData,$H369,f_Time),""))</f>
        <v/>
      </c>
      <c r="D369" s="14">
        <f>IF($H369="","",IFERROR(UPPER(LEFT(TRIM(INDEX(FormData,$H369,f_Name)),1)&amp;IFERROR(MID(TRIM(INDEX(FormData,$H369,f_Name)),FIND("^",SUBSTITUTE(TRIM(INDEX(FormData,$H369,f_Name))," ","^",LEN(TRIM(INDEX(FormData,$H369,f_Name)))-LEN(SUBSTITUTE(TRIM(INDEX(FormData,$H369,f_Name))," ",""))))+1,1),"")),""))</f>
        <v/>
      </c>
      <c r="E369" s="16">
        <f>IF($H369="","",IFERROR(INDEX(EvID,MATCH(INDEX(FormData,$H369,f_Event),EvID,0)),IFERROR(INDEX(EvID,MATCH(INDEX(FormData,$H369,f_Event),EvName,0)),IFERROR(INDEX(EvID,MATCH(INT($C369),EvDate,0)),"(no event that day)"))))</f>
        <v/>
      </c>
      <c r="F369" s="16">
        <f>IF($H369="","",IFERROR(IF(SUMPRODUCT(MAX((WhoKW&lt;&gt;"")*ISNUMBER(SEARCH(WhoKW,INDEX(FormData,$H369,f_Who)&amp;""))*(ROW(WhoKW)-MIN(ROW(WhoKW))+1)))=0,"",INDEX(WhoVal,SUMPRODUCT(MAX((WhoKW&lt;&gt;"")*ISNUMBER(SEARCH(WhoKW,INDEX(FormData,$H369,f_Who)&amp;""))*(ROW(WhoKW)-MIN(ROW(WhoKW))+1))))),""))</f>
        <v/>
      </c>
      <c r="G369" s="14">
        <f>IF($H369="","",IF(COUNTIF(People!$U$5:$U$604,$B369)+COUNTIF(People!$U$5:$U$604,$B369&amp;"")&gt;0,"✓ logged","→ add"))</f>
        <v/>
      </c>
      <c r="H369">
        <f>IFERROR(IF(INDEX(FormData,366,f_Id)&amp;""="","",366),"")</f>
        <v/>
      </c>
      <c r="I369" s="16">
        <f>IF($H369="","",IFERROR(INDEX(FormData,$H369,f_Need)&amp;"",""))</f>
        <v/>
      </c>
    </row>
    <row r="370">
      <c r="A370" s="14" t="n">
        <v>366</v>
      </c>
      <c r="B370" s="14">
        <f>IF($H370="","",INDEX(FormData,$H370,f_Id))</f>
        <v/>
      </c>
      <c r="C370" s="15">
        <f>IF($H370="","",IFERROR(INDEX(FormData,$H370,f_Time),""))</f>
        <v/>
      </c>
      <c r="D370" s="14">
        <f>IF($H370="","",IFERROR(UPPER(LEFT(TRIM(INDEX(FormData,$H370,f_Name)),1)&amp;IFERROR(MID(TRIM(INDEX(FormData,$H370,f_Name)),FIND("^",SUBSTITUTE(TRIM(INDEX(FormData,$H370,f_Name))," ","^",LEN(TRIM(INDEX(FormData,$H370,f_Name)))-LEN(SUBSTITUTE(TRIM(INDEX(FormData,$H370,f_Name))," ",""))))+1,1),"")),""))</f>
        <v/>
      </c>
      <c r="E370" s="16">
        <f>IF($H370="","",IFERROR(INDEX(EvID,MATCH(INDEX(FormData,$H370,f_Event),EvID,0)),IFERROR(INDEX(EvID,MATCH(INDEX(FormData,$H370,f_Event),EvName,0)),IFERROR(INDEX(EvID,MATCH(INT($C370),EvDate,0)),"(no event that day)"))))</f>
        <v/>
      </c>
      <c r="F370" s="16">
        <f>IF($H370="","",IFERROR(IF(SUMPRODUCT(MAX((WhoKW&lt;&gt;"")*ISNUMBER(SEARCH(WhoKW,INDEX(FormData,$H370,f_Who)&amp;""))*(ROW(WhoKW)-MIN(ROW(WhoKW))+1)))=0,"",INDEX(WhoVal,SUMPRODUCT(MAX((WhoKW&lt;&gt;"")*ISNUMBER(SEARCH(WhoKW,INDEX(FormData,$H370,f_Who)&amp;""))*(ROW(WhoKW)-MIN(ROW(WhoKW))+1))))),""))</f>
        <v/>
      </c>
      <c r="G370" s="14">
        <f>IF($H370="","",IF(COUNTIF(People!$U$5:$U$604,$B370)+COUNTIF(People!$U$5:$U$604,$B370&amp;"")&gt;0,"✓ logged","→ add"))</f>
        <v/>
      </c>
      <c r="H370">
        <f>IFERROR(IF(INDEX(FormData,367,f_Id)&amp;""="","",367),"")</f>
        <v/>
      </c>
      <c r="I370" s="16">
        <f>IF($H370="","",IFERROR(INDEX(FormData,$H370,f_Need)&amp;"",""))</f>
        <v/>
      </c>
    </row>
    <row r="371">
      <c r="A371" s="14" t="n">
        <v>367</v>
      </c>
      <c r="B371" s="14">
        <f>IF($H371="","",INDEX(FormData,$H371,f_Id))</f>
        <v/>
      </c>
      <c r="C371" s="15">
        <f>IF($H371="","",IFERROR(INDEX(FormData,$H371,f_Time),""))</f>
        <v/>
      </c>
      <c r="D371" s="14">
        <f>IF($H371="","",IFERROR(UPPER(LEFT(TRIM(INDEX(FormData,$H371,f_Name)),1)&amp;IFERROR(MID(TRIM(INDEX(FormData,$H371,f_Name)),FIND("^",SUBSTITUTE(TRIM(INDEX(FormData,$H371,f_Name))," ","^",LEN(TRIM(INDEX(FormData,$H371,f_Name)))-LEN(SUBSTITUTE(TRIM(INDEX(FormData,$H371,f_Name))," ",""))))+1,1),"")),""))</f>
        <v/>
      </c>
      <c r="E371" s="16">
        <f>IF($H371="","",IFERROR(INDEX(EvID,MATCH(INDEX(FormData,$H371,f_Event),EvID,0)),IFERROR(INDEX(EvID,MATCH(INDEX(FormData,$H371,f_Event),EvName,0)),IFERROR(INDEX(EvID,MATCH(INT($C371),EvDate,0)),"(no event that day)"))))</f>
        <v/>
      </c>
      <c r="F371" s="16">
        <f>IF($H371="","",IFERROR(IF(SUMPRODUCT(MAX((WhoKW&lt;&gt;"")*ISNUMBER(SEARCH(WhoKW,INDEX(FormData,$H371,f_Who)&amp;""))*(ROW(WhoKW)-MIN(ROW(WhoKW))+1)))=0,"",INDEX(WhoVal,SUMPRODUCT(MAX((WhoKW&lt;&gt;"")*ISNUMBER(SEARCH(WhoKW,INDEX(FormData,$H371,f_Who)&amp;""))*(ROW(WhoKW)-MIN(ROW(WhoKW))+1))))),""))</f>
        <v/>
      </c>
      <c r="G371" s="14">
        <f>IF($H371="","",IF(COUNTIF(People!$U$5:$U$604,$B371)+COUNTIF(People!$U$5:$U$604,$B371&amp;"")&gt;0,"✓ logged","→ add"))</f>
        <v/>
      </c>
      <c r="H371">
        <f>IFERROR(IF(INDEX(FormData,368,f_Id)&amp;""="","",368),"")</f>
        <v/>
      </c>
      <c r="I371" s="16">
        <f>IF($H371="","",IFERROR(INDEX(FormData,$H371,f_Need)&amp;"",""))</f>
        <v/>
      </c>
    </row>
    <row r="372">
      <c r="A372" s="14" t="n">
        <v>368</v>
      </c>
      <c r="B372" s="14">
        <f>IF($H372="","",INDEX(FormData,$H372,f_Id))</f>
        <v/>
      </c>
      <c r="C372" s="15">
        <f>IF($H372="","",IFERROR(INDEX(FormData,$H372,f_Time),""))</f>
        <v/>
      </c>
      <c r="D372" s="14">
        <f>IF($H372="","",IFERROR(UPPER(LEFT(TRIM(INDEX(FormData,$H372,f_Name)),1)&amp;IFERROR(MID(TRIM(INDEX(FormData,$H372,f_Name)),FIND("^",SUBSTITUTE(TRIM(INDEX(FormData,$H372,f_Name))," ","^",LEN(TRIM(INDEX(FormData,$H372,f_Name)))-LEN(SUBSTITUTE(TRIM(INDEX(FormData,$H372,f_Name))," ",""))))+1,1),"")),""))</f>
        <v/>
      </c>
      <c r="E372" s="16">
        <f>IF($H372="","",IFERROR(INDEX(EvID,MATCH(INDEX(FormData,$H372,f_Event),EvID,0)),IFERROR(INDEX(EvID,MATCH(INDEX(FormData,$H372,f_Event),EvName,0)),IFERROR(INDEX(EvID,MATCH(INT($C372),EvDate,0)),"(no event that day)"))))</f>
        <v/>
      </c>
      <c r="F372" s="16">
        <f>IF($H372="","",IFERROR(IF(SUMPRODUCT(MAX((WhoKW&lt;&gt;"")*ISNUMBER(SEARCH(WhoKW,INDEX(FormData,$H372,f_Who)&amp;""))*(ROW(WhoKW)-MIN(ROW(WhoKW))+1)))=0,"",INDEX(WhoVal,SUMPRODUCT(MAX((WhoKW&lt;&gt;"")*ISNUMBER(SEARCH(WhoKW,INDEX(FormData,$H372,f_Who)&amp;""))*(ROW(WhoKW)-MIN(ROW(WhoKW))+1))))),""))</f>
        <v/>
      </c>
      <c r="G372" s="14">
        <f>IF($H372="","",IF(COUNTIF(People!$U$5:$U$604,$B372)+COUNTIF(People!$U$5:$U$604,$B372&amp;"")&gt;0,"✓ logged","→ add"))</f>
        <v/>
      </c>
      <c r="H372">
        <f>IFERROR(IF(INDEX(FormData,369,f_Id)&amp;""="","",369),"")</f>
        <v/>
      </c>
      <c r="I372" s="16">
        <f>IF($H372="","",IFERROR(INDEX(FormData,$H372,f_Need)&amp;"",""))</f>
        <v/>
      </c>
    </row>
    <row r="373">
      <c r="A373" s="14" t="n">
        <v>369</v>
      </c>
      <c r="B373" s="14">
        <f>IF($H373="","",INDEX(FormData,$H373,f_Id))</f>
        <v/>
      </c>
      <c r="C373" s="15">
        <f>IF($H373="","",IFERROR(INDEX(FormData,$H373,f_Time),""))</f>
        <v/>
      </c>
      <c r="D373" s="14">
        <f>IF($H373="","",IFERROR(UPPER(LEFT(TRIM(INDEX(FormData,$H373,f_Name)),1)&amp;IFERROR(MID(TRIM(INDEX(FormData,$H373,f_Name)),FIND("^",SUBSTITUTE(TRIM(INDEX(FormData,$H373,f_Name))," ","^",LEN(TRIM(INDEX(FormData,$H373,f_Name)))-LEN(SUBSTITUTE(TRIM(INDEX(FormData,$H373,f_Name))," ",""))))+1,1),"")),""))</f>
        <v/>
      </c>
      <c r="E373" s="16">
        <f>IF($H373="","",IFERROR(INDEX(EvID,MATCH(INDEX(FormData,$H373,f_Event),EvID,0)),IFERROR(INDEX(EvID,MATCH(INDEX(FormData,$H373,f_Event),EvName,0)),IFERROR(INDEX(EvID,MATCH(INT($C373),EvDate,0)),"(no event that day)"))))</f>
        <v/>
      </c>
      <c r="F373" s="16">
        <f>IF($H373="","",IFERROR(IF(SUMPRODUCT(MAX((WhoKW&lt;&gt;"")*ISNUMBER(SEARCH(WhoKW,INDEX(FormData,$H373,f_Who)&amp;""))*(ROW(WhoKW)-MIN(ROW(WhoKW))+1)))=0,"",INDEX(WhoVal,SUMPRODUCT(MAX((WhoKW&lt;&gt;"")*ISNUMBER(SEARCH(WhoKW,INDEX(FormData,$H373,f_Who)&amp;""))*(ROW(WhoKW)-MIN(ROW(WhoKW))+1))))),""))</f>
        <v/>
      </c>
      <c r="G373" s="14">
        <f>IF($H373="","",IF(COUNTIF(People!$U$5:$U$604,$B373)+COUNTIF(People!$U$5:$U$604,$B373&amp;"")&gt;0,"✓ logged","→ add"))</f>
        <v/>
      </c>
      <c r="H373">
        <f>IFERROR(IF(INDEX(FormData,370,f_Id)&amp;""="","",370),"")</f>
        <v/>
      </c>
      <c r="I373" s="16">
        <f>IF($H373="","",IFERROR(INDEX(FormData,$H373,f_Need)&amp;"",""))</f>
        <v/>
      </c>
    </row>
    <row r="374">
      <c r="A374" s="14" t="n">
        <v>370</v>
      </c>
      <c r="B374" s="14">
        <f>IF($H374="","",INDEX(FormData,$H374,f_Id))</f>
        <v/>
      </c>
      <c r="C374" s="15">
        <f>IF($H374="","",IFERROR(INDEX(FormData,$H374,f_Time),""))</f>
        <v/>
      </c>
      <c r="D374" s="14">
        <f>IF($H374="","",IFERROR(UPPER(LEFT(TRIM(INDEX(FormData,$H374,f_Name)),1)&amp;IFERROR(MID(TRIM(INDEX(FormData,$H374,f_Name)),FIND("^",SUBSTITUTE(TRIM(INDEX(FormData,$H374,f_Name))," ","^",LEN(TRIM(INDEX(FormData,$H374,f_Name)))-LEN(SUBSTITUTE(TRIM(INDEX(FormData,$H374,f_Name))," ",""))))+1,1),"")),""))</f>
        <v/>
      </c>
      <c r="E374" s="16">
        <f>IF($H374="","",IFERROR(INDEX(EvID,MATCH(INDEX(FormData,$H374,f_Event),EvID,0)),IFERROR(INDEX(EvID,MATCH(INDEX(FormData,$H374,f_Event),EvName,0)),IFERROR(INDEX(EvID,MATCH(INT($C374),EvDate,0)),"(no event that day)"))))</f>
        <v/>
      </c>
      <c r="F374" s="16">
        <f>IF($H374="","",IFERROR(IF(SUMPRODUCT(MAX((WhoKW&lt;&gt;"")*ISNUMBER(SEARCH(WhoKW,INDEX(FormData,$H374,f_Who)&amp;""))*(ROW(WhoKW)-MIN(ROW(WhoKW))+1)))=0,"",INDEX(WhoVal,SUMPRODUCT(MAX((WhoKW&lt;&gt;"")*ISNUMBER(SEARCH(WhoKW,INDEX(FormData,$H374,f_Who)&amp;""))*(ROW(WhoKW)-MIN(ROW(WhoKW))+1))))),""))</f>
        <v/>
      </c>
      <c r="G374" s="14">
        <f>IF($H374="","",IF(COUNTIF(People!$U$5:$U$604,$B374)+COUNTIF(People!$U$5:$U$604,$B374&amp;"")&gt;0,"✓ logged","→ add"))</f>
        <v/>
      </c>
      <c r="H374">
        <f>IFERROR(IF(INDEX(FormData,371,f_Id)&amp;""="","",371),"")</f>
        <v/>
      </c>
      <c r="I374" s="16">
        <f>IF($H374="","",IFERROR(INDEX(FormData,$H374,f_Need)&amp;"",""))</f>
        <v/>
      </c>
    </row>
    <row r="375">
      <c r="A375" s="14" t="n">
        <v>371</v>
      </c>
      <c r="B375" s="14">
        <f>IF($H375="","",INDEX(FormData,$H375,f_Id))</f>
        <v/>
      </c>
      <c r="C375" s="15">
        <f>IF($H375="","",IFERROR(INDEX(FormData,$H375,f_Time),""))</f>
        <v/>
      </c>
      <c r="D375" s="14">
        <f>IF($H375="","",IFERROR(UPPER(LEFT(TRIM(INDEX(FormData,$H375,f_Name)),1)&amp;IFERROR(MID(TRIM(INDEX(FormData,$H375,f_Name)),FIND("^",SUBSTITUTE(TRIM(INDEX(FormData,$H375,f_Name))," ","^",LEN(TRIM(INDEX(FormData,$H375,f_Name)))-LEN(SUBSTITUTE(TRIM(INDEX(FormData,$H375,f_Name))," ",""))))+1,1),"")),""))</f>
        <v/>
      </c>
      <c r="E375" s="16">
        <f>IF($H375="","",IFERROR(INDEX(EvID,MATCH(INDEX(FormData,$H375,f_Event),EvID,0)),IFERROR(INDEX(EvID,MATCH(INDEX(FormData,$H375,f_Event),EvName,0)),IFERROR(INDEX(EvID,MATCH(INT($C375),EvDate,0)),"(no event that day)"))))</f>
        <v/>
      </c>
      <c r="F375" s="16">
        <f>IF($H375="","",IFERROR(IF(SUMPRODUCT(MAX((WhoKW&lt;&gt;"")*ISNUMBER(SEARCH(WhoKW,INDEX(FormData,$H375,f_Who)&amp;""))*(ROW(WhoKW)-MIN(ROW(WhoKW))+1)))=0,"",INDEX(WhoVal,SUMPRODUCT(MAX((WhoKW&lt;&gt;"")*ISNUMBER(SEARCH(WhoKW,INDEX(FormData,$H375,f_Who)&amp;""))*(ROW(WhoKW)-MIN(ROW(WhoKW))+1))))),""))</f>
        <v/>
      </c>
      <c r="G375" s="14">
        <f>IF($H375="","",IF(COUNTIF(People!$U$5:$U$604,$B375)+COUNTIF(People!$U$5:$U$604,$B375&amp;"")&gt;0,"✓ logged","→ add"))</f>
        <v/>
      </c>
      <c r="H375">
        <f>IFERROR(IF(INDEX(FormData,372,f_Id)&amp;""="","",372),"")</f>
        <v/>
      </c>
      <c r="I375" s="16">
        <f>IF($H375="","",IFERROR(INDEX(FormData,$H375,f_Need)&amp;"",""))</f>
        <v/>
      </c>
    </row>
    <row r="376">
      <c r="A376" s="14" t="n">
        <v>372</v>
      </c>
      <c r="B376" s="14">
        <f>IF($H376="","",INDEX(FormData,$H376,f_Id))</f>
        <v/>
      </c>
      <c r="C376" s="15">
        <f>IF($H376="","",IFERROR(INDEX(FormData,$H376,f_Time),""))</f>
        <v/>
      </c>
      <c r="D376" s="14">
        <f>IF($H376="","",IFERROR(UPPER(LEFT(TRIM(INDEX(FormData,$H376,f_Name)),1)&amp;IFERROR(MID(TRIM(INDEX(FormData,$H376,f_Name)),FIND("^",SUBSTITUTE(TRIM(INDEX(FormData,$H376,f_Name))," ","^",LEN(TRIM(INDEX(FormData,$H376,f_Name)))-LEN(SUBSTITUTE(TRIM(INDEX(FormData,$H376,f_Name))," ",""))))+1,1),"")),""))</f>
        <v/>
      </c>
      <c r="E376" s="16">
        <f>IF($H376="","",IFERROR(INDEX(EvID,MATCH(INDEX(FormData,$H376,f_Event),EvID,0)),IFERROR(INDEX(EvID,MATCH(INDEX(FormData,$H376,f_Event),EvName,0)),IFERROR(INDEX(EvID,MATCH(INT($C376),EvDate,0)),"(no event that day)"))))</f>
        <v/>
      </c>
      <c r="F376" s="16">
        <f>IF($H376="","",IFERROR(IF(SUMPRODUCT(MAX((WhoKW&lt;&gt;"")*ISNUMBER(SEARCH(WhoKW,INDEX(FormData,$H376,f_Who)&amp;""))*(ROW(WhoKW)-MIN(ROW(WhoKW))+1)))=0,"",INDEX(WhoVal,SUMPRODUCT(MAX((WhoKW&lt;&gt;"")*ISNUMBER(SEARCH(WhoKW,INDEX(FormData,$H376,f_Who)&amp;""))*(ROW(WhoKW)-MIN(ROW(WhoKW))+1))))),""))</f>
        <v/>
      </c>
      <c r="G376" s="14">
        <f>IF($H376="","",IF(COUNTIF(People!$U$5:$U$604,$B376)+COUNTIF(People!$U$5:$U$604,$B376&amp;"")&gt;0,"✓ logged","→ add"))</f>
        <v/>
      </c>
      <c r="H376">
        <f>IFERROR(IF(INDEX(FormData,373,f_Id)&amp;""="","",373),"")</f>
        <v/>
      </c>
      <c r="I376" s="16">
        <f>IF($H376="","",IFERROR(INDEX(FormData,$H376,f_Need)&amp;"",""))</f>
        <v/>
      </c>
    </row>
    <row r="377">
      <c r="A377" s="14" t="n">
        <v>373</v>
      </c>
      <c r="B377" s="14">
        <f>IF($H377="","",INDEX(FormData,$H377,f_Id))</f>
        <v/>
      </c>
      <c r="C377" s="15">
        <f>IF($H377="","",IFERROR(INDEX(FormData,$H377,f_Time),""))</f>
        <v/>
      </c>
      <c r="D377" s="14">
        <f>IF($H377="","",IFERROR(UPPER(LEFT(TRIM(INDEX(FormData,$H377,f_Name)),1)&amp;IFERROR(MID(TRIM(INDEX(FormData,$H377,f_Name)),FIND("^",SUBSTITUTE(TRIM(INDEX(FormData,$H377,f_Name))," ","^",LEN(TRIM(INDEX(FormData,$H377,f_Name)))-LEN(SUBSTITUTE(TRIM(INDEX(FormData,$H377,f_Name))," ",""))))+1,1),"")),""))</f>
        <v/>
      </c>
      <c r="E377" s="16">
        <f>IF($H377="","",IFERROR(INDEX(EvID,MATCH(INDEX(FormData,$H377,f_Event),EvID,0)),IFERROR(INDEX(EvID,MATCH(INDEX(FormData,$H377,f_Event),EvName,0)),IFERROR(INDEX(EvID,MATCH(INT($C377),EvDate,0)),"(no event that day)"))))</f>
        <v/>
      </c>
      <c r="F377" s="16">
        <f>IF($H377="","",IFERROR(IF(SUMPRODUCT(MAX((WhoKW&lt;&gt;"")*ISNUMBER(SEARCH(WhoKW,INDEX(FormData,$H377,f_Who)&amp;""))*(ROW(WhoKW)-MIN(ROW(WhoKW))+1)))=0,"",INDEX(WhoVal,SUMPRODUCT(MAX((WhoKW&lt;&gt;"")*ISNUMBER(SEARCH(WhoKW,INDEX(FormData,$H377,f_Who)&amp;""))*(ROW(WhoKW)-MIN(ROW(WhoKW))+1))))),""))</f>
        <v/>
      </c>
      <c r="G377" s="14">
        <f>IF($H377="","",IF(COUNTIF(People!$U$5:$U$604,$B377)+COUNTIF(People!$U$5:$U$604,$B377&amp;"")&gt;0,"✓ logged","→ add"))</f>
        <v/>
      </c>
      <c r="H377">
        <f>IFERROR(IF(INDEX(FormData,374,f_Id)&amp;""="","",374),"")</f>
        <v/>
      </c>
      <c r="I377" s="16">
        <f>IF($H377="","",IFERROR(INDEX(FormData,$H377,f_Need)&amp;"",""))</f>
        <v/>
      </c>
    </row>
    <row r="378">
      <c r="A378" s="14" t="n">
        <v>374</v>
      </c>
      <c r="B378" s="14">
        <f>IF($H378="","",INDEX(FormData,$H378,f_Id))</f>
        <v/>
      </c>
      <c r="C378" s="15">
        <f>IF($H378="","",IFERROR(INDEX(FormData,$H378,f_Time),""))</f>
        <v/>
      </c>
      <c r="D378" s="14">
        <f>IF($H378="","",IFERROR(UPPER(LEFT(TRIM(INDEX(FormData,$H378,f_Name)),1)&amp;IFERROR(MID(TRIM(INDEX(FormData,$H378,f_Name)),FIND("^",SUBSTITUTE(TRIM(INDEX(FormData,$H378,f_Name))," ","^",LEN(TRIM(INDEX(FormData,$H378,f_Name)))-LEN(SUBSTITUTE(TRIM(INDEX(FormData,$H378,f_Name))," ",""))))+1,1),"")),""))</f>
        <v/>
      </c>
      <c r="E378" s="16">
        <f>IF($H378="","",IFERROR(INDEX(EvID,MATCH(INDEX(FormData,$H378,f_Event),EvID,0)),IFERROR(INDEX(EvID,MATCH(INDEX(FormData,$H378,f_Event),EvName,0)),IFERROR(INDEX(EvID,MATCH(INT($C378),EvDate,0)),"(no event that day)"))))</f>
        <v/>
      </c>
      <c r="F378" s="16">
        <f>IF($H378="","",IFERROR(IF(SUMPRODUCT(MAX((WhoKW&lt;&gt;"")*ISNUMBER(SEARCH(WhoKW,INDEX(FormData,$H378,f_Who)&amp;""))*(ROW(WhoKW)-MIN(ROW(WhoKW))+1)))=0,"",INDEX(WhoVal,SUMPRODUCT(MAX((WhoKW&lt;&gt;"")*ISNUMBER(SEARCH(WhoKW,INDEX(FormData,$H378,f_Who)&amp;""))*(ROW(WhoKW)-MIN(ROW(WhoKW))+1))))),""))</f>
        <v/>
      </c>
      <c r="G378" s="14">
        <f>IF($H378="","",IF(COUNTIF(People!$U$5:$U$604,$B378)+COUNTIF(People!$U$5:$U$604,$B378&amp;"")&gt;0,"✓ logged","→ add"))</f>
        <v/>
      </c>
      <c r="H378">
        <f>IFERROR(IF(INDEX(FormData,375,f_Id)&amp;""="","",375),"")</f>
        <v/>
      </c>
      <c r="I378" s="16">
        <f>IF($H378="","",IFERROR(INDEX(FormData,$H378,f_Need)&amp;"",""))</f>
        <v/>
      </c>
    </row>
    <row r="379">
      <c r="A379" s="14" t="n">
        <v>375</v>
      </c>
      <c r="B379" s="14">
        <f>IF($H379="","",INDEX(FormData,$H379,f_Id))</f>
        <v/>
      </c>
      <c r="C379" s="15">
        <f>IF($H379="","",IFERROR(INDEX(FormData,$H379,f_Time),""))</f>
        <v/>
      </c>
      <c r="D379" s="14">
        <f>IF($H379="","",IFERROR(UPPER(LEFT(TRIM(INDEX(FormData,$H379,f_Name)),1)&amp;IFERROR(MID(TRIM(INDEX(FormData,$H379,f_Name)),FIND("^",SUBSTITUTE(TRIM(INDEX(FormData,$H379,f_Name))," ","^",LEN(TRIM(INDEX(FormData,$H379,f_Name)))-LEN(SUBSTITUTE(TRIM(INDEX(FormData,$H379,f_Name))," ",""))))+1,1),"")),""))</f>
        <v/>
      </c>
      <c r="E379" s="16">
        <f>IF($H379="","",IFERROR(INDEX(EvID,MATCH(INDEX(FormData,$H379,f_Event),EvID,0)),IFERROR(INDEX(EvID,MATCH(INDEX(FormData,$H379,f_Event),EvName,0)),IFERROR(INDEX(EvID,MATCH(INT($C379),EvDate,0)),"(no event that day)"))))</f>
        <v/>
      </c>
      <c r="F379" s="16">
        <f>IF($H379="","",IFERROR(IF(SUMPRODUCT(MAX((WhoKW&lt;&gt;"")*ISNUMBER(SEARCH(WhoKW,INDEX(FormData,$H379,f_Who)&amp;""))*(ROW(WhoKW)-MIN(ROW(WhoKW))+1)))=0,"",INDEX(WhoVal,SUMPRODUCT(MAX((WhoKW&lt;&gt;"")*ISNUMBER(SEARCH(WhoKW,INDEX(FormData,$H379,f_Who)&amp;""))*(ROW(WhoKW)-MIN(ROW(WhoKW))+1))))),""))</f>
        <v/>
      </c>
      <c r="G379" s="14">
        <f>IF($H379="","",IF(COUNTIF(People!$U$5:$U$604,$B379)+COUNTIF(People!$U$5:$U$604,$B379&amp;"")&gt;0,"✓ logged","→ add"))</f>
        <v/>
      </c>
      <c r="H379">
        <f>IFERROR(IF(INDEX(FormData,376,f_Id)&amp;""="","",376),"")</f>
        <v/>
      </c>
      <c r="I379" s="16">
        <f>IF($H379="","",IFERROR(INDEX(FormData,$H379,f_Need)&amp;"",""))</f>
        <v/>
      </c>
    </row>
    <row r="380">
      <c r="A380" s="14" t="n">
        <v>376</v>
      </c>
      <c r="B380" s="14">
        <f>IF($H380="","",INDEX(FormData,$H380,f_Id))</f>
        <v/>
      </c>
      <c r="C380" s="15">
        <f>IF($H380="","",IFERROR(INDEX(FormData,$H380,f_Time),""))</f>
        <v/>
      </c>
      <c r="D380" s="14">
        <f>IF($H380="","",IFERROR(UPPER(LEFT(TRIM(INDEX(FormData,$H380,f_Name)),1)&amp;IFERROR(MID(TRIM(INDEX(FormData,$H380,f_Name)),FIND("^",SUBSTITUTE(TRIM(INDEX(FormData,$H380,f_Name))," ","^",LEN(TRIM(INDEX(FormData,$H380,f_Name)))-LEN(SUBSTITUTE(TRIM(INDEX(FormData,$H380,f_Name))," ",""))))+1,1),"")),""))</f>
        <v/>
      </c>
      <c r="E380" s="16">
        <f>IF($H380="","",IFERROR(INDEX(EvID,MATCH(INDEX(FormData,$H380,f_Event),EvID,0)),IFERROR(INDEX(EvID,MATCH(INDEX(FormData,$H380,f_Event),EvName,0)),IFERROR(INDEX(EvID,MATCH(INT($C380),EvDate,0)),"(no event that day)"))))</f>
        <v/>
      </c>
      <c r="F380" s="16">
        <f>IF($H380="","",IFERROR(IF(SUMPRODUCT(MAX((WhoKW&lt;&gt;"")*ISNUMBER(SEARCH(WhoKW,INDEX(FormData,$H380,f_Who)&amp;""))*(ROW(WhoKW)-MIN(ROW(WhoKW))+1)))=0,"",INDEX(WhoVal,SUMPRODUCT(MAX((WhoKW&lt;&gt;"")*ISNUMBER(SEARCH(WhoKW,INDEX(FormData,$H380,f_Who)&amp;""))*(ROW(WhoKW)-MIN(ROW(WhoKW))+1))))),""))</f>
        <v/>
      </c>
      <c r="G380" s="14">
        <f>IF($H380="","",IF(COUNTIF(People!$U$5:$U$604,$B380)+COUNTIF(People!$U$5:$U$604,$B380&amp;"")&gt;0,"✓ logged","→ add"))</f>
        <v/>
      </c>
      <c r="H380">
        <f>IFERROR(IF(INDEX(FormData,377,f_Id)&amp;""="","",377),"")</f>
        <v/>
      </c>
      <c r="I380" s="16">
        <f>IF($H380="","",IFERROR(INDEX(FormData,$H380,f_Need)&amp;"",""))</f>
        <v/>
      </c>
    </row>
    <row r="381">
      <c r="A381" s="14" t="n">
        <v>377</v>
      </c>
      <c r="B381" s="14">
        <f>IF($H381="","",INDEX(FormData,$H381,f_Id))</f>
        <v/>
      </c>
      <c r="C381" s="15">
        <f>IF($H381="","",IFERROR(INDEX(FormData,$H381,f_Time),""))</f>
        <v/>
      </c>
      <c r="D381" s="14">
        <f>IF($H381="","",IFERROR(UPPER(LEFT(TRIM(INDEX(FormData,$H381,f_Name)),1)&amp;IFERROR(MID(TRIM(INDEX(FormData,$H381,f_Name)),FIND("^",SUBSTITUTE(TRIM(INDEX(FormData,$H381,f_Name))," ","^",LEN(TRIM(INDEX(FormData,$H381,f_Name)))-LEN(SUBSTITUTE(TRIM(INDEX(FormData,$H381,f_Name))," ",""))))+1,1),"")),""))</f>
        <v/>
      </c>
      <c r="E381" s="16">
        <f>IF($H381="","",IFERROR(INDEX(EvID,MATCH(INDEX(FormData,$H381,f_Event),EvID,0)),IFERROR(INDEX(EvID,MATCH(INDEX(FormData,$H381,f_Event),EvName,0)),IFERROR(INDEX(EvID,MATCH(INT($C381),EvDate,0)),"(no event that day)"))))</f>
        <v/>
      </c>
      <c r="F381" s="16">
        <f>IF($H381="","",IFERROR(IF(SUMPRODUCT(MAX((WhoKW&lt;&gt;"")*ISNUMBER(SEARCH(WhoKW,INDEX(FormData,$H381,f_Who)&amp;""))*(ROW(WhoKW)-MIN(ROW(WhoKW))+1)))=0,"",INDEX(WhoVal,SUMPRODUCT(MAX((WhoKW&lt;&gt;"")*ISNUMBER(SEARCH(WhoKW,INDEX(FormData,$H381,f_Who)&amp;""))*(ROW(WhoKW)-MIN(ROW(WhoKW))+1))))),""))</f>
        <v/>
      </c>
      <c r="G381" s="14">
        <f>IF($H381="","",IF(COUNTIF(People!$U$5:$U$604,$B381)+COUNTIF(People!$U$5:$U$604,$B381&amp;"")&gt;0,"✓ logged","→ add"))</f>
        <v/>
      </c>
      <c r="H381">
        <f>IFERROR(IF(INDEX(FormData,378,f_Id)&amp;""="","",378),"")</f>
        <v/>
      </c>
      <c r="I381" s="16">
        <f>IF($H381="","",IFERROR(INDEX(FormData,$H381,f_Need)&amp;"",""))</f>
        <v/>
      </c>
    </row>
    <row r="382">
      <c r="A382" s="14" t="n">
        <v>378</v>
      </c>
      <c r="B382" s="14">
        <f>IF($H382="","",INDEX(FormData,$H382,f_Id))</f>
        <v/>
      </c>
      <c r="C382" s="15">
        <f>IF($H382="","",IFERROR(INDEX(FormData,$H382,f_Time),""))</f>
        <v/>
      </c>
      <c r="D382" s="14">
        <f>IF($H382="","",IFERROR(UPPER(LEFT(TRIM(INDEX(FormData,$H382,f_Name)),1)&amp;IFERROR(MID(TRIM(INDEX(FormData,$H382,f_Name)),FIND("^",SUBSTITUTE(TRIM(INDEX(FormData,$H382,f_Name))," ","^",LEN(TRIM(INDEX(FormData,$H382,f_Name)))-LEN(SUBSTITUTE(TRIM(INDEX(FormData,$H382,f_Name))," ",""))))+1,1),"")),""))</f>
        <v/>
      </c>
      <c r="E382" s="16">
        <f>IF($H382="","",IFERROR(INDEX(EvID,MATCH(INDEX(FormData,$H382,f_Event),EvID,0)),IFERROR(INDEX(EvID,MATCH(INDEX(FormData,$H382,f_Event),EvName,0)),IFERROR(INDEX(EvID,MATCH(INT($C382),EvDate,0)),"(no event that day)"))))</f>
        <v/>
      </c>
      <c r="F382" s="16">
        <f>IF($H382="","",IFERROR(IF(SUMPRODUCT(MAX((WhoKW&lt;&gt;"")*ISNUMBER(SEARCH(WhoKW,INDEX(FormData,$H382,f_Who)&amp;""))*(ROW(WhoKW)-MIN(ROW(WhoKW))+1)))=0,"",INDEX(WhoVal,SUMPRODUCT(MAX((WhoKW&lt;&gt;"")*ISNUMBER(SEARCH(WhoKW,INDEX(FormData,$H382,f_Who)&amp;""))*(ROW(WhoKW)-MIN(ROW(WhoKW))+1))))),""))</f>
        <v/>
      </c>
      <c r="G382" s="14">
        <f>IF($H382="","",IF(COUNTIF(People!$U$5:$U$604,$B382)+COUNTIF(People!$U$5:$U$604,$B382&amp;"")&gt;0,"✓ logged","→ add"))</f>
        <v/>
      </c>
      <c r="H382">
        <f>IFERROR(IF(INDEX(FormData,379,f_Id)&amp;""="","",379),"")</f>
        <v/>
      </c>
      <c r="I382" s="16">
        <f>IF($H382="","",IFERROR(INDEX(FormData,$H382,f_Need)&amp;"",""))</f>
        <v/>
      </c>
    </row>
    <row r="383">
      <c r="A383" s="14" t="n">
        <v>379</v>
      </c>
      <c r="B383" s="14">
        <f>IF($H383="","",INDEX(FormData,$H383,f_Id))</f>
        <v/>
      </c>
      <c r="C383" s="15">
        <f>IF($H383="","",IFERROR(INDEX(FormData,$H383,f_Time),""))</f>
        <v/>
      </c>
      <c r="D383" s="14">
        <f>IF($H383="","",IFERROR(UPPER(LEFT(TRIM(INDEX(FormData,$H383,f_Name)),1)&amp;IFERROR(MID(TRIM(INDEX(FormData,$H383,f_Name)),FIND("^",SUBSTITUTE(TRIM(INDEX(FormData,$H383,f_Name))," ","^",LEN(TRIM(INDEX(FormData,$H383,f_Name)))-LEN(SUBSTITUTE(TRIM(INDEX(FormData,$H383,f_Name))," ",""))))+1,1),"")),""))</f>
        <v/>
      </c>
      <c r="E383" s="16">
        <f>IF($H383="","",IFERROR(INDEX(EvID,MATCH(INDEX(FormData,$H383,f_Event),EvID,0)),IFERROR(INDEX(EvID,MATCH(INDEX(FormData,$H383,f_Event),EvName,0)),IFERROR(INDEX(EvID,MATCH(INT($C383),EvDate,0)),"(no event that day)"))))</f>
        <v/>
      </c>
      <c r="F383" s="16">
        <f>IF($H383="","",IFERROR(IF(SUMPRODUCT(MAX((WhoKW&lt;&gt;"")*ISNUMBER(SEARCH(WhoKW,INDEX(FormData,$H383,f_Who)&amp;""))*(ROW(WhoKW)-MIN(ROW(WhoKW))+1)))=0,"",INDEX(WhoVal,SUMPRODUCT(MAX((WhoKW&lt;&gt;"")*ISNUMBER(SEARCH(WhoKW,INDEX(FormData,$H383,f_Who)&amp;""))*(ROW(WhoKW)-MIN(ROW(WhoKW))+1))))),""))</f>
        <v/>
      </c>
      <c r="G383" s="14">
        <f>IF($H383="","",IF(COUNTIF(People!$U$5:$U$604,$B383)+COUNTIF(People!$U$5:$U$604,$B383&amp;"")&gt;0,"✓ logged","→ add"))</f>
        <v/>
      </c>
      <c r="H383">
        <f>IFERROR(IF(INDEX(FormData,380,f_Id)&amp;""="","",380),"")</f>
        <v/>
      </c>
      <c r="I383" s="16">
        <f>IF($H383="","",IFERROR(INDEX(FormData,$H383,f_Need)&amp;"",""))</f>
        <v/>
      </c>
    </row>
    <row r="384">
      <c r="A384" s="14" t="n">
        <v>380</v>
      </c>
      <c r="B384" s="14">
        <f>IF($H384="","",INDEX(FormData,$H384,f_Id))</f>
        <v/>
      </c>
      <c r="C384" s="15">
        <f>IF($H384="","",IFERROR(INDEX(FormData,$H384,f_Time),""))</f>
        <v/>
      </c>
      <c r="D384" s="14">
        <f>IF($H384="","",IFERROR(UPPER(LEFT(TRIM(INDEX(FormData,$H384,f_Name)),1)&amp;IFERROR(MID(TRIM(INDEX(FormData,$H384,f_Name)),FIND("^",SUBSTITUTE(TRIM(INDEX(FormData,$H384,f_Name))," ","^",LEN(TRIM(INDEX(FormData,$H384,f_Name)))-LEN(SUBSTITUTE(TRIM(INDEX(FormData,$H384,f_Name))," ",""))))+1,1),"")),""))</f>
        <v/>
      </c>
      <c r="E384" s="16">
        <f>IF($H384="","",IFERROR(INDEX(EvID,MATCH(INDEX(FormData,$H384,f_Event),EvID,0)),IFERROR(INDEX(EvID,MATCH(INDEX(FormData,$H384,f_Event),EvName,0)),IFERROR(INDEX(EvID,MATCH(INT($C384),EvDate,0)),"(no event that day)"))))</f>
        <v/>
      </c>
      <c r="F384" s="16">
        <f>IF($H384="","",IFERROR(IF(SUMPRODUCT(MAX((WhoKW&lt;&gt;"")*ISNUMBER(SEARCH(WhoKW,INDEX(FormData,$H384,f_Who)&amp;""))*(ROW(WhoKW)-MIN(ROW(WhoKW))+1)))=0,"",INDEX(WhoVal,SUMPRODUCT(MAX((WhoKW&lt;&gt;"")*ISNUMBER(SEARCH(WhoKW,INDEX(FormData,$H384,f_Who)&amp;""))*(ROW(WhoKW)-MIN(ROW(WhoKW))+1))))),""))</f>
        <v/>
      </c>
      <c r="G384" s="14">
        <f>IF($H384="","",IF(COUNTIF(People!$U$5:$U$604,$B384)+COUNTIF(People!$U$5:$U$604,$B384&amp;"")&gt;0,"✓ logged","→ add"))</f>
        <v/>
      </c>
      <c r="H384">
        <f>IFERROR(IF(INDEX(FormData,381,f_Id)&amp;""="","",381),"")</f>
        <v/>
      </c>
      <c r="I384" s="16">
        <f>IF($H384="","",IFERROR(INDEX(FormData,$H384,f_Need)&amp;"",""))</f>
        <v/>
      </c>
    </row>
    <row r="385">
      <c r="A385" s="14" t="n">
        <v>381</v>
      </c>
      <c r="B385" s="14">
        <f>IF($H385="","",INDEX(FormData,$H385,f_Id))</f>
        <v/>
      </c>
      <c r="C385" s="15">
        <f>IF($H385="","",IFERROR(INDEX(FormData,$H385,f_Time),""))</f>
        <v/>
      </c>
      <c r="D385" s="14">
        <f>IF($H385="","",IFERROR(UPPER(LEFT(TRIM(INDEX(FormData,$H385,f_Name)),1)&amp;IFERROR(MID(TRIM(INDEX(FormData,$H385,f_Name)),FIND("^",SUBSTITUTE(TRIM(INDEX(FormData,$H385,f_Name))," ","^",LEN(TRIM(INDEX(FormData,$H385,f_Name)))-LEN(SUBSTITUTE(TRIM(INDEX(FormData,$H385,f_Name))," ",""))))+1,1),"")),""))</f>
        <v/>
      </c>
      <c r="E385" s="16">
        <f>IF($H385="","",IFERROR(INDEX(EvID,MATCH(INDEX(FormData,$H385,f_Event),EvID,0)),IFERROR(INDEX(EvID,MATCH(INDEX(FormData,$H385,f_Event),EvName,0)),IFERROR(INDEX(EvID,MATCH(INT($C385),EvDate,0)),"(no event that day)"))))</f>
        <v/>
      </c>
      <c r="F385" s="16">
        <f>IF($H385="","",IFERROR(IF(SUMPRODUCT(MAX((WhoKW&lt;&gt;"")*ISNUMBER(SEARCH(WhoKW,INDEX(FormData,$H385,f_Who)&amp;""))*(ROW(WhoKW)-MIN(ROW(WhoKW))+1)))=0,"",INDEX(WhoVal,SUMPRODUCT(MAX((WhoKW&lt;&gt;"")*ISNUMBER(SEARCH(WhoKW,INDEX(FormData,$H385,f_Who)&amp;""))*(ROW(WhoKW)-MIN(ROW(WhoKW))+1))))),""))</f>
        <v/>
      </c>
      <c r="G385" s="14">
        <f>IF($H385="","",IF(COUNTIF(People!$U$5:$U$604,$B385)+COUNTIF(People!$U$5:$U$604,$B385&amp;"")&gt;0,"✓ logged","→ add"))</f>
        <v/>
      </c>
      <c r="H385">
        <f>IFERROR(IF(INDEX(FormData,382,f_Id)&amp;""="","",382),"")</f>
        <v/>
      </c>
      <c r="I385" s="16">
        <f>IF($H385="","",IFERROR(INDEX(FormData,$H385,f_Need)&amp;"",""))</f>
        <v/>
      </c>
    </row>
    <row r="386">
      <c r="A386" s="14" t="n">
        <v>382</v>
      </c>
      <c r="B386" s="14">
        <f>IF($H386="","",INDEX(FormData,$H386,f_Id))</f>
        <v/>
      </c>
      <c r="C386" s="15">
        <f>IF($H386="","",IFERROR(INDEX(FormData,$H386,f_Time),""))</f>
        <v/>
      </c>
      <c r="D386" s="14">
        <f>IF($H386="","",IFERROR(UPPER(LEFT(TRIM(INDEX(FormData,$H386,f_Name)),1)&amp;IFERROR(MID(TRIM(INDEX(FormData,$H386,f_Name)),FIND("^",SUBSTITUTE(TRIM(INDEX(FormData,$H386,f_Name))," ","^",LEN(TRIM(INDEX(FormData,$H386,f_Name)))-LEN(SUBSTITUTE(TRIM(INDEX(FormData,$H386,f_Name))," ",""))))+1,1),"")),""))</f>
        <v/>
      </c>
      <c r="E386" s="16">
        <f>IF($H386="","",IFERROR(INDEX(EvID,MATCH(INDEX(FormData,$H386,f_Event),EvID,0)),IFERROR(INDEX(EvID,MATCH(INDEX(FormData,$H386,f_Event),EvName,0)),IFERROR(INDEX(EvID,MATCH(INT($C386),EvDate,0)),"(no event that day)"))))</f>
        <v/>
      </c>
      <c r="F386" s="16">
        <f>IF($H386="","",IFERROR(IF(SUMPRODUCT(MAX((WhoKW&lt;&gt;"")*ISNUMBER(SEARCH(WhoKW,INDEX(FormData,$H386,f_Who)&amp;""))*(ROW(WhoKW)-MIN(ROW(WhoKW))+1)))=0,"",INDEX(WhoVal,SUMPRODUCT(MAX((WhoKW&lt;&gt;"")*ISNUMBER(SEARCH(WhoKW,INDEX(FormData,$H386,f_Who)&amp;""))*(ROW(WhoKW)-MIN(ROW(WhoKW))+1))))),""))</f>
        <v/>
      </c>
      <c r="G386" s="14">
        <f>IF($H386="","",IF(COUNTIF(People!$U$5:$U$604,$B386)+COUNTIF(People!$U$5:$U$604,$B386&amp;"")&gt;0,"✓ logged","→ add"))</f>
        <v/>
      </c>
      <c r="H386">
        <f>IFERROR(IF(INDEX(FormData,383,f_Id)&amp;""="","",383),"")</f>
        <v/>
      </c>
      <c r="I386" s="16">
        <f>IF($H386="","",IFERROR(INDEX(FormData,$H386,f_Need)&amp;"",""))</f>
        <v/>
      </c>
    </row>
    <row r="387">
      <c r="A387" s="14" t="n">
        <v>383</v>
      </c>
      <c r="B387" s="14">
        <f>IF($H387="","",INDEX(FormData,$H387,f_Id))</f>
        <v/>
      </c>
      <c r="C387" s="15">
        <f>IF($H387="","",IFERROR(INDEX(FormData,$H387,f_Time),""))</f>
        <v/>
      </c>
      <c r="D387" s="14">
        <f>IF($H387="","",IFERROR(UPPER(LEFT(TRIM(INDEX(FormData,$H387,f_Name)),1)&amp;IFERROR(MID(TRIM(INDEX(FormData,$H387,f_Name)),FIND("^",SUBSTITUTE(TRIM(INDEX(FormData,$H387,f_Name))," ","^",LEN(TRIM(INDEX(FormData,$H387,f_Name)))-LEN(SUBSTITUTE(TRIM(INDEX(FormData,$H387,f_Name))," ",""))))+1,1),"")),""))</f>
        <v/>
      </c>
      <c r="E387" s="16">
        <f>IF($H387="","",IFERROR(INDEX(EvID,MATCH(INDEX(FormData,$H387,f_Event),EvID,0)),IFERROR(INDEX(EvID,MATCH(INDEX(FormData,$H387,f_Event),EvName,0)),IFERROR(INDEX(EvID,MATCH(INT($C387),EvDate,0)),"(no event that day)"))))</f>
        <v/>
      </c>
      <c r="F387" s="16">
        <f>IF($H387="","",IFERROR(IF(SUMPRODUCT(MAX((WhoKW&lt;&gt;"")*ISNUMBER(SEARCH(WhoKW,INDEX(FormData,$H387,f_Who)&amp;""))*(ROW(WhoKW)-MIN(ROW(WhoKW))+1)))=0,"",INDEX(WhoVal,SUMPRODUCT(MAX((WhoKW&lt;&gt;"")*ISNUMBER(SEARCH(WhoKW,INDEX(FormData,$H387,f_Who)&amp;""))*(ROW(WhoKW)-MIN(ROW(WhoKW))+1))))),""))</f>
        <v/>
      </c>
      <c r="G387" s="14">
        <f>IF($H387="","",IF(COUNTIF(People!$U$5:$U$604,$B387)+COUNTIF(People!$U$5:$U$604,$B387&amp;"")&gt;0,"✓ logged","→ add"))</f>
        <v/>
      </c>
      <c r="H387">
        <f>IFERROR(IF(INDEX(FormData,384,f_Id)&amp;""="","",384),"")</f>
        <v/>
      </c>
      <c r="I387" s="16">
        <f>IF($H387="","",IFERROR(INDEX(FormData,$H387,f_Need)&amp;"",""))</f>
        <v/>
      </c>
    </row>
    <row r="388">
      <c r="A388" s="14" t="n">
        <v>384</v>
      </c>
      <c r="B388" s="14">
        <f>IF($H388="","",INDEX(FormData,$H388,f_Id))</f>
        <v/>
      </c>
      <c r="C388" s="15">
        <f>IF($H388="","",IFERROR(INDEX(FormData,$H388,f_Time),""))</f>
        <v/>
      </c>
      <c r="D388" s="14">
        <f>IF($H388="","",IFERROR(UPPER(LEFT(TRIM(INDEX(FormData,$H388,f_Name)),1)&amp;IFERROR(MID(TRIM(INDEX(FormData,$H388,f_Name)),FIND("^",SUBSTITUTE(TRIM(INDEX(FormData,$H388,f_Name))," ","^",LEN(TRIM(INDEX(FormData,$H388,f_Name)))-LEN(SUBSTITUTE(TRIM(INDEX(FormData,$H388,f_Name))," ",""))))+1,1),"")),""))</f>
        <v/>
      </c>
      <c r="E388" s="16">
        <f>IF($H388="","",IFERROR(INDEX(EvID,MATCH(INDEX(FormData,$H388,f_Event),EvID,0)),IFERROR(INDEX(EvID,MATCH(INDEX(FormData,$H388,f_Event),EvName,0)),IFERROR(INDEX(EvID,MATCH(INT($C388),EvDate,0)),"(no event that day)"))))</f>
        <v/>
      </c>
      <c r="F388" s="16">
        <f>IF($H388="","",IFERROR(IF(SUMPRODUCT(MAX((WhoKW&lt;&gt;"")*ISNUMBER(SEARCH(WhoKW,INDEX(FormData,$H388,f_Who)&amp;""))*(ROW(WhoKW)-MIN(ROW(WhoKW))+1)))=0,"",INDEX(WhoVal,SUMPRODUCT(MAX((WhoKW&lt;&gt;"")*ISNUMBER(SEARCH(WhoKW,INDEX(FormData,$H388,f_Who)&amp;""))*(ROW(WhoKW)-MIN(ROW(WhoKW))+1))))),""))</f>
        <v/>
      </c>
      <c r="G388" s="14">
        <f>IF($H388="","",IF(COUNTIF(People!$U$5:$U$604,$B388)+COUNTIF(People!$U$5:$U$604,$B388&amp;"")&gt;0,"✓ logged","→ add"))</f>
        <v/>
      </c>
      <c r="H388">
        <f>IFERROR(IF(INDEX(FormData,385,f_Id)&amp;""="","",385),"")</f>
        <v/>
      </c>
      <c r="I388" s="16">
        <f>IF($H388="","",IFERROR(INDEX(FormData,$H388,f_Need)&amp;"",""))</f>
        <v/>
      </c>
    </row>
    <row r="389">
      <c r="A389" s="14" t="n">
        <v>385</v>
      </c>
      <c r="B389" s="14">
        <f>IF($H389="","",INDEX(FormData,$H389,f_Id))</f>
        <v/>
      </c>
      <c r="C389" s="15">
        <f>IF($H389="","",IFERROR(INDEX(FormData,$H389,f_Time),""))</f>
        <v/>
      </c>
      <c r="D389" s="14">
        <f>IF($H389="","",IFERROR(UPPER(LEFT(TRIM(INDEX(FormData,$H389,f_Name)),1)&amp;IFERROR(MID(TRIM(INDEX(FormData,$H389,f_Name)),FIND("^",SUBSTITUTE(TRIM(INDEX(FormData,$H389,f_Name))," ","^",LEN(TRIM(INDEX(FormData,$H389,f_Name)))-LEN(SUBSTITUTE(TRIM(INDEX(FormData,$H389,f_Name))," ",""))))+1,1),"")),""))</f>
        <v/>
      </c>
      <c r="E389" s="16">
        <f>IF($H389="","",IFERROR(INDEX(EvID,MATCH(INDEX(FormData,$H389,f_Event),EvID,0)),IFERROR(INDEX(EvID,MATCH(INDEX(FormData,$H389,f_Event),EvName,0)),IFERROR(INDEX(EvID,MATCH(INT($C389),EvDate,0)),"(no event that day)"))))</f>
        <v/>
      </c>
      <c r="F389" s="16">
        <f>IF($H389="","",IFERROR(IF(SUMPRODUCT(MAX((WhoKW&lt;&gt;"")*ISNUMBER(SEARCH(WhoKW,INDEX(FormData,$H389,f_Who)&amp;""))*(ROW(WhoKW)-MIN(ROW(WhoKW))+1)))=0,"",INDEX(WhoVal,SUMPRODUCT(MAX((WhoKW&lt;&gt;"")*ISNUMBER(SEARCH(WhoKW,INDEX(FormData,$H389,f_Who)&amp;""))*(ROW(WhoKW)-MIN(ROW(WhoKW))+1))))),""))</f>
        <v/>
      </c>
      <c r="G389" s="14">
        <f>IF($H389="","",IF(COUNTIF(People!$U$5:$U$604,$B389)+COUNTIF(People!$U$5:$U$604,$B389&amp;"")&gt;0,"✓ logged","→ add"))</f>
        <v/>
      </c>
      <c r="H389">
        <f>IFERROR(IF(INDEX(FormData,386,f_Id)&amp;""="","",386),"")</f>
        <v/>
      </c>
      <c r="I389" s="16">
        <f>IF($H389="","",IFERROR(INDEX(FormData,$H389,f_Need)&amp;"",""))</f>
        <v/>
      </c>
    </row>
    <row r="390">
      <c r="A390" s="14" t="n">
        <v>386</v>
      </c>
      <c r="B390" s="14">
        <f>IF($H390="","",INDEX(FormData,$H390,f_Id))</f>
        <v/>
      </c>
      <c r="C390" s="15">
        <f>IF($H390="","",IFERROR(INDEX(FormData,$H390,f_Time),""))</f>
        <v/>
      </c>
      <c r="D390" s="14">
        <f>IF($H390="","",IFERROR(UPPER(LEFT(TRIM(INDEX(FormData,$H390,f_Name)),1)&amp;IFERROR(MID(TRIM(INDEX(FormData,$H390,f_Name)),FIND("^",SUBSTITUTE(TRIM(INDEX(FormData,$H390,f_Name))," ","^",LEN(TRIM(INDEX(FormData,$H390,f_Name)))-LEN(SUBSTITUTE(TRIM(INDEX(FormData,$H390,f_Name))," ",""))))+1,1),"")),""))</f>
        <v/>
      </c>
      <c r="E390" s="16">
        <f>IF($H390="","",IFERROR(INDEX(EvID,MATCH(INDEX(FormData,$H390,f_Event),EvID,0)),IFERROR(INDEX(EvID,MATCH(INDEX(FormData,$H390,f_Event),EvName,0)),IFERROR(INDEX(EvID,MATCH(INT($C390),EvDate,0)),"(no event that day)"))))</f>
        <v/>
      </c>
      <c r="F390" s="16">
        <f>IF($H390="","",IFERROR(IF(SUMPRODUCT(MAX((WhoKW&lt;&gt;"")*ISNUMBER(SEARCH(WhoKW,INDEX(FormData,$H390,f_Who)&amp;""))*(ROW(WhoKW)-MIN(ROW(WhoKW))+1)))=0,"",INDEX(WhoVal,SUMPRODUCT(MAX((WhoKW&lt;&gt;"")*ISNUMBER(SEARCH(WhoKW,INDEX(FormData,$H390,f_Who)&amp;""))*(ROW(WhoKW)-MIN(ROW(WhoKW))+1))))),""))</f>
        <v/>
      </c>
      <c r="G390" s="14">
        <f>IF($H390="","",IF(COUNTIF(People!$U$5:$U$604,$B390)+COUNTIF(People!$U$5:$U$604,$B390&amp;"")&gt;0,"✓ logged","→ add"))</f>
        <v/>
      </c>
      <c r="H390">
        <f>IFERROR(IF(INDEX(FormData,387,f_Id)&amp;""="","",387),"")</f>
        <v/>
      </c>
      <c r="I390" s="16">
        <f>IF($H390="","",IFERROR(INDEX(FormData,$H390,f_Need)&amp;"",""))</f>
        <v/>
      </c>
    </row>
    <row r="391">
      <c r="A391" s="14" t="n">
        <v>387</v>
      </c>
      <c r="B391" s="14">
        <f>IF($H391="","",INDEX(FormData,$H391,f_Id))</f>
        <v/>
      </c>
      <c r="C391" s="15">
        <f>IF($H391="","",IFERROR(INDEX(FormData,$H391,f_Time),""))</f>
        <v/>
      </c>
      <c r="D391" s="14">
        <f>IF($H391="","",IFERROR(UPPER(LEFT(TRIM(INDEX(FormData,$H391,f_Name)),1)&amp;IFERROR(MID(TRIM(INDEX(FormData,$H391,f_Name)),FIND("^",SUBSTITUTE(TRIM(INDEX(FormData,$H391,f_Name))," ","^",LEN(TRIM(INDEX(FormData,$H391,f_Name)))-LEN(SUBSTITUTE(TRIM(INDEX(FormData,$H391,f_Name))," ",""))))+1,1),"")),""))</f>
        <v/>
      </c>
      <c r="E391" s="16">
        <f>IF($H391="","",IFERROR(INDEX(EvID,MATCH(INDEX(FormData,$H391,f_Event),EvID,0)),IFERROR(INDEX(EvID,MATCH(INDEX(FormData,$H391,f_Event),EvName,0)),IFERROR(INDEX(EvID,MATCH(INT($C391),EvDate,0)),"(no event that day)"))))</f>
        <v/>
      </c>
      <c r="F391" s="16">
        <f>IF($H391="","",IFERROR(IF(SUMPRODUCT(MAX((WhoKW&lt;&gt;"")*ISNUMBER(SEARCH(WhoKW,INDEX(FormData,$H391,f_Who)&amp;""))*(ROW(WhoKW)-MIN(ROW(WhoKW))+1)))=0,"",INDEX(WhoVal,SUMPRODUCT(MAX((WhoKW&lt;&gt;"")*ISNUMBER(SEARCH(WhoKW,INDEX(FormData,$H391,f_Who)&amp;""))*(ROW(WhoKW)-MIN(ROW(WhoKW))+1))))),""))</f>
        <v/>
      </c>
      <c r="G391" s="14">
        <f>IF($H391="","",IF(COUNTIF(People!$U$5:$U$604,$B391)+COUNTIF(People!$U$5:$U$604,$B391&amp;"")&gt;0,"✓ logged","→ add"))</f>
        <v/>
      </c>
      <c r="H391">
        <f>IFERROR(IF(INDEX(FormData,388,f_Id)&amp;""="","",388),"")</f>
        <v/>
      </c>
      <c r="I391" s="16">
        <f>IF($H391="","",IFERROR(INDEX(FormData,$H391,f_Need)&amp;"",""))</f>
        <v/>
      </c>
    </row>
    <row r="392">
      <c r="A392" s="14" t="n">
        <v>388</v>
      </c>
      <c r="B392" s="14">
        <f>IF($H392="","",INDEX(FormData,$H392,f_Id))</f>
        <v/>
      </c>
      <c r="C392" s="15">
        <f>IF($H392="","",IFERROR(INDEX(FormData,$H392,f_Time),""))</f>
        <v/>
      </c>
      <c r="D392" s="14">
        <f>IF($H392="","",IFERROR(UPPER(LEFT(TRIM(INDEX(FormData,$H392,f_Name)),1)&amp;IFERROR(MID(TRIM(INDEX(FormData,$H392,f_Name)),FIND("^",SUBSTITUTE(TRIM(INDEX(FormData,$H392,f_Name))," ","^",LEN(TRIM(INDEX(FormData,$H392,f_Name)))-LEN(SUBSTITUTE(TRIM(INDEX(FormData,$H392,f_Name))," ",""))))+1,1),"")),""))</f>
        <v/>
      </c>
      <c r="E392" s="16">
        <f>IF($H392="","",IFERROR(INDEX(EvID,MATCH(INDEX(FormData,$H392,f_Event),EvID,0)),IFERROR(INDEX(EvID,MATCH(INDEX(FormData,$H392,f_Event),EvName,0)),IFERROR(INDEX(EvID,MATCH(INT($C392),EvDate,0)),"(no event that day)"))))</f>
        <v/>
      </c>
      <c r="F392" s="16">
        <f>IF($H392="","",IFERROR(IF(SUMPRODUCT(MAX((WhoKW&lt;&gt;"")*ISNUMBER(SEARCH(WhoKW,INDEX(FormData,$H392,f_Who)&amp;""))*(ROW(WhoKW)-MIN(ROW(WhoKW))+1)))=0,"",INDEX(WhoVal,SUMPRODUCT(MAX((WhoKW&lt;&gt;"")*ISNUMBER(SEARCH(WhoKW,INDEX(FormData,$H392,f_Who)&amp;""))*(ROW(WhoKW)-MIN(ROW(WhoKW))+1))))),""))</f>
        <v/>
      </c>
      <c r="G392" s="14">
        <f>IF($H392="","",IF(COUNTIF(People!$U$5:$U$604,$B392)+COUNTIF(People!$U$5:$U$604,$B392&amp;"")&gt;0,"✓ logged","→ add"))</f>
        <v/>
      </c>
      <c r="H392">
        <f>IFERROR(IF(INDEX(FormData,389,f_Id)&amp;""="","",389),"")</f>
        <v/>
      </c>
      <c r="I392" s="16">
        <f>IF($H392="","",IFERROR(INDEX(FormData,$H392,f_Need)&amp;"",""))</f>
        <v/>
      </c>
    </row>
    <row r="393">
      <c r="A393" s="14" t="n">
        <v>389</v>
      </c>
      <c r="B393" s="14">
        <f>IF($H393="","",INDEX(FormData,$H393,f_Id))</f>
        <v/>
      </c>
      <c r="C393" s="15">
        <f>IF($H393="","",IFERROR(INDEX(FormData,$H393,f_Time),""))</f>
        <v/>
      </c>
      <c r="D393" s="14">
        <f>IF($H393="","",IFERROR(UPPER(LEFT(TRIM(INDEX(FormData,$H393,f_Name)),1)&amp;IFERROR(MID(TRIM(INDEX(FormData,$H393,f_Name)),FIND("^",SUBSTITUTE(TRIM(INDEX(FormData,$H393,f_Name))," ","^",LEN(TRIM(INDEX(FormData,$H393,f_Name)))-LEN(SUBSTITUTE(TRIM(INDEX(FormData,$H393,f_Name))," ",""))))+1,1),"")),""))</f>
        <v/>
      </c>
      <c r="E393" s="16">
        <f>IF($H393="","",IFERROR(INDEX(EvID,MATCH(INDEX(FormData,$H393,f_Event),EvID,0)),IFERROR(INDEX(EvID,MATCH(INDEX(FormData,$H393,f_Event),EvName,0)),IFERROR(INDEX(EvID,MATCH(INT($C393),EvDate,0)),"(no event that day)"))))</f>
        <v/>
      </c>
      <c r="F393" s="16">
        <f>IF($H393="","",IFERROR(IF(SUMPRODUCT(MAX((WhoKW&lt;&gt;"")*ISNUMBER(SEARCH(WhoKW,INDEX(FormData,$H393,f_Who)&amp;""))*(ROW(WhoKW)-MIN(ROW(WhoKW))+1)))=0,"",INDEX(WhoVal,SUMPRODUCT(MAX((WhoKW&lt;&gt;"")*ISNUMBER(SEARCH(WhoKW,INDEX(FormData,$H393,f_Who)&amp;""))*(ROW(WhoKW)-MIN(ROW(WhoKW))+1))))),""))</f>
        <v/>
      </c>
      <c r="G393" s="14">
        <f>IF($H393="","",IF(COUNTIF(People!$U$5:$U$604,$B393)+COUNTIF(People!$U$5:$U$604,$B393&amp;"")&gt;0,"✓ logged","→ add"))</f>
        <v/>
      </c>
      <c r="H393">
        <f>IFERROR(IF(INDEX(FormData,390,f_Id)&amp;""="","",390),"")</f>
        <v/>
      </c>
      <c r="I393" s="16">
        <f>IF($H393="","",IFERROR(INDEX(FormData,$H393,f_Need)&amp;"",""))</f>
        <v/>
      </c>
    </row>
    <row r="394">
      <c r="A394" s="14" t="n">
        <v>390</v>
      </c>
      <c r="B394" s="14">
        <f>IF($H394="","",INDEX(FormData,$H394,f_Id))</f>
        <v/>
      </c>
      <c r="C394" s="15">
        <f>IF($H394="","",IFERROR(INDEX(FormData,$H394,f_Time),""))</f>
        <v/>
      </c>
      <c r="D394" s="14">
        <f>IF($H394="","",IFERROR(UPPER(LEFT(TRIM(INDEX(FormData,$H394,f_Name)),1)&amp;IFERROR(MID(TRIM(INDEX(FormData,$H394,f_Name)),FIND("^",SUBSTITUTE(TRIM(INDEX(FormData,$H394,f_Name))," ","^",LEN(TRIM(INDEX(FormData,$H394,f_Name)))-LEN(SUBSTITUTE(TRIM(INDEX(FormData,$H394,f_Name))," ",""))))+1,1),"")),""))</f>
        <v/>
      </c>
      <c r="E394" s="16">
        <f>IF($H394="","",IFERROR(INDEX(EvID,MATCH(INDEX(FormData,$H394,f_Event),EvID,0)),IFERROR(INDEX(EvID,MATCH(INDEX(FormData,$H394,f_Event),EvName,0)),IFERROR(INDEX(EvID,MATCH(INT($C394),EvDate,0)),"(no event that day)"))))</f>
        <v/>
      </c>
      <c r="F394" s="16">
        <f>IF($H394="","",IFERROR(IF(SUMPRODUCT(MAX((WhoKW&lt;&gt;"")*ISNUMBER(SEARCH(WhoKW,INDEX(FormData,$H394,f_Who)&amp;""))*(ROW(WhoKW)-MIN(ROW(WhoKW))+1)))=0,"",INDEX(WhoVal,SUMPRODUCT(MAX((WhoKW&lt;&gt;"")*ISNUMBER(SEARCH(WhoKW,INDEX(FormData,$H394,f_Who)&amp;""))*(ROW(WhoKW)-MIN(ROW(WhoKW))+1))))),""))</f>
        <v/>
      </c>
      <c r="G394" s="14">
        <f>IF($H394="","",IF(COUNTIF(People!$U$5:$U$604,$B394)+COUNTIF(People!$U$5:$U$604,$B394&amp;"")&gt;0,"✓ logged","→ add"))</f>
        <v/>
      </c>
      <c r="H394">
        <f>IFERROR(IF(INDEX(FormData,391,f_Id)&amp;""="","",391),"")</f>
        <v/>
      </c>
      <c r="I394" s="16">
        <f>IF($H394="","",IFERROR(INDEX(FormData,$H394,f_Need)&amp;"",""))</f>
        <v/>
      </c>
    </row>
    <row r="395">
      <c r="A395" s="14" t="n">
        <v>391</v>
      </c>
      <c r="B395" s="14">
        <f>IF($H395="","",INDEX(FormData,$H395,f_Id))</f>
        <v/>
      </c>
      <c r="C395" s="15">
        <f>IF($H395="","",IFERROR(INDEX(FormData,$H395,f_Time),""))</f>
        <v/>
      </c>
      <c r="D395" s="14">
        <f>IF($H395="","",IFERROR(UPPER(LEFT(TRIM(INDEX(FormData,$H395,f_Name)),1)&amp;IFERROR(MID(TRIM(INDEX(FormData,$H395,f_Name)),FIND("^",SUBSTITUTE(TRIM(INDEX(FormData,$H395,f_Name))," ","^",LEN(TRIM(INDEX(FormData,$H395,f_Name)))-LEN(SUBSTITUTE(TRIM(INDEX(FormData,$H395,f_Name))," ",""))))+1,1),"")),""))</f>
        <v/>
      </c>
      <c r="E395" s="16">
        <f>IF($H395="","",IFERROR(INDEX(EvID,MATCH(INDEX(FormData,$H395,f_Event),EvID,0)),IFERROR(INDEX(EvID,MATCH(INDEX(FormData,$H395,f_Event),EvName,0)),IFERROR(INDEX(EvID,MATCH(INT($C395),EvDate,0)),"(no event that day)"))))</f>
        <v/>
      </c>
      <c r="F395" s="16">
        <f>IF($H395="","",IFERROR(IF(SUMPRODUCT(MAX((WhoKW&lt;&gt;"")*ISNUMBER(SEARCH(WhoKW,INDEX(FormData,$H395,f_Who)&amp;""))*(ROW(WhoKW)-MIN(ROW(WhoKW))+1)))=0,"",INDEX(WhoVal,SUMPRODUCT(MAX((WhoKW&lt;&gt;"")*ISNUMBER(SEARCH(WhoKW,INDEX(FormData,$H395,f_Who)&amp;""))*(ROW(WhoKW)-MIN(ROW(WhoKW))+1))))),""))</f>
        <v/>
      </c>
      <c r="G395" s="14">
        <f>IF($H395="","",IF(COUNTIF(People!$U$5:$U$604,$B395)+COUNTIF(People!$U$5:$U$604,$B395&amp;"")&gt;0,"✓ logged","→ add"))</f>
        <v/>
      </c>
      <c r="H395">
        <f>IFERROR(IF(INDEX(FormData,392,f_Id)&amp;""="","",392),"")</f>
        <v/>
      </c>
      <c r="I395" s="16">
        <f>IF($H395="","",IFERROR(INDEX(FormData,$H395,f_Need)&amp;"",""))</f>
        <v/>
      </c>
    </row>
    <row r="396">
      <c r="A396" s="14" t="n">
        <v>392</v>
      </c>
      <c r="B396" s="14">
        <f>IF($H396="","",INDEX(FormData,$H396,f_Id))</f>
        <v/>
      </c>
      <c r="C396" s="15">
        <f>IF($H396="","",IFERROR(INDEX(FormData,$H396,f_Time),""))</f>
        <v/>
      </c>
      <c r="D396" s="14">
        <f>IF($H396="","",IFERROR(UPPER(LEFT(TRIM(INDEX(FormData,$H396,f_Name)),1)&amp;IFERROR(MID(TRIM(INDEX(FormData,$H396,f_Name)),FIND("^",SUBSTITUTE(TRIM(INDEX(FormData,$H396,f_Name))," ","^",LEN(TRIM(INDEX(FormData,$H396,f_Name)))-LEN(SUBSTITUTE(TRIM(INDEX(FormData,$H396,f_Name))," ",""))))+1,1),"")),""))</f>
        <v/>
      </c>
      <c r="E396" s="16">
        <f>IF($H396="","",IFERROR(INDEX(EvID,MATCH(INDEX(FormData,$H396,f_Event),EvID,0)),IFERROR(INDEX(EvID,MATCH(INDEX(FormData,$H396,f_Event),EvName,0)),IFERROR(INDEX(EvID,MATCH(INT($C396),EvDate,0)),"(no event that day)"))))</f>
        <v/>
      </c>
      <c r="F396" s="16">
        <f>IF($H396="","",IFERROR(IF(SUMPRODUCT(MAX((WhoKW&lt;&gt;"")*ISNUMBER(SEARCH(WhoKW,INDEX(FormData,$H396,f_Who)&amp;""))*(ROW(WhoKW)-MIN(ROW(WhoKW))+1)))=0,"",INDEX(WhoVal,SUMPRODUCT(MAX((WhoKW&lt;&gt;"")*ISNUMBER(SEARCH(WhoKW,INDEX(FormData,$H396,f_Who)&amp;""))*(ROW(WhoKW)-MIN(ROW(WhoKW))+1))))),""))</f>
        <v/>
      </c>
      <c r="G396" s="14">
        <f>IF($H396="","",IF(COUNTIF(People!$U$5:$U$604,$B396)+COUNTIF(People!$U$5:$U$604,$B396&amp;"")&gt;0,"✓ logged","→ add"))</f>
        <v/>
      </c>
      <c r="H396">
        <f>IFERROR(IF(INDEX(FormData,393,f_Id)&amp;""="","",393),"")</f>
        <v/>
      </c>
      <c r="I396" s="16">
        <f>IF($H396="","",IFERROR(INDEX(FormData,$H396,f_Need)&amp;"",""))</f>
        <v/>
      </c>
    </row>
    <row r="397">
      <c r="A397" s="14" t="n">
        <v>393</v>
      </c>
      <c r="B397" s="14">
        <f>IF($H397="","",INDEX(FormData,$H397,f_Id))</f>
        <v/>
      </c>
      <c r="C397" s="15">
        <f>IF($H397="","",IFERROR(INDEX(FormData,$H397,f_Time),""))</f>
        <v/>
      </c>
      <c r="D397" s="14">
        <f>IF($H397="","",IFERROR(UPPER(LEFT(TRIM(INDEX(FormData,$H397,f_Name)),1)&amp;IFERROR(MID(TRIM(INDEX(FormData,$H397,f_Name)),FIND("^",SUBSTITUTE(TRIM(INDEX(FormData,$H397,f_Name))," ","^",LEN(TRIM(INDEX(FormData,$H397,f_Name)))-LEN(SUBSTITUTE(TRIM(INDEX(FormData,$H397,f_Name))," ",""))))+1,1),"")),""))</f>
        <v/>
      </c>
      <c r="E397" s="16">
        <f>IF($H397="","",IFERROR(INDEX(EvID,MATCH(INDEX(FormData,$H397,f_Event),EvID,0)),IFERROR(INDEX(EvID,MATCH(INDEX(FormData,$H397,f_Event),EvName,0)),IFERROR(INDEX(EvID,MATCH(INT($C397),EvDate,0)),"(no event that day)"))))</f>
        <v/>
      </c>
      <c r="F397" s="16">
        <f>IF($H397="","",IFERROR(IF(SUMPRODUCT(MAX((WhoKW&lt;&gt;"")*ISNUMBER(SEARCH(WhoKW,INDEX(FormData,$H397,f_Who)&amp;""))*(ROW(WhoKW)-MIN(ROW(WhoKW))+1)))=0,"",INDEX(WhoVal,SUMPRODUCT(MAX((WhoKW&lt;&gt;"")*ISNUMBER(SEARCH(WhoKW,INDEX(FormData,$H397,f_Who)&amp;""))*(ROW(WhoKW)-MIN(ROW(WhoKW))+1))))),""))</f>
        <v/>
      </c>
      <c r="G397" s="14">
        <f>IF($H397="","",IF(COUNTIF(People!$U$5:$U$604,$B397)+COUNTIF(People!$U$5:$U$604,$B397&amp;"")&gt;0,"✓ logged","→ add"))</f>
        <v/>
      </c>
      <c r="H397">
        <f>IFERROR(IF(INDEX(FormData,394,f_Id)&amp;""="","",394),"")</f>
        <v/>
      </c>
      <c r="I397" s="16">
        <f>IF($H397="","",IFERROR(INDEX(FormData,$H397,f_Need)&amp;"",""))</f>
        <v/>
      </c>
    </row>
    <row r="398">
      <c r="A398" s="14" t="n">
        <v>394</v>
      </c>
      <c r="B398" s="14">
        <f>IF($H398="","",INDEX(FormData,$H398,f_Id))</f>
        <v/>
      </c>
      <c r="C398" s="15">
        <f>IF($H398="","",IFERROR(INDEX(FormData,$H398,f_Time),""))</f>
        <v/>
      </c>
      <c r="D398" s="14">
        <f>IF($H398="","",IFERROR(UPPER(LEFT(TRIM(INDEX(FormData,$H398,f_Name)),1)&amp;IFERROR(MID(TRIM(INDEX(FormData,$H398,f_Name)),FIND("^",SUBSTITUTE(TRIM(INDEX(FormData,$H398,f_Name))," ","^",LEN(TRIM(INDEX(FormData,$H398,f_Name)))-LEN(SUBSTITUTE(TRIM(INDEX(FormData,$H398,f_Name))," ",""))))+1,1),"")),""))</f>
        <v/>
      </c>
      <c r="E398" s="16">
        <f>IF($H398="","",IFERROR(INDEX(EvID,MATCH(INDEX(FormData,$H398,f_Event),EvID,0)),IFERROR(INDEX(EvID,MATCH(INDEX(FormData,$H398,f_Event),EvName,0)),IFERROR(INDEX(EvID,MATCH(INT($C398),EvDate,0)),"(no event that day)"))))</f>
        <v/>
      </c>
      <c r="F398" s="16">
        <f>IF($H398="","",IFERROR(IF(SUMPRODUCT(MAX((WhoKW&lt;&gt;"")*ISNUMBER(SEARCH(WhoKW,INDEX(FormData,$H398,f_Who)&amp;""))*(ROW(WhoKW)-MIN(ROW(WhoKW))+1)))=0,"",INDEX(WhoVal,SUMPRODUCT(MAX((WhoKW&lt;&gt;"")*ISNUMBER(SEARCH(WhoKW,INDEX(FormData,$H398,f_Who)&amp;""))*(ROW(WhoKW)-MIN(ROW(WhoKW))+1))))),""))</f>
        <v/>
      </c>
      <c r="G398" s="14">
        <f>IF($H398="","",IF(COUNTIF(People!$U$5:$U$604,$B398)+COUNTIF(People!$U$5:$U$604,$B398&amp;"")&gt;0,"✓ logged","→ add"))</f>
        <v/>
      </c>
      <c r="H398">
        <f>IFERROR(IF(INDEX(FormData,395,f_Id)&amp;""="","",395),"")</f>
        <v/>
      </c>
      <c r="I398" s="16">
        <f>IF($H398="","",IFERROR(INDEX(FormData,$H398,f_Need)&amp;"",""))</f>
        <v/>
      </c>
    </row>
    <row r="399">
      <c r="A399" s="14" t="n">
        <v>395</v>
      </c>
      <c r="B399" s="14">
        <f>IF($H399="","",INDEX(FormData,$H399,f_Id))</f>
        <v/>
      </c>
      <c r="C399" s="15">
        <f>IF($H399="","",IFERROR(INDEX(FormData,$H399,f_Time),""))</f>
        <v/>
      </c>
      <c r="D399" s="14">
        <f>IF($H399="","",IFERROR(UPPER(LEFT(TRIM(INDEX(FormData,$H399,f_Name)),1)&amp;IFERROR(MID(TRIM(INDEX(FormData,$H399,f_Name)),FIND("^",SUBSTITUTE(TRIM(INDEX(FormData,$H399,f_Name))," ","^",LEN(TRIM(INDEX(FormData,$H399,f_Name)))-LEN(SUBSTITUTE(TRIM(INDEX(FormData,$H399,f_Name))," ",""))))+1,1),"")),""))</f>
        <v/>
      </c>
      <c r="E399" s="16">
        <f>IF($H399="","",IFERROR(INDEX(EvID,MATCH(INDEX(FormData,$H399,f_Event),EvID,0)),IFERROR(INDEX(EvID,MATCH(INDEX(FormData,$H399,f_Event),EvName,0)),IFERROR(INDEX(EvID,MATCH(INT($C399),EvDate,0)),"(no event that day)"))))</f>
        <v/>
      </c>
      <c r="F399" s="16">
        <f>IF($H399="","",IFERROR(IF(SUMPRODUCT(MAX((WhoKW&lt;&gt;"")*ISNUMBER(SEARCH(WhoKW,INDEX(FormData,$H399,f_Who)&amp;""))*(ROW(WhoKW)-MIN(ROW(WhoKW))+1)))=0,"",INDEX(WhoVal,SUMPRODUCT(MAX((WhoKW&lt;&gt;"")*ISNUMBER(SEARCH(WhoKW,INDEX(FormData,$H399,f_Who)&amp;""))*(ROW(WhoKW)-MIN(ROW(WhoKW))+1))))),""))</f>
        <v/>
      </c>
      <c r="G399" s="14">
        <f>IF($H399="","",IF(COUNTIF(People!$U$5:$U$604,$B399)+COUNTIF(People!$U$5:$U$604,$B399&amp;"")&gt;0,"✓ logged","→ add"))</f>
        <v/>
      </c>
      <c r="H399">
        <f>IFERROR(IF(INDEX(FormData,396,f_Id)&amp;""="","",396),"")</f>
        <v/>
      </c>
      <c r="I399" s="16">
        <f>IF($H399="","",IFERROR(INDEX(FormData,$H399,f_Need)&amp;"",""))</f>
        <v/>
      </c>
    </row>
    <row r="400">
      <c r="A400" s="14" t="n">
        <v>396</v>
      </c>
      <c r="B400" s="14">
        <f>IF($H400="","",INDEX(FormData,$H400,f_Id))</f>
        <v/>
      </c>
      <c r="C400" s="15">
        <f>IF($H400="","",IFERROR(INDEX(FormData,$H400,f_Time),""))</f>
        <v/>
      </c>
      <c r="D400" s="14">
        <f>IF($H400="","",IFERROR(UPPER(LEFT(TRIM(INDEX(FormData,$H400,f_Name)),1)&amp;IFERROR(MID(TRIM(INDEX(FormData,$H400,f_Name)),FIND("^",SUBSTITUTE(TRIM(INDEX(FormData,$H400,f_Name))," ","^",LEN(TRIM(INDEX(FormData,$H400,f_Name)))-LEN(SUBSTITUTE(TRIM(INDEX(FormData,$H400,f_Name))," ",""))))+1,1),"")),""))</f>
        <v/>
      </c>
      <c r="E400" s="16">
        <f>IF($H400="","",IFERROR(INDEX(EvID,MATCH(INDEX(FormData,$H400,f_Event),EvID,0)),IFERROR(INDEX(EvID,MATCH(INDEX(FormData,$H400,f_Event),EvName,0)),IFERROR(INDEX(EvID,MATCH(INT($C400),EvDate,0)),"(no event that day)"))))</f>
        <v/>
      </c>
      <c r="F400" s="16">
        <f>IF($H400="","",IFERROR(IF(SUMPRODUCT(MAX((WhoKW&lt;&gt;"")*ISNUMBER(SEARCH(WhoKW,INDEX(FormData,$H400,f_Who)&amp;""))*(ROW(WhoKW)-MIN(ROW(WhoKW))+1)))=0,"",INDEX(WhoVal,SUMPRODUCT(MAX((WhoKW&lt;&gt;"")*ISNUMBER(SEARCH(WhoKW,INDEX(FormData,$H400,f_Who)&amp;""))*(ROW(WhoKW)-MIN(ROW(WhoKW))+1))))),""))</f>
        <v/>
      </c>
      <c r="G400" s="14">
        <f>IF($H400="","",IF(COUNTIF(People!$U$5:$U$604,$B400)+COUNTIF(People!$U$5:$U$604,$B400&amp;"")&gt;0,"✓ logged","→ add"))</f>
        <v/>
      </c>
      <c r="H400">
        <f>IFERROR(IF(INDEX(FormData,397,f_Id)&amp;""="","",397),"")</f>
        <v/>
      </c>
      <c r="I400" s="16">
        <f>IF($H400="","",IFERROR(INDEX(FormData,$H400,f_Need)&amp;"",""))</f>
        <v/>
      </c>
    </row>
    <row r="401">
      <c r="A401" s="14" t="n">
        <v>397</v>
      </c>
      <c r="B401" s="14">
        <f>IF($H401="","",INDEX(FormData,$H401,f_Id))</f>
        <v/>
      </c>
      <c r="C401" s="15">
        <f>IF($H401="","",IFERROR(INDEX(FormData,$H401,f_Time),""))</f>
        <v/>
      </c>
      <c r="D401" s="14">
        <f>IF($H401="","",IFERROR(UPPER(LEFT(TRIM(INDEX(FormData,$H401,f_Name)),1)&amp;IFERROR(MID(TRIM(INDEX(FormData,$H401,f_Name)),FIND("^",SUBSTITUTE(TRIM(INDEX(FormData,$H401,f_Name))," ","^",LEN(TRIM(INDEX(FormData,$H401,f_Name)))-LEN(SUBSTITUTE(TRIM(INDEX(FormData,$H401,f_Name))," ",""))))+1,1),"")),""))</f>
        <v/>
      </c>
      <c r="E401" s="16">
        <f>IF($H401="","",IFERROR(INDEX(EvID,MATCH(INDEX(FormData,$H401,f_Event),EvID,0)),IFERROR(INDEX(EvID,MATCH(INDEX(FormData,$H401,f_Event),EvName,0)),IFERROR(INDEX(EvID,MATCH(INT($C401),EvDate,0)),"(no event that day)"))))</f>
        <v/>
      </c>
      <c r="F401" s="16">
        <f>IF($H401="","",IFERROR(IF(SUMPRODUCT(MAX((WhoKW&lt;&gt;"")*ISNUMBER(SEARCH(WhoKW,INDEX(FormData,$H401,f_Who)&amp;""))*(ROW(WhoKW)-MIN(ROW(WhoKW))+1)))=0,"",INDEX(WhoVal,SUMPRODUCT(MAX((WhoKW&lt;&gt;"")*ISNUMBER(SEARCH(WhoKW,INDEX(FormData,$H401,f_Who)&amp;""))*(ROW(WhoKW)-MIN(ROW(WhoKW))+1))))),""))</f>
        <v/>
      </c>
      <c r="G401" s="14">
        <f>IF($H401="","",IF(COUNTIF(People!$U$5:$U$604,$B401)+COUNTIF(People!$U$5:$U$604,$B401&amp;"")&gt;0,"✓ logged","→ add"))</f>
        <v/>
      </c>
      <c r="H401">
        <f>IFERROR(IF(INDEX(FormData,398,f_Id)&amp;""="","",398),"")</f>
        <v/>
      </c>
      <c r="I401" s="16">
        <f>IF($H401="","",IFERROR(INDEX(FormData,$H401,f_Need)&amp;"",""))</f>
        <v/>
      </c>
    </row>
    <row r="402">
      <c r="A402" s="14" t="n">
        <v>398</v>
      </c>
      <c r="B402" s="14">
        <f>IF($H402="","",INDEX(FormData,$H402,f_Id))</f>
        <v/>
      </c>
      <c r="C402" s="15">
        <f>IF($H402="","",IFERROR(INDEX(FormData,$H402,f_Time),""))</f>
        <v/>
      </c>
      <c r="D402" s="14">
        <f>IF($H402="","",IFERROR(UPPER(LEFT(TRIM(INDEX(FormData,$H402,f_Name)),1)&amp;IFERROR(MID(TRIM(INDEX(FormData,$H402,f_Name)),FIND("^",SUBSTITUTE(TRIM(INDEX(FormData,$H402,f_Name))," ","^",LEN(TRIM(INDEX(FormData,$H402,f_Name)))-LEN(SUBSTITUTE(TRIM(INDEX(FormData,$H402,f_Name))," ",""))))+1,1),"")),""))</f>
        <v/>
      </c>
      <c r="E402" s="16">
        <f>IF($H402="","",IFERROR(INDEX(EvID,MATCH(INDEX(FormData,$H402,f_Event),EvID,0)),IFERROR(INDEX(EvID,MATCH(INDEX(FormData,$H402,f_Event),EvName,0)),IFERROR(INDEX(EvID,MATCH(INT($C402),EvDate,0)),"(no event that day)"))))</f>
        <v/>
      </c>
      <c r="F402" s="16">
        <f>IF($H402="","",IFERROR(IF(SUMPRODUCT(MAX((WhoKW&lt;&gt;"")*ISNUMBER(SEARCH(WhoKW,INDEX(FormData,$H402,f_Who)&amp;""))*(ROW(WhoKW)-MIN(ROW(WhoKW))+1)))=0,"",INDEX(WhoVal,SUMPRODUCT(MAX((WhoKW&lt;&gt;"")*ISNUMBER(SEARCH(WhoKW,INDEX(FormData,$H402,f_Who)&amp;""))*(ROW(WhoKW)-MIN(ROW(WhoKW))+1))))),""))</f>
        <v/>
      </c>
      <c r="G402" s="14">
        <f>IF($H402="","",IF(COUNTIF(People!$U$5:$U$604,$B402)+COUNTIF(People!$U$5:$U$604,$B402&amp;"")&gt;0,"✓ logged","→ add"))</f>
        <v/>
      </c>
      <c r="H402">
        <f>IFERROR(IF(INDEX(FormData,399,f_Id)&amp;""="","",399),"")</f>
        <v/>
      </c>
      <c r="I402" s="16">
        <f>IF($H402="","",IFERROR(INDEX(FormData,$H402,f_Need)&amp;"",""))</f>
        <v/>
      </c>
    </row>
    <row r="403">
      <c r="A403" s="14" t="n">
        <v>399</v>
      </c>
      <c r="B403" s="14">
        <f>IF($H403="","",INDEX(FormData,$H403,f_Id))</f>
        <v/>
      </c>
      <c r="C403" s="15">
        <f>IF($H403="","",IFERROR(INDEX(FormData,$H403,f_Time),""))</f>
        <v/>
      </c>
      <c r="D403" s="14">
        <f>IF($H403="","",IFERROR(UPPER(LEFT(TRIM(INDEX(FormData,$H403,f_Name)),1)&amp;IFERROR(MID(TRIM(INDEX(FormData,$H403,f_Name)),FIND("^",SUBSTITUTE(TRIM(INDEX(FormData,$H403,f_Name))," ","^",LEN(TRIM(INDEX(FormData,$H403,f_Name)))-LEN(SUBSTITUTE(TRIM(INDEX(FormData,$H403,f_Name))," ",""))))+1,1),"")),""))</f>
        <v/>
      </c>
      <c r="E403" s="16">
        <f>IF($H403="","",IFERROR(INDEX(EvID,MATCH(INDEX(FormData,$H403,f_Event),EvID,0)),IFERROR(INDEX(EvID,MATCH(INDEX(FormData,$H403,f_Event),EvName,0)),IFERROR(INDEX(EvID,MATCH(INT($C403),EvDate,0)),"(no event that day)"))))</f>
        <v/>
      </c>
      <c r="F403" s="16">
        <f>IF($H403="","",IFERROR(IF(SUMPRODUCT(MAX((WhoKW&lt;&gt;"")*ISNUMBER(SEARCH(WhoKW,INDEX(FormData,$H403,f_Who)&amp;""))*(ROW(WhoKW)-MIN(ROW(WhoKW))+1)))=0,"",INDEX(WhoVal,SUMPRODUCT(MAX((WhoKW&lt;&gt;"")*ISNUMBER(SEARCH(WhoKW,INDEX(FormData,$H403,f_Who)&amp;""))*(ROW(WhoKW)-MIN(ROW(WhoKW))+1))))),""))</f>
        <v/>
      </c>
      <c r="G403" s="14">
        <f>IF($H403="","",IF(COUNTIF(People!$U$5:$U$604,$B403)+COUNTIF(People!$U$5:$U$604,$B403&amp;"")&gt;0,"✓ logged","→ add"))</f>
        <v/>
      </c>
      <c r="H403">
        <f>IFERROR(IF(INDEX(FormData,400,f_Id)&amp;""="","",400),"")</f>
        <v/>
      </c>
      <c r="I403" s="16">
        <f>IF($H403="","",IFERROR(INDEX(FormData,$H403,f_Need)&amp;"",""))</f>
        <v/>
      </c>
    </row>
    <row r="404">
      <c r="A404" s="14" t="n">
        <v>400</v>
      </c>
      <c r="B404" s="14">
        <f>IF($H404="","",INDEX(FormData,$H404,f_Id))</f>
        <v/>
      </c>
      <c r="C404" s="15">
        <f>IF($H404="","",IFERROR(INDEX(FormData,$H404,f_Time),""))</f>
        <v/>
      </c>
      <c r="D404" s="14">
        <f>IF($H404="","",IFERROR(UPPER(LEFT(TRIM(INDEX(FormData,$H404,f_Name)),1)&amp;IFERROR(MID(TRIM(INDEX(FormData,$H404,f_Name)),FIND("^",SUBSTITUTE(TRIM(INDEX(FormData,$H404,f_Name))," ","^",LEN(TRIM(INDEX(FormData,$H404,f_Name)))-LEN(SUBSTITUTE(TRIM(INDEX(FormData,$H404,f_Name))," ",""))))+1,1),"")),""))</f>
        <v/>
      </c>
      <c r="E404" s="16">
        <f>IF($H404="","",IFERROR(INDEX(EvID,MATCH(INDEX(FormData,$H404,f_Event),EvID,0)),IFERROR(INDEX(EvID,MATCH(INDEX(FormData,$H404,f_Event),EvName,0)),IFERROR(INDEX(EvID,MATCH(INT($C404),EvDate,0)),"(no event that day)"))))</f>
        <v/>
      </c>
      <c r="F404" s="16">
        <f>IF($H404="","",IFERROR(IF(SUMPRODUCT(MAX((WhoKW&lt;&gt;"")*ISNUMBER(SEARCH(WhoKW,INDEX(FormData,$H404,f_Who)&amp;""))*(ROW(WhoKW)-MIN(ROW(WhoKW))+1)))=0,"",INDEX(WhoVal,SUMPRODUCT(MAX((WhoKW&lt;&gt;"")*ISNUMBER(SEARCH(WhoKW,INDEX(FormData,$H404,f_Who)&amp;""))*(ROW(WhoKW)-MIN(ROW(WhoKW))+1))))),""))</f>
        <v/>
      </c>
      <c r="G404" s="14">
        <f>IF($H404="","",IF(COUNTIF(People!$U$5:$U$604,$B404)+COUNTIF(People!$U$5:$U$604,$B404&amp;"")&gt;0,"✓ logged","→ add"))</f>
        <v/>
      </c>
      <c r="H404">
        <f>IFERROR(IF(INDEX(FormData,401,f_Id)&amp;""="","",401),"")</f>
        <v/>
      </c>
      <c r="I404" s="16">
        <f>IF($H404="","",IFERROR(INDEX(FormData,$H404,f_Need)&amp;"",""))</f>
        <v/>
      </c>
    </row>
    <row r="405">
      <c r="A405" s="14" t="n">
        <v>401</v>
      </c>
      <c r="B405" s="14">
        <f>IF($H405="","",INDEX(FormData,$H405,f_Id))</f>
        <v/>
      </c>
      <c r="C405" s="15">
        <f>IF($H405="","",IFERROR(INDEX(FormData,$H405,f_Time),""))</f>
        <v/>
      </c>
      <c r="D405" s="14">
        <f>IF($H405="","",IFERROR(UPPER(LEFT(TRIM(INDEX(FormData,$H405,f_Name)),1)&amp;IFERROR(MID(TRIM(INDEX(FormData,$H405,f_Name)),FIND("^",SUBSTITUTE(TRIM(INDEX(FormData,$H405,f_Name))," ","^",LEN(TRIM(INDEX(FormData,$H405,f_Name)))-LEN(SUBSTITUTE(TRIM(INDEX(FormData,$H405,f_Name))," ",""))))+1,1),"")),""))</f>
        <v/>
      </c>
      <c r="E405" s="16">
        <f>IF($H405="","",IFERROR(INDEX(EvID,MATCH(INDEX(FormData,$H405,f_Event),EvID,0)),IFERROR(INDEX(EvID,MATCH(INDEX(FormData,$H405,f_Event),EvName,0)),IFERROR(INDEX(EvID,MATCH(INT($C405),EvDate,0)),"(no event that day)"))))</f>
        <v/>
      </c>
      <c r="F405" s="16">
        <f>IF($H405="","",IFERROR(IF(SUMPRODUCT(MAX((WhoKW&lt;&gt;"")*ISNUMBER(SEARCH(WhoKW,INDEX(FormData,$H405,f_Who)&amp;""))*(ROW(WhoKW)-MIN(ROW(WhoKW))+1)))=0,"",INDEX(WhoVal,SUMPRODUCT(MAX((WhoKW&lt;&gt;"")*ISNUMBER(SEARCH(WhoKW,INDEX(FormData,$H405,f_Who)&amp;""))*(ROW(WhoKW)-MIN(ROW(WhoKW))+1))))),""))</f>
        <v/>
      </c>
      <c r="G405" s="14">
        <f>IF($H405="","",IF(COUNTIF(People!$U$5:$U$604,$B405)+COUNTIF(People!$U$5:$U$604,$B405&amp;"")&gt;0,"✓ logged","→ add"))</f>
        <v/>
      </c>
      <c r="H405">
        <f>IFERROR(IF(INDEX(FormData,402,f_Id)&amp;""="","",402),"")</f>
        <v/>
      </c>
      <c r="I405" s="16">
        <f>IF($H405="","",IFERROR(INDEX(FormData,$H405,f_Need)&amp;"",""))</f>
        <v/>
      </c>
    </row>
    <row r="406">
      <c r="A406" s="14" t="n">
        <v>402</v>
      </c>
      <c r="B406" s="14">
        <f>IF($H406="","",INDEX(FormData,$H406,f_Id))</f>
        <v/>
      </c>
      <c r="C406" s="15">
        <f>IF($H406="","",IFERROR(INDEX(FormData,$H406,f_Time),""))</f>
        <v/>
      </c>
      <c r="D406" s="14">
        <f>IF($H406="","",IFERROR(UPPER(LEFT(TRIM(INDEX(FormData,$H406,f_Name)),1)&amp;IFERROR(MID(TRIM(INDEX(FormData,$H406,f_Name)),FIND("^",SUBSTITUTE(TRIM(INDEX(FormData,$H406,f_Name))," ","^",LEN(TRIM(INDEX(FormData,$H406,f_Name)))-LEN(SUBSTITUTE(TRIM(INDEX(FormData,$H406,f_Name))," ",""))))+1,1),"")),""))</f>
        <v/>
      </c>
      <c r="E406" s="16">
        <f>IF($H406="","",IFERROR(INDEX(EvID,MATCH(INDEX(FormData,$H406,f_Event),EvID,0)),IFERROR(INDEX(EvID,MATCH(INDEX(FormData,$H406,f_Event),EvName,0)),IFERROR(INDEX(EvID,MATCH(INT($C406),EvDate,0)),"(no event that day)"))))</f>
        <v/>
      </c>
      <c r="F406" s="16">
        <f>IF($H406="","",IFERROR(IF(SUMPRODUCT(MAX((WhoKW&lt;&gt;"")*ISNUMBER(SEARCH(WhoKW,INDEX(FormData,$H406,f_Who)&amp;""))*(ROW(WhoKW)-MIN(ROW(WhoKW))+1)))=0,"",INDEX(WhoVal,SUMPRODUCT(MAX((WhoKW&lt;&gt;"")*ISNUMBER(SEARCH(WhoKW,INDEX(FormData,$H406,f_Who)&amp;""))*(ROW(WhoKW)-MIN(ROW(WhoKW))+1))))),""))</f>
        <v/>
      </c>
      <c r="G406" s="14">
        <f>IF($H406="","",IF(COUNTIF(People!$U$5:$U$604,$B406)+COUNTIF(People!$U$5:$U$604,$B406&amp;"")&gt;0,"✓ logged","→ add"))</f>
        <v/>
      </c>
      <c r="H406">
        <f>IFERROR(IF(INDEX(FormData,403,f_Id)&amp;""="","",403),"")</f>
        <v/>
      </c>
      <c r="I406" s="16">
        <f>IF($H406="","",IFERROR(INDEX(FormData,$H406,f_Need)&amp;"",""))</f>
        <v/>
      </c>
    </row>
    <row r="407">
      <c r="A407" s="14" t="n">
        <v>403</v>
      </c>
      <c r="B407" s="14">
        <f>IF($H407="","",INDEX(FormData,$H407,f_Id))</f>
        <v/>
      </c>
      <c r="C407" s="15">
        <f>IF($H407="","",IFERROR(INDEX(FormData,$H407,f_Time),""))</f>
        <v/>
      </c>
      <c r="D407" s="14">
        <f>IF($H407="","",IFERROR(UPPER(LEFT(TRIM(INDEX(FormData,$H407,f_Name)),1)&amp;IFERROR(MID(TRIM(INDEX(FormData,$H407,f_Name)),FIND("^",SUBSTITUTE(TRIM(INDEX(FormData,$H407,f_Name))," ","^",LEN(TRIM(INDEX(FormData,$H407,f_Name)))-LEN(SUBSTITUTE(TRIM(INDEX(FormData,$H407,f_Name))," ",""))))+1,1),"")),""))</f>
        <v/>
      </c>
      <c r="E407" s="16">
        <f>IF($H407="","",IFERROR(INDEX(EvID,MATCH(INDEX(FormData,$H407,f_Event),EvID,0)),IFERROR(INDEX(EvID,MATCH(INDEX(FormData,$H407,f_Event),EvName,0)),IFERROR(INDEX(EvID,MATCH(INT($C407),EvDate,0)),"(no event that day)"))))</f>
        <v/>
      </c>
      <c r="F407" s="16">
        <f>IF($H407="","",IFERROR(IF(SUMPRODUCT(MAX((WhoKW&lt;&gt;"")*ISNUMBER(SEARCH(WhoKW,INDEX(FormData,$H407,f_Who)&amp;""))*(ROW(WhoKW)-MIN(ROW(WhoKW))+1)))=0,"",INDEX(WhoVal,SUMPRODUCT(MAX((WhoKW&lt;&gt;"")*ISNUMBER(SEARCH(WhoKW,INDEX(FormData,$H407,f_Who)&amp;""))*(ROW(WhoKW)-MIN(ROW(WhoKW))+1))))),""))</f>
        <v/>
      </c>
      <c r="G407" s="14">
        <f>IF($H407="","",IF(COUNTIF(People!$U$5:$U$604,$B407)+COUNTIF(People!$U$5:$U$604,$B407&amp;"")&gt;0,"✓ logged","→ add"))</f>
        <v/>
      </c>
      <c r="H407">
        <f>IFERROR(IF(INDEX(FormData,404,f_Id)&amp;""="","",404),"")</f>
        <v/>
      </c>
      <c r="I407" s="16">
        <f>IF($H407="","",IFERROR(INDEX(FormData,$H407,f_Need)&amp;"",""))</f>
        <v/>
      </c>
    </row>
    <row r="408">
      <c r="A408" s="14" t="n">
        <v>404</v>
      </c>
      <c r="B408" s="14">
        <f>IF($H408="","",INDEX(FormData,$H408,f_Id))</f>
        <v/>
      </c>
      <c r="C408" s="15">
        <f>IF($H408="","",IFERROR(INDEX(FormData,$H408,f_Time),""))</f>
        <v/>
      </c>
      <c r="D408" s="14">
        <f>IF($H408="","",IFERROR(UPPER(LEFT(TRIM(INDEX(FormData,$H408,f_Name)),1)&amp;IFERROR(MID(TRIM(INDEX(FormData,$H408,f_Name)),FIND("^",SUBSTITUTE(TRIM(INDEX(FormData,$H408,f_Name))," ","^",LEN(TRIM(INDEX(FormData,$H408,f_Name)))-LEN(SUBSTITUTE(TRIM(INDEX(FormData,$H408,f_Name))," ",""))))+1,1),"")),""))</f>
        <v/>
      </c>
      <c r="E408" s="16">
        <f>IF($H408="","",IFERROR(INDEX(EvID,MATCH(INDEX(FormData,$H408,f_Event),EvID,0)),IFERROR(INDEX(EvID,MATCH(INDEX(FormData,$H408,f_Event),EvName,0)),IFERROR(INDEX(EvID,MATCH(INT($C408),EvDate,0)),"(no event that day)"))))</f>
        <v/>
      </c>
      <c r="F408" s="16">
        <f>IF($H408="","",IFERROR(IF(SUMPRODUCT(MAX((WhoKW&lt;&gt;"")*ISNUMBER(SEARCH(WhoKW,INDEX(FormData,$H408,f_Who)&amp;""))*(ROW(WhoKW)-MIN(ROW(WhoKW))+1)))=0,"",INDEX(WhoVal,SUMPRODUCT(MAX((WhoKW&lt;&gt;"")*ISNUMBER(SEARCH(WhoKW,INDEX(FormData,$H408,f_Who)&amp;""))*(ROW(WhoKW)-MIN(ROW(WhoKW))+1))))),""))</f>
        <v/>
      </c>
      <c r="G408" s="14">
        <f>IF($H408="","",IF(COUNTIF(People!$U$5:$U$604,$B408)+COUNTIF(People!$U$5:$U$604,$B408&amp;"")&gt;0,"✓ logged","→ add"))</f>
        <v/>
      </c>
      <c r="H408">
        <f>IFERROR(IF(INDEX(FormData,405,f_Id)&amp;""="","",405),"")</f>
        <v/>
      </c>
      <c r="I408" s="16">
        <f>IF($H408="","",IFERROR(INDEX(FormData,$H408,f_Need)&amp;"",""))</f>
        <v/>
      </c>
    </row>
    <row r="409">
      <c r="A409" s="14" t="n">
        <v>405</v>
      </c>
      <c r="B409" s="14">
        <f>IF($H409="","",INDEX(FormData,$H409,f_Id))</f>
        <v/>
      </c>
      <c r="C409" s="15">
        <f>IF($H409="","",IFERROR(INDEX(FormData,$H409,f_Time),""))</f>
        <v/>
      </c>
      <c r="D409" s="14">
        <f>IF($H409="","",IFERROR(UPPER(LEFT(TRIM(INDEX(FormData,$H409,f_Name)),1)&amp;IFERROR(MID(TRIM(INDEX(FormData,$H409,f_Name)),FIND("^",SUBSTITUTE(TRIM(INDEX(FormData,$H409,f_Name))," ","^",LEN(TRIM(INDEX(FormData,$H409,f_Name)))-LEN(SUBSTITUTE(TRIM(INDEX(FormData,$H409,f_Name))," ",""))))+1,1),"")),""))</f>
        <v/>
      </c>
      <c r="E409" s="16">
        <f>IF($H409="","",IFERROR(INDEX(EvID,MATCH(INDEX(FormData,$H409,f_Event),EvID,0)),IFERROR(INDEX(EvID,MATCH(INDEX(FormData,$H409,f_Event),EvName,0)),IFERROR(INDEX(EvID,MATCH(INT($C409),EvDate,0)),"(no event that day)"))))</f>
        <v/>
      </c>
      <c r="F409" s="16">
        <f>IF($H409="","",IFERROR(IF(SUMPRODUCT(MAX((WhoKW&lt;&gt;"")*ISNUMBER(SEARCH(WhoKW,INDEX(FormData,$H409,f_Who)&amp;""))*(ROW(WhoKW)-MIN(ROW(WhoKW))+1)))=0,"",INDEX(WhoVal,SUMPRODUCT(MAX((WhoKW&lt;&gt;"")*ISNUMBER(SEARCH(WhoKW,INDEX(FormData,$H409,f_Who)&amp;""))*(ROW(WhoKW)-MIN(ROW(WhoKW))+1))))),""))</f>
        <v/>
      </c>
      <c r="G409" s="14">
        <f>IF($H409="","",IF(COUNTIF(People!$U$5:$U$604,$B409)+COUNTIF(People!$U$5:$U$604,$B409&amp;"")&gt;0,"✓ logged","→ add"))</f>
        <v/>
      </c>
      <c r="H409">
        <f>IFERROR(IF(INDEX(FormData,406,f_Id)&amp;""="","",406),"")</f>
        <v/>
      </c>
      <c r="I409" s="16">
        <f>IF($H409="","",IFERROR(INDEX(FormData,$H409,f_Need)&amp;"",""))</f>
        <v/>
      </c>
    </row>
    <row r="410">
      <c r="A410" s="14" t="n">
        <v>406</v>
      </c>
      <c r="B410" s="14">
        <f>IF($H410="","",INDEX(FormData,$H410,f_Id))</f>
        <v/>
      </c>
      <c r="C410" s="15">
        <f>IF($H410="","",IFERROR(INDEX(FormData,$H410,f_Time),""))</f>
        <v/>
      </c>
      <c r="D410" s="14">
        <f>IF($H410="","",IFERROR(UPPER(LEFT(TRIM(INDEX(FormData,$H410,f_Name)),1)&amp;IFERROR(MID(TRIM(INDEX(FormData,$H410,f_Name)),FIND("^",SUBSTITUTE(TRIM(INDEX(FormData,$H410,f_Name))," ","^",LEN(TRIM(INDEX(FormData,$H410,f_Name)))-LEN(SUBSTITUTE(TRIM(INDEX(FormData,$H410,f_Name))," ",""))))+1,1),"")),""))</f>
        <v/>
      </c>
      <c r="E410" s="16">
        <f>IF($H410="","",IFERROR(INDEX(EvID,MATCH(INDEX(FormData,$H410,f_Event),EvID,0)),IFERROR(INDEX(EvID,MATCH(INDEX(FormData,$H410,f_Event),EvName,0)),IFERROR(INDEX(EvID,MATCH(INT($C410),EvDate,0)),"(no event that day)"))))</f>
        <v/>
      </c>
      <c r="F410" s="16">
        <f>IF($H410="","",IFERROR(IF(SUMPRODUCT(MAX((WhoKW&lt;&gt;"")*ISNUMBER(SEARCH(WhoKW,INDEX(FormData,$H410,f_Who)&amp;""))*(ROW(WhoKW)-MIN(ROW(WhoKW))+1)))=0,"",INDEX(WhoVal,SUMPRODUCT(MAX((WhoKW&lt;&gt;"")*ISNUMBER(SEARCH(WhoKW,INDEX(FormData,$H410,f_Who)&amp;""))*(ROW(WhoKW)-MIN(ROW(WhoKW))+1))))),""))</f>
        <v/>
      </c>
      <c r="G410" s="14">
        <f>IF($H410="","",IF(COUNTIF(People!$U$5:$U$604,$B410)+COUNTIF(People!$U$5:$U$604,$B410&amp;"")&gt;0,"✓ logged","→ add"))</f>
        <v/>
      </c>
      <c r="H410">
        <f>IFERROR(IF(INDEX(FormData,407,f_Id)&amp;""="","",407),"")</f>
        <v/>
      </c>
      <c r="I410" s="16">
        <f>IF($H410="","",IFERROR(INDEX(FormData,$H410,f_Need)&amp;"",""))</f>
        <v/>
      </c>
    </row>
    <row r="411">
      <c r="A411" s="14" t="n">
        <v>407</v>
      </c>
      <c r="B411" s="14">
        <f>IF($H411="","",INDEX(FormData,$H411,f_Id))</f>
        <v/>
      </c>
      <c r="C411" s="15">
        <f>IF($H411="","",IFERROR(INDEX(FormData,$H411,f_Time),""))</f>
        <v/>
      </c>
      <c r="D411" s="14">
        <f>IF($H411="","",IFERROR(UPPER(LEFT(TRIM(INDEX(FormData,$H411,f_Name)),1)&amp;IFERROR(MID(TRIM(INDEX(FormData,$H411,f_Name)),FIND("^",SUBSTITUTE(TRIM(INDEX(FormData,$H411,f_Name))," ","^",LEN(TRIM(INDEX(FormData,$H411,f_Name)))-LEN(SUBSTITUTE(TRIM(INDEX(FormData,$H411,f_Name))," ",""))))+1,1),"")),""))</f>
        <v/>
      </c>
      <c r="E411" s="16">
        <f>IF($H411="","",IFERROR(INDEX(EvID,MATCH(INDEX(FormData,$H411,f_Event),EvID,0)),IFERROR(INDEX(EvID,MATCH(INDEX(FormData,$H411,f_Event),EvName,0)),IFERROR(INDEX(EvID,MATCH(INT($C411),EvDate,0)),"(no event that day)"))))</f>
        <v/>
      </c>
      <c r="F411" s="16">
        <f>IF($H411="","",IFERROR(IF(SUMPRODUCT(MAX((WhoKW&lt;&gt;"")*ISNUMBER(SEARCH(WhoKW,INDEX(FormData,$H411,f_Who)&amp;""))*(ROW(WhoKW)-MIN(ROW(WhoKW))+1)))=0,"",INDEX(WhoVal,SUMPRODUCT(MAX((WhoKW&lt;&gt;"")*ISNUMBER(SEARCH(WhoKW,INDEX(FormData,$H411,f_Who)&amp;""))*(ROW(WhoKW)-MIN(ROW(WhoKW))+1))))),""))</f>
        <v/>
      </c>
      <c r="G411" s="14">
        <f>IF($H411="","",IF(COUNTIF(People!$U$5:$U$604,$B411)+COUNTIF(People!$U$5:$U$604,$B411&amp;"")&gt;0,"✓ logged","→ add"))</f>
        <v/>
      </c>
      <c r="H411">
        <f>IFERROR(IF(INDEX(FormData,408,f_Id)&amp;""="","",408),"")</f>
        <v/>
      </c>
      <c r="I411" s="16">
        <f>IF($H411="","",IFERROR(INDEX(FormData,$H411,f_Need)&amp;"",""))</f>
        <v/>
      </c>
    </row>
    <row r="412">
      <c r="A412" s="14" t="n">
        <v>408</v>
      </c>
      <c r="B412" s="14">
        <f>IF($H412="","",INDEX(FormData,$H412,f_Id))</f>
        <v/>
      </c>
      <c r="C412" s="15">
        <f>IF($H412="","",IFERROR(INDEX(FormData,$H412,f_Time),""))</f>
        <v/>
      </c>
      <c r="D412" s="14">
        <f>IF($H412="","",IFERROR(UPPER(LEFT(TRIM(INDEX(FormData,$H412,f_Name)),1)&amp;IFERROR(MID(TRIM(INDEX(FormData,$H412,f_Name)),FIND("^",SUBSTITUTE(TRIM(INDEX(FormData,$H412,f_Name))," ","^",LEN(TRIM(INDEX(FormData,$H412,f_Name)))-LEN(SUBSTITUTE(TRIM(INDEX(FormData,$H412,f_Name))," ",""))))+1,1),"")),""))</f>
        <v/>
      </c>
      <c r="E412" s="16">
        <f>IF($H412="","",IFERROR(INDEX(EvID,MATCH(INDEX(FormData,$H412,f_Event),EvID,0)),IFERROR(INDEX(EvID,MATCH(INDEX(FormData,$H412,f_Event),EvName,0)),IFERROR(INDEX(EvID,MATCH(INT($C412),EvDate,0)),"(no event that day)"))))</f>
        <v/>
      </c>
      <c r="F412" s="16">
        <f>IF($H412="","",IFERROR(IF(SUMPRODUCT(MAX((WhoKW&lt;&gt;"")*ISNUMBER(SEARCH(WhoKW,INDEX(FormData,$H412,f_Who)&amp;""))*(ROW(WhoKW)-MIN(ROW(WhoKW))+1)))=0,"",INDEX(WhoVal,SUMPRODUCT(MAX((WhoKW&lt;&gt;"")*ISNUMBER(SEARCH(WhoKW,INDEX(FormData,$H412,f_Who)&amp;""))*(ROW(WhoKW)-MIN(ROW(WhoKW))+1))))),""))</f>
        <v/>
      </c>
      <c r="G412" s="14">
        <f>IF($H412="","",IF(COUNTIF(People!$U$5:$U$604,$B412)+COUNTIF(People!$U$5:$U$604,$B412&amp;"")&gt;0,"✓ logged","→ add"))</f>
        <v/>
      </c>
      <c r="H412">
        <f>IFERROR(IF(INDEX(FormData,409,f_Id)&amp;""="","",409),"")</f>
        <v/>
      </c>
      <c r="I412" s="16">
        <f>IF($H412="","",IFERROR(INDEX(FormData,$H412,f_Need)&amp;"",""))</f>
        <v/>
      </c>
    </row>
    <row r="413">
      <c r="A413" s="14" t="n">
        <v>409</v>
      </c>
      <c r="B413" s="14">
        <f>IF($H413="","",INDEX(FormData,$H413,f_Id))</f>
        <v/>
      </c>
      <c r="C413" s="15">
        <f>IF($H413="","",IFERROR(INDEX(FormData,$H413,f_Time),""))</f>
        <v/>
      </c>
      <c r="D413" s="14">
        <f>IF($H413="","",IFERROR(UPPER(LEFT(TRIM(INDEX(FormData,$H413,f_Name)),1)&amp;IFERROR(MID(TRIM(INDEX(FormData,$H413,f_Name)),FIND("^",SUBSTITUTE(TRIM(INDEX(FormData,$H413,f_Name))," ","^",LEN(TRIM(INDEX(FormData,$H413,f_Name)))-LEN(SUBSTITUTE(TRIM(INDEX(FormData,$H413,f_Name))," ",""))))+1,1),"")),""))</f>
        <v/>
      </c>
      <c r="E413" s="16">
        <f>IF($H413="","",IFERROR(INDEX(EvID,MATCH(INDEX(FormData,$H413,f_Event),EvID,0)),IFERROR(INDEX(EvID,MATCH(INDEX(FormData,$H413,f_Event),EvName,0)),IFERROR(INDEX(EvID,MATCH(INT($C413),EvDate,0)),"(no event that day)"))))</f>
        <v/>
      </c>
      <c r="F413" s="16">
        <f>IF($H413="","",IFERROR(IF(SUMPRODUCT(MAX((WhoKW&lt;&gt;"")*ISNUMBER(SEARCH(WhoKW,INDEX(FormData,$H413,f_Who)&amp;""))*(ROW(WhoKW)-MIN(ROW(WhoKW))+1)))=0,"",INDEX(WhoVal,SUMPRODUCT(MAX((WhoKW&lt;&gt;"")*ISNUMBER(SEARCH(WhoKW,INDEX(FormData,$H413,f_Who)&amp;""))*(ROW(WhoKW)-MIN(ROW(WhoKW))+1))))),""))</f>
        <v/>
      </c>
      <c r="G413" s="14">
        <f>IF($H413="","",IF(COUNTIF(People!$U$5:$U$604,$B413)+COUNTIF(People!$U$5:$U$604,$B413&amp;"")&gt;0,"✓ logged","→ add"))</f>
        <v/>
      </c>
      <c r="H413">
        <f>IFERROR(IF(INDEX(FormData,410,f_Id)&amp;""="","",410),"")</f>
        <v/>
      </c>
      <c r="I413" s="16">
        <f>IF($H413="","",IFERROR(INDEX(FormData,$H413,f_Need)&amp;"",""))</f>
        <v/>
      </c>
    </row>
    <row r="414">
      <c r="A414" s="14" t="n">
        <v>410</v>
      </c>
      <c r="B414" s="14">
        <f>IF($H414="","",INDEX(FormData,$H414,f_Id))</f>
        <v/>
      </c>
      <c r="C414" s="15">
        <f>IF($H414="","",IFERROR(INDEX(FormData,$H414,f_Time),""))</f>
        <v/>
      </c>
      <c r="D414" s="14">
        <f>IF($H414="","",IFERROR(UPPER(LEFT(TRIM(INDEX(FormData,$H414,f_Name)),1)&amp;IFERROR(MID(TRIM(INDEX(FormData,$H414,f_Name)),FIND("^",SUBSTITUTE(TRIM(INDEX(FormData,$H414,f_Name))," ","^",LEN(TRIM(INDEX(FormData,$H414,f_Name)))-LEN(SUBSTITUTE(TRIM(INDEX(FormData,$H414,f_Name))," ",""))))+1,1),"")),""))</f>
        <v/>
      </c>
      <c r="E414" s="16">
        <f>IF($H414="","",IFERROR(INDEX(EvID,MATCH(INDEX(FormData,$H414,f_Event),EvID,0)),IFERROR(INDEX(EvID,MATCH(INDEX(FormData,$H414,f_Event),EvName,0)),IFERROR(INDEX(EvID,MATCH(INT($C414),EvDate,0)),"(no event that day)"))))</f>
        <v/>
      </c>
      <c r="F414" s="16">
        <f>IF($H414="","",IFERROR(IF(SUMPRODUCT(MAX((WhoKW&lt;&gt;"")*ISNUMBER(SEARCH(WhoKW,INDEX(FormData,$H414,f_Who)&amp;""))*(ROW(WhoKW)-MIN(ROW(WhoKW))+1)))=0,"",INDEX(WhoVal,SUMPRODUCT(MAX((WhoKW&lt;&gt;"")*ISNUMBER(SEARCH(WhoKW,INDEX(FormData,$H414,f_Who)&amp;""))*(ROW(WhoKW)-MIN(ROW(WhoKW))+1))))),""))</f>
        <v/>
      </c>
      <c r="G414" s="14">
        <f>IF($H414="","",IF(COUNTIF(People!$U$5:$U$604,$B414)+COUNTIF(People!$U$5:$U$604,$B414&amp;"")&gt;0,"✓ logged","→ add"))</f>
        <v/>
      </c>
      <c r="H414">
        <f>IFERROR(IF(INDEX(FormData,411,f_Id)&amp;""="","",411),"")</f>
        <v/>
      </c>
      <c r="I414" s="16">
        <f>IF($H414="","",IFERROR(INDEX(FormData,$H414,f_Need)&amp;"",""))</f>
        <v/>
      </c>
    </row>
    <row r="415">
      <c r="A415" s="14" t="n">
        <v>411</v>
      </c>
      <c r="B415" s="14">
        <f>IF($H415="","",INDEX(FormData,$H415,f_Id))</f>
        <v/>
      </c>
      <c r="C415" s="15">
        <f>IF($H415="","",IFERROR(INDEX(FormData,$H415,f_Time),""))</f>
        <v/>
      </c>
      <c r="D415" s="14">
        <f>IF($H415="","",IFERROR(UPPER(LEFT(TRIM(INDEX(FormData,$H415,f_Name)),1)&amp;IFERROR(MID(TRIM(INDEX(FormData,$H415,f_Name)),FIND("^",SUBSTITUTE(TRIM(INDEX(FormData,$H415,f_Name))," ","^",LEN(TRIM(INDEX(FormData,$H415,f_Name)))-LEN(SUBSTITUTE(TRIM(INDEX(FormData,$H415,f_Name))," ",""))))+1,1),"")),""))</f>
        <v/>
      </c>
      <c r="E415" s="16">
        <f>IF($H415="","",IFERROR(INDEX(EvID,MATCH(INDEX(FormData,$H415,f_Event),EvID,0)),IFERROR(INDEX(EvID,MATCH(INDEX(FormData,$H415,f_Event),EvName,0)),IFERROR(INDEX(EvID,MATCH(INT($C415),EvDate,0)),"(no event that day)"))))</f>
        <v/>
      </c>
      <c r="F415" s="16">
        <f>IF($H415="","",IFERROR(IF(SUMPRODUCT(MAX((WhoKW&lt;&gt;"")*ISNUMBER(SEARCH(WhoKW,INDEX(FormData,$H415,f_Who)&amp;""))*(ROW(WhoKW)-MIN(ROW(WhoKW))+1)))=0,"",INDEX(WhoVal,SUMPRODUCT(MAX((WhoKW&lt;&gt;"")*ISNUMBER(SEARCH(WhoKW,INDEX(FormData,$H415,f_Who)&amp;""))*(ROW(WhoKW)-MIN(ROW(WhoKW))+1))))),""))</f>
        <v/>
      </c>
      <c r="G415" s="14">
        <f>IF($H415="","",IF(COUNTIF(People!$U$5:$U$604,$B415)+COUNTIF(People!$U$5:$U$604,$B415&amp;"")&gt;0,"✓ logged","→ add"))</f>
        <v/>
      </c>
      <c r="H415">
        <f>IFERROR(IF(INDEX(FormData,412,f_Id)&amp;""="","",412),"")</f>
        <v/>
      </c>
      <c r="I415" s="16">
        <f>IF($H415="","",IFERROR(INDEX(FormData,$H415,f_Need)&amp;"",""))</f>
        <v/>
      </c>
    </row>
    <row r="416">
      <c r="A416" s="14" t="n">
        <v>412</v>
      </c>
      <c r="B416" s="14">
        <f>IF($H416="","",INDEX(FormData,$H416,f_Id))</f>
        <v/>
      </c>
      <c r="C416" s="15">
        <f>IF($H416="","",IFERROR(INDEX(FormData,$H416,f_Time),""))</f>
        <v/>
      </c>
      <c r="D416" s="14">
        <f>IF($H416="","",IFERROR(UPPER(LEFT(TRIM(INDEX(FormData,$H416,f_Name)),1)&amp;IFERROR(MID(TRIM(INDEX(FormData,$H416,f_Name)),FIND("^",SUBSTITUTE(TRIM(INDEX(FormData,$H416,f_Name))," ","^",LEN(TRIM(INDEX(FormData,$H416,f_Name)))-LEN(SUBSTITUTE(TRIM(INDEX(FormData,$H416,f_Name))," ",""))))+1,1),"")),""))</f>
        <v/>
      </c>
      <c r="E416" s="16">
        <f>IF($H416="","",IFERROR(INDEX(EvID,MATCH(INDEX(FormData,$H416,f_Event),EvID,0)),IFERROR(INDEX(EvID,MATCH(INDEX(FormData,$H416,f_Event),EvName,0)),IFERROR(INDEX(EvID,MATCH(INT($C416),EvDate,0)),"(no event that day)"))))</f>
        <v/>
      </c>
      <c r="F416" s="16">
        <f>IF($H416="","",IFERROR(IF(SUMPRODUCT(MAX((WhoKW&lt;&gt;"")*ISNUMBER(SEARCH(WhoKW,INDEX(FormData,$H416,f_Who)&amp;""))*(ROW(WhoKW)-MIN(ROW(WhoKW))+1)))=0,"",INDEX(WhoVal,SUMPRODUCT(MAX((WhoKW&lt;&gt;"")*ISNUMBER(SEARCH(WhoKW,INDEX(FormData,$H416,f_Who)&amp;""))*(ROW(WhoKW)-MIN(ROW(WhoKW))+1))))),""))</f>
        <v/>
      </c>
      <c r="G416" s="14">
        <f>IF($H416="","",IF(COUNTIF(People!$U$5:$U$604,$B416)+COUNTIF(People!$U$5:$U$604,$B416&amp;"")&gt;0,"✓ logged","→ add"))</f>
        <v/>
      </c>
      <c r="H416">
        <f>IFERROR(IF(INDEX(FormData,413,f_Id)&amp;""="","",413),"")</f>
        <v/>
      </c>
      <c r="I416" s="16">
        <f>IF($H416="","",IFERROR(INDEX(FormData,$H416,f_Need)&amp;"",""))</f>
        <v/>
      </c>
    </row>
    <row r="417">
      <c r="A417" s="14" t="n">
        <v>413</v>
      </c>
      <c r="B417" s="14">
        <f>IF($H417="","",INDEX(FormData,$H417,f_Id))</f>
        <v/>
      </c>
      <c r="C417" s="15">
        <f>IF($H417="","",IFERROR(INDEX(FormData,$H417,f_Time),""))</f>
        <v/>
      </c>
      <c r="D417" s="14">
        <f>IF($H417="","",IFERROR(UPPER(LEFT(TRIM(INDEX(FormData,$H417,f_Name)),1)&amp;IFERROR(MID(TRIM(INDEX(FormData,$H417,f_Name)),FIND("^",SUBSTITUTE(TRIM(INDEX(FormData,$H417,f_Name))," ","^",LEN(TRIM(INDEX(FormData,$H417,f_Name)))-LEN(SUBSTITUTE(TRIM(INDEX(FormData,$H417,f_Name))," ",""))))+1,1),"")),""))</f>
        <v/>
      </c>
      <c r="E417" s="16">
        <f>IF($H417="","",IFERROR(INDEX(EvID,MATCH(INDEX(FormData,$H417,f_Event),EvID,0)),IFERROR(INDEX(EvID,MATCH(INDEX(FormData,$H417,f_Event),EvName,0)),IFERROR(INDEX(EvID,MATCH(INT($C417),EvDate,0)),"(no event that day)"))))</f>
        <v/>
      </c>
      <c r="F417" s="16">
        <f>IF($H417="","",IFERROR(IF(SUMPRODUCT(MAX((WhoKW&lt;&gt;"")*ISNUMBER(SEARCH(WhoKW,INDEX(FormData,$H417,f_Who)&amp;""))*(ROW(WhoKW)-MIN(ROW(WhoKW))+1)))=0,"",INDEX(WhoVal,SUMPRODUCT(MAX((WhoKW&lt;&gt;"")*ISNUMBER(SEARCH(WhoKW,INDEX(FormData,$H417,f_Who)&amp;""))*(ROW(WhoKW)-MIN(ROW(WhoKW))+1))))),""))</f>
        <v/>
      </c>
      <c r="G417" s="14">
        <f>IF($H417="","",IF(COUNTIF(People!$U$5:$U$604,$B417)+COUNTIF(People!$U$5:$U$604,$B417&amp;"")&gt;0,"✓ logged","→ add"))</f>
        <v/>
      </c>
      <c r="H417">
        <f>IFERROR(IF(INDEX(FormData,414,f_Id)&amp;""="","",414),"")</f>
        <v/>
      </c>
      <c r="I417" s="16">
        <f>IF($H417="","",IFERROR(INDEX(FormData,$H417,f_Need)&amp;"",""))</f>
        <v/>
      </c>
    </row>
    <row r="418">
      <c r="A418" s="14" t="n">
        <v>414</v>
      </c>
      <c r="B418" s="14">
        <f>IF($H418="","",INDEX(FormData,$H418,f_Id))</f>
        <v/>
      </c>
      <c r="C418" s="15">
        <f>IF($H418="","",IFERROR(INDEX(FormData,$H418,f_Time),""))</f>
        <v/>
      </c>
      <c r="D418" s="14">
        <f>IF($H418="","",IFERROR(UPPER(LEFT(TRIM(INDEX(FormData,$H418,f_Name)),1)&amp;IFERROR(MID(TRIM(INDEX(FormData,$H418,f_Name)),FIND("^",SUBSTITUTE(TRIM(INDEX(FormData,$H418,f_Name))," ","^",LEN(TRIM(INDEX(FormData,$H418,f_Name)))-LEN(SUBSTITUTE(TRIM(INDEX(FormData,$H418,f_Name))," ",""))))+1,1),"")),""))</f>
        <v/>
      </c>
      <c r="E418" s="16">
        <f>IF($H418="","",IFERROR(INDEX(EvID,MATCH(INDEX(FormData,$H418,f_Event),EvID,0)),IFERROR(INDEX(EvID,MATCH(INDEX(FormData,$H418,f_Event),EvName,0)),IFERROR(INDEX(EvID,MATCH(INT($C418),EvDate,0)),"(no event that day)"))))</f>
        <v/>
      </c>
      <c r="F418" s="16">
        <f>IF($H418="","",IFERROR(IF(SUMPRODUCT(MAX((WhoKW&lt;&gt;"")*ISNUMBER(SEARCH(WhoKW,INDEX(FormData,$H418,f_Who)&amp;""))*(ROW(WhoKW)-MIN(ROW(WhoKW))+1)))=0,"",INDEX(WhoVal,SUMPRODUCT(MAX((WhoKW&lt;&gt;"")*ISNUMBER(SEARCH(WhoKW,INDEX(FormData,$H418,f_Who)&amp;""))*(ROW(WhoKW)-MIN(ROW(WhoKW))+1))))),""))</f>
        <v/>
      </c>
      <c r="G418" s="14">
        <f>IF($H418="","",IF(COUNTIF(People!$U$5:$U$604,$B418)+COUNTIF(People!$U$5:$U$604,$B418&amp;"")&gt;0,"✓ logged","→ add"))</f>
        <v/>
      </c>
      <c r="H418">
        <f>IFERROR(IF(INDEX(FormData,415,f_Id)&amp;""="","",415),"")</f>
        <v/>
      </c>
      <c r="I418" s="16">
        <f>IF($H418="","",IFERROR(INDEX(FormData,$H418,f_Need)&amp;"",""))</f>
        <v/>
      </c>
    </row>
    <row r="419">
      <c r="A419" s="14" t="n">
        <v>415</v>
      </c>
      <c r="B419" s="14">
        <f>IF($H419="","",INDEX(FormData,$H419,f_Id))</f>
        <v/>
      </c>
      <c r="C419" s="15">
        <f>IF($H419="","",IFERROR(INDEX(FormData,$H419,f_Time),""))</f>
        <v/>
      </c>
      <c r="D419" s="14">
        <f>IF($H419="","",IFERROR(UPPER(LEFT(TRIM(INDEX(FormData,$H419,f_Name)),1)&amp;IFERROR(MID(TRIM(INDEX(FormData,$H419,f_Name)),FIND("^",SUBSTITUTE(TRIM(INDEX(FormData,$H419,f_Name))," ","^",LEN(TRIM(INDEX(FormData,$H419,f_Name)))-LEN(SUBSTITUTE(TRIM(INDEX(FormData,$H419,f_Name))," ",""))))+1,1),"")),""))</f>
        <v/>
      </c>
      <c r="E419" s="16">
        <f>IF($H419="","",IFERROR(INDEX(EvID,MATCH(INDEX(FormData,$H419,f_Event),EvID,0)),IFERROR(INDEX(EvID,MATCH(INDEX(FormData,$H419,f_Event),EvName,0)),IFERROR(INDEX(EvID,MATCH(INT($C419),EvDate,0)),"(no event that day)"))))</f>
        <v/>
      </c>
      <c r="F419" s="16">
        <f>IF($H419="","",IFERROR(IF(SUMPRODUCT(MAX((WhoKW&lt;&gt;"")*ISNUMBER(SEARCH(WhoKW,INDEX(FormData,$H419,f_Who)&amp;""))*(ROW(WhoKW)-MIN(ROW(WhoKW))+1)))=0,"",INDEX(WhoVal,SUMPRODUCT(MAX((WhoKW&lt;&gt;"")*ISNUMBER(SEARCH(WhoKW,INDEX(FormData,$H419,f_Who)&amp;""))*(ROW(WhoKW)-MIN(ROW(WhoKW))+1))))),""))</f>
        <v/>
      </c>
      <c r="G419" s="14">
        <f>IF($H419="","",IF(COUNTIF(People!$U$5:$U$604,$B419)+COUNTIF(People!$U$5:$U$604,$B419&amp;"")&gt;0,"✓ logged","→ add"))</f>
        <v/>
      </c>
      <c r="H419">
        <f>IFERROR(IF(INDEX(FormData,416,f_Id)&amp;""="","",416),"")</f>
        <v/>
      </c>
      <c r="I419" s="16">
        <f>IF($H419="","",IFERROR(INDEX(FormData,$H419,f_Need)&amp;"",""))</f>
        <v/>
      </c>
    </row>
    <row r="420">
      <c r="A420" s="14" t="n">
        <v>416</v>
      </c>
      <c r="B420" s="14">
        <f>IF($H420="","",INDEX(FormData,$H420,f_Id))</f>
        <v/>
      </c>
      <c r="C420" s="15">
        <f>IF($H420="","",IFERROR(INDEX(FormData,$H420,f_Time),""))</f>
        <v/>
      </c>
      <c r="D420" s="14">
        <f>IF($H420="","",IFERROR(UPPER(LEFT(TRIM(INDEX(FormData,$H420,f_Name)),1)&amp;IFERROR(MID(TRIM(INDEX(FormData,$H420,f_Name)),FIND("^",SUBSTITUTE(TRIM(INDEX(FormData,$H420,f_Name))," ","^",LEN(TRIM(INDEX(FormData,$H420,f_Name)))-LEN(SUBSTITUTE(TRIM(INDEX(FormData,$H420,f_Name))," ",""))))+1,1),"")),""))</f>
        <v/>
      </c>
      <c r="E420" s="16">
        <f>IF($H420="","",IFERROR(INDEX(EvID,MATCH(INDEX(FormData,$H420,f_Event),EvID,0)),IFERROR(INDEX(EvID,MATCH(INDEX(FormData,$H420,f_Event),EvName,0)),IFERROR(INDEX(EvID,MATCH(INT($C420),EvDate,0)),"(no event that day)"))))</f>
        <v/>
      </c>
      <c r="F420" s="16">
        <f>IF($H420="","",IFERROR(IF(SUMPRODUCT(MAX((WhoKW&lt;&gt;"")*ISNUMBER(SEARCH(WhoKW,INDEX(FormData,$H420,f_Who)&amp;""))*(ROW(WhoKW)-MIN(ROW(WhoKW))+1)))=0,"",INDEX(WhoVal,SUMPRODUCT(MAX((WhoKW&lt;&gt;"")*ISNUMBER(SEARCH(WhoKW,INDEX(FormData,$H420,f_Who)&amp;""))*(ROW(WhoKW)-MIN(ROW(WhoKW))+1))))),""))</f>
        <v/>
      </c>
      <c r="G420" s="14">
        <f>IF($H420="","",IF(COUNTIF(People!$U$5:$U$604,$B420)+COUNTIF(People!$U$5:$U$604,$B420&amp;"")&gt;0,"✓ logged","→ add"))</f>
        <v/>
      </c>
      <c r="H420">
        <f>IFERROR(IF(INDEX(FormData,417,f_Id)&amp;""="","",417),"")</f>
        <v/>
      </c>
      <c r="I420" s="16">
        <f>IF($H420="","",IFERROR(INDEX(FormData,$H420,f_Need)&amp;"",""))</f>
        <v/>
      </c>
    </row>
    <row r="421">
      <c r="A421" s="14" t="n">
        <v>417</v>
      </c>
      <c r="B421" s="14">
        <f>IF($H421="","",INDEX(FormData,$H421,f_Id))</f>
        <v/>
      </c>
      <c r="C421" s="15">
        <f>IF($H421="","",IFERROR(INDEX(FormData,$H421,f_Time),""))</f>
        <v/>
      </c>
      <c r="D421" s="14">
        <f>IF($H421="","",IFERROR(UPPER(LEFT(TRIM(INDEX(FormData,$H421,f_Name)),1)&amp;IFERROR(MID(TRIM(INDEX(FormData,$H421,f_Name)),FIND("^",SUBSTITUTE(TRIM(INDEX(FormData,$H421,f_Name))," ","^",LEN(TRIM(INDEX(FormData,$H421,f_Name)))-LEN(SUBSTITUTE(TRIM(INDEX(FormData,$H421,f_Name))," ",""))))+1,1),"")),""))</f>
        <v/>
      </c>
      <c r="E421" s="16">
        <f>IF($H421="","",IFERROR(INDEX(EvID,MATCH(INDEX(FormData,$H421,f_Event),EvID,0)),IFERROR(INDEX(EvID,MATCH(INDEX(FormData,$H421,f_Event),EvName,0)),IFERROR(INDEX(EvID,MATCH(INT($C421),EvDate,0)),"(no event that day)"))))</f>
        <v/>
      </c>
      <c r="F421" s="16">
        <f>IF($H421="","",IFERROR(IF(SUMPRODUCT(MAX((WhoKW&lt;&gt;"")*ISNUMBER(SEARCH(WhoKW,INDEX(FormData,$H421,f_Who)&amp;""))*(ROW(WhoKW)-MIN(ROW(WhoKW))+1)))=0,"",INDEX(WhoVal,SUMPRODUCT(MAX((WhoKW&lt;&gt;"")*ISNUMBER(SEARCH(WhoKW,INDEX(FormData,$H421,f_Who)&amp;""))*(ROW(WhoKW)-MIN(ROW(WhoKW))+1))))),""))</f>
        <v/>
      </c>
      <c r="G421" s="14">
        <f>IF($H421="","",IF(COUNTIF(People!$U$5:$U$604,$B421)+COUNTIF(People!$U$5:$U$604,$B421&amp;"")&gt;0,"✓ logged","→ add"))</f>
        <v/>
      </c>
      <c r="H421">
        <f>IFERROR(IF(INDEX(FormData,418,f_Id)&amp;""="","",418),"")</f>
        <v/>
      </c>
      <c r="I421" s="16">
        <f>IF($H421="","",IFERROR(INDEX(FormData,$H421,f_Need)&amp;"",""))</f>
        <v/>
      </c>
    </row>
    <row r="422">
      <c r="A422" s="14" t="n">
        <v>418</v>
      </c>
      <c r="B422" s="14">
        <f>IF($H422="","",INDEX(FormData,$H422,f_Id))</f>
        <v/>
      </c>
      <c r="C422" s="15">
        <f>IF($H422="","",IFERROR(INDEX(FormData,$H422,f_Time),""))</f>
        <v/>
      </c>
      <c r="D422" s="14">
        <f>IF($H422="","",IFERROR(UPPER(LEFT(TRIM(INDEX(FormData,$H422,f_Name)),1)&amp;IFERROR(MID(TRIM(INDEX(FormData,$H422,f_Name)),FIND("^",SUBSTITUTE(TRIM(INDEX(FormData,$H422,f_Name))," ","^",LEN(TRIM(INDEX(FormData,$H422,f_Name)))-LEN(SUBSTITUTE(TRIM(INDEX(FormData,$H422,f_Name))," ",""))))+1,1),"")),""))</f>
        <v/>
      </c>
      <c r="E422" s="16">
        <f>IF($H422="","",IFERROR(INDEX(EvID,MATCH(INDEX(FormData,$H422,f_Event),EvID,0)),IFERROR(INDEX(EvID,MATCH(INDEX(FormData,$H422,f_Event),EvName,0)),IFERROR(INDEX(EvID,MATCH(INT($C422),EvDate,0)),"(no event that day)"))))</f>
        <v/>
      </c>
      <c r="F422" s="16">
        <f>IF($H422="","",IFERROR(IF(SUMPRODUCT(MAX((WhoKW&lt;&gt;"")*ISNUMBER(SEARCH(WhoKW,INDEX(FormData,$H422,f_Who)&amp;""))*(ROW(WhoKW)-MIN(ROW(WhoKW))+1)))=0,"",INDEX(WhoVal,SUMPRODUCT(MAX((WhoKW&lt;&gt;"")*ISNUMBER(SEARCH(WhoKW,INDEX(FormData,$H422,f_Who)&amp;""))*(ROW(WhoKW)-MIN(ROW(WhoKW))+1))))),""))</f>
        <v/>
      </c>
      <c r="G422" s="14">
        <f>IF($H422="","",IF(COUNTIF(People!$U$5:$U$604,$B422)+COUNTIF(People!$U$5:$U$604,$B422&amp;"")&gt;0,"✓ logged","→ add"))</f>
        <v/>
      </c>
      <c r="H422">
        <f>IFERROR(IF(INDEX(FormData,419,f_Id)&amp;""="","",419),"")</f>
        <v/>
      </c>
      <c r="I422" s="16">
        <f>IF($H422="","",IFERROR(INDEX(FormData,$H422,f_Need)&amp;"",""))</f>
        <v/>
      </c>
    </row>
    <row r="423">
      <c r="A423" s="14" t="n">
        <v>419</v>
      </c>
      <c r="B423" s="14">
        <f>IF($H423="","",INDEX(FormData,$H423,f_Id))</f>
        <v/>
      </c>
      <c r="C423" s="15">
        <f>IF($H423="","",IFERROR(INDEX(FormData,$H423,f_Time),""))</f>
        <v/>
      </c>
      <c r="D423" s="14">
        <f>IF($H423="","",IFERROR(UPPER(LEFT(TRIM(INDEX(FormData,$H423,f_Name)),1)&amp;IFERROR(MID(TRIM(INDEX(FormData,$H423,f_Name)),FIND("^",SUBSTITUTE(TRIM(INDEX(FormData,$H423,f_Name))," ","^",LEN(TRIM(INDEX(FormData,$H423,f_Name)))-LEN(SUBSTITUTE(TRIM(INDEX(FormData,$H423,f_Name))," ",""))))+1,1),"")),""))</f>
        <v/>
      </c>
      <c r="E423" s="16">
        <f>IF($H423="","",IFERROR(INDEX(EvID,MATCH(INDEX(FormData,$H423,f_Event),EvID,0)),IFERROR(INDEX(EvID,MATCH(INDEX(FormData,$H423,f_Event),EvName,0)),IFERROR(INDEX(EvID,MATCH(INT($C423),EvDate,0)),"(no event that day)"))))</f>
        <v/>
      </c>
      <c r="F423" s="16">
        <f>IF($H423="","",IFERROR(IF(SUMPRODUCT(MAX((WhoKW&lt;&gt;"")*ISNUMBER(SEARCH(WhoKW,INDEX(FormData,$H423,f_Who)&amp;""))*(ROW(WhoKW)-MIN(ROW(WhoKW))+1)))=0,"",INDEX(WhoVal,SUMPRODUCT(MAX((WhoKW&lt;&gt;"")*ISNUMBER(SEARCH(WhoKW,INDEX(FormData,$H423,f_Who)&amp;""))*(ROW(WhoKW)-MIN(ROW(WhoKW))+1))))),""))</f>
        <v/>
      </c>
      <c r="G423" s="14">
        <f>IF($H423="","",IF(COUNTIF(People!$U$5:$U$604,$B423)+COUNTIF(People!$U$5:$U$604,$B423&amp;"")&gt;0,"✓ logged","→ add"))</f>
        <v/>
      </c>
      <c r="H423">
        <f>IFERROR(IF(INDEX(FormData,420,f_Id)&amp;""="","",420),"")</f>
        <v/>
      </c>
      <c r="I423" s="16">
        <f>IF($H423="","",IFERROR(INDEX(FormData,$H423,f_Need)&amp;"",""))</f>
        <v/>
      </c>
    </row>
    <row r="424">
      <c r="A424" s="14" t="n">
        <v>420</v>
      </c>
      <c r="B424" s="14">
        <f>IF($H424="","",INDEX(FormData,$H424,f_Id))</f>
        <v/>
      </c>
      <c r="C424" s="15">
        <f>IF($H424="","",IFERROR(INDEX(FormData,$H424,f_Time),""))</f>
        <v/>
      </c>
      <c r="D424" s="14">
        <f>IF($H424="","",IFERROR(UPPER(LEFT(TRIM(INDEX(FormData,$H424,f_Name)),1)&amp;IFERROR(MID(TRIM(INDEX(FormData,$H424,f_Name)),FIND("^",SUBSTITUTE(TRIM(INDEX(FormData,$H424,f_Name))," ","^",LEN(TRIM(INDEX(FormData,$H424,f_Name)))-LEN(SUBSTITUTE(TRIM(INDEX(FormData,$H424,f_Name))," ",""))))+1,1),"")),""))</f>
        <v/>
      </c>
      <c r="E424" s="16">
        <f>IF($H424="","",IFERROR(INDEX(EvID,MATCH(INDEX(FormData,$H424,f_Event),EvID,0)),IFERROR(INDEX(EvID,MATCH(INDEX(FormData,$H424,f_Event),EvName,0)),IFERROR(INDEX(EvID,MATCH(INT($C424),EvDate,0)),"(no event that day)"))))</f>
        <v/>
      </c>
      <c r="F424" s="16">
        <f>IF($H424="","",IFERROR(IF(SUMPRODUCT(MAX((WhoKW&lt;&gt;"")*ISNUMBER(SEARCH(WhoKW,INDEX(FormData,$H424,f_Who)&amp;""))*(ROW(WhoKW)-MIN(ROW(WhoKW))+1)))=0,"",INDEX(WhoVal,SUMPRODUCT(MAX((WhoKW&lt;&gt;"")*ISNUMBER(SEARCH(WhoKW,INDEX(FormData,$H424,f_Who)&amp;""))*(ROW(WhoKW)-MIN(ROW(WhoKW))+1))))),""))</f>
        <v/>
      </c>
      <c r="G424" s="14">
        <f>IF($H424="","",IF(COUNTIF(People!$U$5:$U$604,$B424)+COUNTIF(People!$U$5:$U$604,$B424&amp;"")&gt;0,"✓ logged","→ add"))</f>
        <v/>
      </c>
      <c r="H424">
        <f>IFERROR(IF(INDEX(FormData,421,f_Id)&amp;""="","",421),"")</f>
        <v/>
      </c>
      <c r="I424" s="16">
        <f>IF($H424="","",IFERROR(INDEX(FormData,$H424,f_Need)&amp;"",""))</f>
        <v/>
      </c>
    </row>
    <row r="425">
      <c r="A425" s="14" t="n">
        <v>421</v>
      </c>
      <c r="B425" s="14">
        <f>IF($H425="","",INDEX(FormData,$H425,f_Id))</f>
        <v/>
      </c>
      <c r="C425" s="15">
        <f>IF($H425="","",IFERROR(INDEX(FormData,$H425,f_Time),""))</f>
        <v/>
      </c>
      <c r="D425" s="14">
        <f>IF($H425="","",IFERROR(UPPER(LEFT(TRIM(INDEX(FormData,$H425,f_Name)),1)&amp;IFERROR(MID(TRIM(INDEX(FormData,$H425,f_Name)),FIND("^",SUBSTITUTE(TRIM(INDEX(FormData,$H425,f_Name))," ","^",LEN(TRIM(INDEX(FormData,$H425,f_Name)))-LEN(SUBSTITUTE(TRIM(INDEX(FormData,$H425,f_Name))," ",""))))+1,1),"")),""))</f>
        <v/>
      </c>
      <c r="E425" s="16">
        <f>IF($H425="","",IFERROR(INDEX(EvID,MATCH(INDEX(FormData,$H425,f_Event),EvID,0)),IFERROR(INDEX(EvID,MATCH(INDEX(FormData,$H425,f_Event),EvName,0)),IFERROR(INDEX(EvID,MATCH(INT($C425),EvDate,0)),"(no event that day)"))))</f>
        <v/>
      </c>
      <c r="F425" s="16">
        <f>IF($H425="","",IFERROR(IF(SUMPRODUCT(MAX((WhoKW&lt;&gt;"")*ISNUMBER(SEARCH(WhoKW,INDEX(FormData,$H425,f_Who)&amp;""))*(ROW(WhoKW)-MIN(ROW(WhoKW))+1)))=0,"",INDEX(WhoVal,SUMPRODUCT(MAX((WhoKW&lt;&gt;"")*ISNUMBER(SEARCH(WhoKW,INDEX(FormData,$H425,f_Who)&amp;""))*(ROW(WhoKW)-MIN(ROW(WhoKW))+1))))),""))</f>
        <v/>
      </c>
      <c r="G425" s="14">
        <f>IF($H425="","",IF(COUNTIF(People!$U$5:$U$604,$B425)+COUNTIF(People!$U$5:$U$604,$B425&amp;"")&gt;0,"✓ logged","→ add"))</f>
        <v/>
      </c>
      <c r="H425">
        <f>IFERROR(IF(INDEX(FormData,422,f_Id)&amp;""="","",422),"")</f>
        <v/>
      </c>
      <c r="I425" s="16">
        <f>IF($H425="","",IFERROR(INDEX(FormData,$H425,f_Need)&amp;"",""))</f>
        <v/>
      </c>
    </row>
    <row r="426">
      <c r="A426" s="14" t="n">
        <v>422</v>
      </c>
      <c r="B426" s="14">
        <f>IF($H426="","",INDEX(FormData,$H426,f_Id))</f>
        <v/>
      </c>
      <c r="C426" s="15">
        <f>IF($H426="","",IFERROR(INDEX(FormData,$H426,f_Time),""))</f>
        <v/>
      </c>
      <c r="D426" s="14">
        <f>IF($H426="","",IFERROR(UPPER(LEFT(TRIM(INDEX(FormData,$H426,f_Name)),1)&amp;IFERROR(MID(TRIM(INDEX(FormData,$H426,f_Name)),FIND("^",SUBSTITUTE(TRIM(INDEX(FormData,$H426,f_Name))," ","^",LEN(TRIM(INDEX(FormData,$H426,f_Name)))-LEN(SUBSTITUTE(TRIM(INDEX(FormData,$H426,f_Name))," ",""))))+1,1),"")),""))</f>
        <v/>
      </c>
      <c r="E426" s="16">
        <f>IF($H426="","",IFERROR(INDEX(EvID,MATCH(INDEX(FormData,$H426,f_Event),EvID,0)),IFERROR(INDEX(EvID,MATCH(INDEX(FormData,$H426,f_Event),EvName,0)),IFERROR(INDEX(EvID,MATCH(INT($C426),EvDate,0)),"(no event that day)"))))</f>
        <v/>
      </c>
      <c r="F426" s="16">
        <f>IF($H426="","",IFERROR(IF(SUMPRODUCT(MAX((WhoKW&lt;&gt;"")*ISNUMBER(SEARCH(WhoKW,INDEX(FormData,$H426,f_Who)&amp;""))*(ROW(WhoKW)-MIN(ROW(WhoKW))+1)))=0,"",INDEX(WhoVal,SUMPRODUCT(MAX((WhoKW&lt;&gt;"")*ISNUMBER(SEARCH(WhoKW,INDEX(FormData,$H426,f_Who)&amp;""))*(ROW(WhoKW)-MIN(ROW(WhoKW))+1))))),""))</f>
        <v/>
      </c>
      <c r="G426" s="14">
        <f>IF($H426="","",IF(COUNTIF(People!$U$5:$U$604,$B426)+COUNTIF(People!$U$5:$U$604,$B426&amp;"")&gt;0,"✓ logged","→ add"))</f>
        <v/>
      </c>
      <c r="H426">
        <f>IFERROR(IF(INDEX(FormData,423,f_Id)&amp;""="","",423),"")</f>
        <v/>
      </c>
      <c r="I426" s="16">
        <f>IF($H426="","",IFERROR(INDEX(FormData,$H426,f_Need)&amp;"",""))</f>
        <v/>
      </c>
    </row>
    <row r="427">
      <c r="A427" s="14" t="n">
        <v>423</v>
      </c>
      <c r="B427" s="14">
        <f>IF($H427="","",INDEX(FormData,$H427,f_Id))</f>
        <v/>
      </c>
      <c r="C427" s="15">
        <f>IF($H427="","",IFERROR(INDEX(FormData,$H427,f_Time),""))</f>
        <v/>
      </c>
      <c r="D427" s="14">
        <f>IF($H427="","",IFERROR(UPPER(LEFT(TRIM(INDEX(FormData,$H427,f_Name)),1)&amp;IFERROR(MID(TRIM(INDEX(FormData,$H427,f_Name)),FIND("^",SUBSTITUTE(TRIM(INDEX(FormData,$H427,f_Name))," ","^",LEN(TRIM(INDEX(FormData,$H427,f_Name)))-LEN(SUBSTITUTE(TRIM(INDEX(FormData,$H427,f_Name))," ",""))))+1,1),"")),""))</f>
        <v/>
      </c>
      <c r="E427" s="16">
        <f>IF($H427="","",IFERROR(INDEX(EvID,MATCH(INDEX(FormData,$H427,f_Event),EvID,0)),IFERROR(INDEX(EvID,MATCH(INDEX(FormData,$H427,f_Event),EvName,0)),IFERROR(INDEX(EvID,MATCH(INT($C427),EvDate,0)),"(no event that day)"))))</f>
        <v/>
      </c>
      <c r="F427" s="16">
        <f>IF($H427="","",IFERROR(IF(SUMPRODUCT(MAX((WhoKW&lt;&gt;"")*ISNUMBER(SEARCH(WhoKW,INDEX(FormData,$H427,f_Who)&amp;""))*(ROW(WhoKW)-MIN(ROW(WhoKW))+1)))=0,"",INDEX(WhoVal,SUMPRODUCT(MAX((WhoKW&lt;&gt;"")*ISNUMBER(SEARCH(WhoKW,INDEX(FormData,$H427,f_Who)&amp;""))*(ROW(WhoKW)-MIN(ROW(WhoKW))+1))))),""))</f>
        <v/>
      </c>
      <c r="G427" s="14">
        <f>IF($H427="","",IF(COUNTIF(People!$U$5:$U$604,$B427)+COUNTIF(People!$U$5:$U$604,$B427&amp;"")&gt;0,"✓ logged","→ add"))</f>
        <v/>
      </c>
      <c r="H427">
        <f>IFERROR(IF(INDEX(FormData,424,f_Id)&amp;""="","",424),"")</f>
        <v/>
      </c>
      <c r="I427" s="16">
        <f>IF($H427="","",IFERROR(INDEX(FormData,$H427,f_Need)&amp;"",""))</f>
        <v/>
      </c>
    </row>
    <row r="428">
      <c r="A428" s="14" t="n">
        <v>424</v>
      </c>
      <c r="B428" s="14">
        <f>IF($H428="","",INDEX(FormData,$H428,f_Id))</f>
        <v/>
      </c>
      <c r="C428" s="15">
        <f>IF($H428="","",IFERROR(INDEX(FormData,$H428,f_Time),""))</f>
        <v/>
      </c>
      <c r="D428" s="14">
        <f>IF($H428="","",IFERROR(UPPER(LEFT(TRIM(INDEX(FormData,$H428,f_Name)),1)&amp;IFERROR(MID(TRIM(INDEX(FormData,$H428,f_Name)),FIND("^",SUBSTITUTE(TRIM(INDEX(FormData,$H428,f_Name))," ","^",LEN(TRIM(INDEX(FormData,$H428,f_Name)))-LEN(SUBSTITUTE(TRIM(INDEX(FormData,$H428,f_Name))," ",""))))+1,1),"")),""))</f>
        <v/>
      </c>
      <c r="E428" s="16">
        <f>IF($H428="","",IFERROR(INDEX(EvID,MATCH(INDEX(FormData,$H428,f_Event),EvID,0)),IFERROR(INDEX(EvID,MATCH(INDEX(FormData,$H428,f_Event),EvName,0)),IFERROR(INDEX(EvID,MATCH(INT($C428),EvDate,0)),"(no event that day)"))))</f>
        <v/>
      </c>
      <c r="F428" s="16">
        <f>IF($H428="","",IFERROR(IF(SUMPRODUCT(MAX((WhoKW&lt;&gt;"")*ISNUMBER(SEARCH(WhoKW,INDEX(FormData,$H428,f_Who)&amp;""))*(ROW(WhoKW)-MIN(ROW(WhoKW))+1)))=0,"",INDEX(WhoVal,SUMPRODUCT(MAX((WhoKW&lt;&gt;"")*ISNUMBER(SEARCH(WhoKW,INDEX(FormData,$H428,f_Who)&amp;""))*(ROW(WhoKW)-MIN(ROW(WhoKW))+1))))),""))</f>
        <v/>
      </c>
      <c r="G428" s="14">
        <f>IF($H428="","",IF(COUNTIF(People!$U$5:$U$604,$B428)+COUNTIF(People!$U$5:$U$604,$B428&amp;"")&gt;0,"✓ logged","→ add"))</f>
        <v/>
      </c>
      <c r="H428">
        <f>IFERROR(IF(INDEX(FormData,425,f_Id)&amp;""="","",425),"")</f>
        <v/>
      </c>
      <c r="I428" s="16">
        <f>IF($H428="","",IFERROR(INDEX(FormData,$H428,f_Need)&amp;"",""))</f>
        <v/>
      </c>
    </row>
    <row r="429">
      <c r="A429" s="14" t="n">
        <v>425</v>
      </c>
      <c r="B429" s="14">
        <f>IF($H429="","",INDEX(FormData,$H429,f_Id))</f>
        <v/>
      </c>
      <c r="C429" s="15">
        <f>IF($H429="","",IFERROR(INDEX(FormData,$H429,f_Time),""))</f>
        <v/>
      </c>
      <c r="D429" s="14">
        <f>IF($H429="","",IFERROR(UPPER(LEFT(TRIM(INDEX(FormData,$H429,f_Name)),1)&amp;IFERROR(MID(TRIM(INDEX(FormData,$H429,f_Name)),FIND("^",SUBSTITUTE(TRIM(INDEX(FormData,$H429,f_Name))," ","^",LEN(TRIM(INDEX(FormData,$H429,f_Name)))-LEN(SUBSTITUTE(TRIM(INDEX(FormData,$H429,f_Name))," ",""))))+1,1),"")),""))</f>
        <v/>
      </c>
      <c r="E429" s="16">
        <f>IF($H429="","",IFERROR(INDEX(EvID,MATCH(INDEX(FormData,$H429,f_Event),EvID,0)),IFERROR(INDEX(EvID,MATCH(INDEX(FormData,$H429,f_Event),EvName,0)),IFERROR(INDEX(EvID,MATCH(INT($C429),EvDate,0)),"(no event that day)"))))</f>
        <v/>
      </c>
      <c r="F429" s="16">
        <f>IF($H429="","",IFERROR(IF(SUMPRODUCT(MAX((WhoKW&lt;&gt;"")*ISNUMBER(SEARCH(WhoKW,INDEX(FormData,$H429,f_Who)&amp;""))*(ROW(WhoKW)-MIN(ROW(WhoKW))+1)))=0,"",INDEX(WhoVal,SUMPRODUCT(MAX((WhoKW&lt;&gt;"")*ISNUMBER(SEARCH(WhoKW,INDEX(FormData,$H429,f_Who)&amp;""))*(ROW(WhoKW)-MIN(ROW(WhoKW))+1))))),""))</f>
        <v/>
      </c>
      <c r="G429" s="14">
        <f>IF($H429="","",IF(COUNTIF(People!$U$5:$U$604,$B429)+COUNTIF(People!$U$5:$U$604,$B429&amp;"")&gt;0,"✓ logged","→ add"))</f>
        <v/>
      </c>
      <c r="H429">
        <f>IFERROR(IF(INDEX(FormData,426,f_Id)&amp;""="","",426),"")</f>
        <v/>
      </c>
      <c r="I429" s="16">
        <f>IF($H429="","",IFERROR(INDEX(FormData,$H429,f_Need)&amp;"",""))</f>
        <v/>
      </c>
    </row>
    <row r="430">
      <c r="A430" s="14" t="n">
        <v>426</v>
      </c>
      <c r="B430" s="14">
        <f>IF($H430="","",INDEX(FormData,$H430,f_Id))</f>
        <v/>
      </c>
      <c r="C430" s="15">
        <f>IF($H430="","",IFERROR(INDEX(FormData,$H430,f_Time),""))</f>
        <v/>
      </c>
      <c r="D430" s="14">
        <f>IF($H430="","",IFERROR(UPPER(LEFT(TRIM(INDEX(FormData,$H430,f_Name)),1)&amp;IFERROR(MID(TRIM(INDEX(FormData,$H430,f_Name)),FIND("^",SUBSTITUTE(TRIM(INDEX(FormData,$H430,f_Name))," ","^",LEN(TRIM(INDEX(FormData,$H430,f_Name)))-LEN(SUBSTITUTE(TRIM(INDEX(FormData,$H430,f_Name))," ",""))))+1,1),"")),""))</f>
        <v/>
      </c>
      <c r="E430" s="16">
        <f>IF($H430="","",IFERROR(INDEX(EvID,MATCH(INDEX(FormData,$H430,f_Event),EvID,0)),IFERROR(INDEX(EvID,MATCH(INDEX(FormData,$H430,f_Event),EvName,0)),IFERROR(INDEX(EvID,MATCH(INT($C430),EvDate,0)),"(no event that day)"))))</f>
        <v/>
      </c>
      <c r="F430" s="16">
        <f>IF($H430="","",IFERROR(IF(SUMPRODUCT(MAX((WhoKW&lt;&gt;"")*ISNUMBER(SEARCH(WhoKW,INDEX(FormData,$H430,f_Who)&amp;""))*(ROW(WhoKW)-MIN(ROW(WhoKW))+1)))=0,"",INDEX(WhoVal,SUMPRODUCT(MAX((WhoKW&lt;&gt;"")*ISNUMBER(SEARCH(WhoKW,INDEX(FormData,$H430,f_Who)&amp;""))*(ROW(WhoKW)-MIN(ROW(WhoKW))+1))))),""))</f>
        <v/>
      </c>
      <c r="G430" s="14">
        <f>IF($H430="","",IF(COUNTIF(People!$U$5:$U$604,$B430)+COUNTIF(People!$U$5:$U$604,$B430&amp;"")&gt;0,"✓ logged","→ add"))</f>
        <v/>
      </c>
      <c r="H430">
        <f>IFERROR(IF(INDEX(FormData,427,f_Id)&amp;""="","",427),"")</f>
        <v/>
      </c>
      <c r="I430" s="16">
        <f>IF($H430="","",IFERROR(INDEX(FormData,$H430,f_Need)&amp;"",""))</f>
        <v/>
      </c>
    </row>
    <row r="431">
      <c r="A431" s="14" t="n">
        <v>427</v>
      </c>
      <c r="B431" s="14">
        <f>IF($H431="","",INDEX(FormData,$H431,f_Id))</f>
        <v/>
      </c>
      <c r="C431" s="15">
        <f>IF($H431="","",IFERROR(INDEX(FormData,$H431,f_Time),""))</f>
        <v/>
      </c>
      <c r="D431" s="14">
        <f>IF($H431="","",IFERROR(UPPER(LEFT(TRIM(INDEX(FormData,$H431,f_Name)),1)&amp;IFERROR(MID(TRIM(INDEX(FormData,$H431,f_Name)),FIND("^",SUBSTITUTE(TRIM(INDEX(FormData,$H431,f_Name))," ","^",LEN(TRIM(INDEX(FormData,$H431,f_Name)))-LEN(SUBSTITUTE(TRIM(INDEX(FormData,$H431,f_Name))," ",""))))+1,1),"")),""))</f>
        <v/>
      </c>
      <c r="E431" s="16">
        <f>IF($H431="","",IFERROR(INDEX(EvID,MATCH(INDEX(FormData,$H431,f_Event),EvID,0)),IFERROR(INDEX(EvID,MATCH(INDEX(FormData,$H431,f_Event),EvName,0)),IFERROR(INDEX(EvID,MATCH(INT($C431),EvDate,0)),"(no event that day)"))))</f>
        <v/>
      </c>
      <c r="F431" s="16">
        <f>IF($H431="","",IFERROR(IF(SUMPRODUCT(MAX((WhoKW&lt;&gt;"")*ISNUMBER(SEARCH(WhoKW,INDEX(FormData,$H431,f_Who)&amp;""))*(ROW(WhoKW)-MIN(ROW(WhoKW))+1)))=0,"",INDEX(WhoVal,SUMPRODUCT(MAX((WhoKW&lt;&gt;"")*ISNUMBER(SEARCH(WhoKW,INDEX(FormData,$H431,f_Who)&amp;""))*(ROW(WhoKW)-MIN(ROW(WhoKW))+1))))),""))</f>
        <v/>
      </c>
      <c r="G431" s="14">
        <f>IF($H431="","",IF(COUNTIF(People!$U$5:$U$604,$B431)+COUNTIF(People!$U$5:$U$604,$B431&amp;"")&gt;0,"✓ logged","→ add"))</f>
        <v/>
      </c>
      <c r="H431">
        <f>IFERROR(IF(INDEX(FormData,428,f_Id)&amp;""="","",428),"")</f>
        <v/>
      </c>
      <c r="I431" s="16">
        <f>IF($H431="","",IFERROR(INDEX(FormData,$H431,f_Need)&amp;"",""))</f>
        <v/>
      </c>
    </row>
    <row r="432">
      <c r="A432" s="14" t="n">
        <v>428</v>
      </c>
      <c r="B432" s="14">
        <f>IF($H432="","",INDEX(FormData,$H432,f_Id))</f>
        <v/>
      </c>
      <c r="C432" s="15">
        <f>IF($H432="","",IFERROR(INDEX(FormData,$H432,f_Time),""))</f>
        <v/>
      </c>
      <c r="D432" s="14">
        <f>IF($H432="","",IFERROR(UPPER(LEFT(TRIM(INDEX(FormData,$H432,f_Name)),1)&amp;IFERROR(MID(TRIM(INDEX(FormData,$H432,f_Name)),FIND("^",SUBSTITUTE(TRIM(INDEX(FormData,$H432,f_Name))," ","^",LEN(TRIM(INDEX(FormData,$H432,f_Name)))-LEN(SUBSTITUTE(TRIM(INDEX(FormData,$H432,f_Name))," ",""))))+1,1),"")),""))</f>
        <v/>
      </c>
      <c r="E432" s="16">
        <f>IF($H432="","",IFERROR(INDEX(EvID,MATCH(INDEX(FormData,$H432,f_Event),EvID,0)),IFERROR(INDEX(EvID,MATCH(INDEX(FormData,$H432,f_Event),EvName,0)),IFERROR(INDEX(EvID,MATCH(INT($C432),EvDate,0)),"(no event that day)"))))</f>
        <v/>
      </c>
      <c r="F432" s="16">
        <f>IF($H432="","",IFERROR(IF(SUMPRODUCT(MAX((WhoKW&lt;&gt;"")*ISNUMBER(SEARCH(WhoKW,INDEX(FormData,$H432,f_Who)&amp;""))*(ROW(WhoKW)-MIN(ROW(WhoKW))+1)))=0,"",INDEX(WhoVal,SUMPRODUCT(MAX((WhoKW&lt;&gt;"")*ISNUMBER(SEARCH(WhoKW,INDEX(FormData,$H432,f_Who)&amp;""))*(ROW(WhoKW)-MIN(ROW(WhoKW))+1))))),""))</f>
        <v/>
      </c>
      <c r="G432" s="14">
        <f>IF($H432="","",IF(COUNTIF(People!$U$5:$U$604,$B432)+COUNTIF(People!$U$5:$U$604,$B432&amp;"")&gt;0,"✓ logged","→ add"))</f>
        <v/>
      </c>
      <c r="H432">
        <f>IFERROR(IF(INDEX(FormData,429,f_Id)&amp;""="","",429),"")</f>
        <v/>
      </c>
      <c r="I432" s="16">
        <f>IF($H432="","",IFERROR(INDEX(FormData,$H432,f_Need)&amp;"",""))</f>
        <v/>
      </c>
    </row>
    <row r="433">
      <c r="A433" s="14" t="n">
        <v>429</v>
      </c>
      <c r="B433" s="14">
        <f>IF($H433="","",INDEX(FormData,$H433,f_Id))</f>
        <v/>
      </c>
      <c r="C433" s="15">
        <f>IF($H433="","",IFERROR(INDEX(FormData,$H433,f_Time),""))</f>
        <v/>
      </c>
      <c r="D433" s="14">
        <f>IF($H433="","",IFERROR(UPPER(LEFT(TRIM(INDEX(FormData,$H433,f_Name)),1)&amp;IFERROR(MID(TRIM(INDEX(FormData,$H433,f_Name)),FIND("^",SUBSTITUTE(TRIM(INDEX(FormData,$H433,f_Name))," ","^",LEN(TRIM(INDEX(FormData,$H433,f_Name)))-LEN(SUBSTITUTE(TRIM(INDEX(FormData,$H433,f_Name))," ",""))))+1,1),"")),""))</f>
        <v/>
      </c>
      <c r="E433" s="16">
        <f>IF($H433="","",IFERROR(INDEX(EvID,MATCH(INDEX(FormData,$H433,f_Event),EvID,0)),IFERROR(INDEX(EvID,MATCH(INDEX(FormData,$H433,f_Event),EvName,0)),IFERROR(INDEX(EvID,MATCH(INT($C433),EvDate,0)),"(no event that day)"))))</f>
        <v/>
      </c>
      <c r="F433" s="16">
        <f>IF($H433="","",IFERROR(IF(SUMPRODUCT(MAX((WhoKW&lt;&gt;"")*ISNUMBER(SEARCH(WhoKW,INDEX(FormData,$H433,f_Who)&amp;""))*(ROW(WhoKW)-MIN(ROW(WhoKW))+1)))=0,"",INDEX(WhoVal,SUMPRODUCT(MAX((WhoKW&lt;&gt;"")*ISNUMBER(SEARCH(WhoKW,INDEX(FormData,$H433,f_Who)&amp;""))*(ROW(WhoKW)-MIN(ROW(WhoKW))+1))))),""))</f>
        <v/>
      </c>
      <c r="G433" s="14">
        <f>IF($H433="","",IF(COUNTIF(People!$U$5:$U$604,$B433)+COUNTIF(People!$U$5:$U$604,$B433&amp;"")&gt;0,"✓ logged","→ add"))</f>
        <v/>
      </c>
      <c r="H433">
        <f>IFERROR(IF(INDEX(FormData,430,f_Id)&amp;""="","",430),"")</f>
        <v/>
      </c>
      <c r="I433" s="16">
        <f>IF($H433="","",IFERROR(INDEX(FormData,$H433,f_Need)&amp;"",""))</f>
        <v/>
      </c>
    </row>
    <row r="434">
      <c r="A434" s="14" t="n">
        <v>430</v>
      </c>
      <c r="B434" s="14">
        <f>IF($H434="","",INDEX(FormData,$H434,f_Id))</f>
        <v/>
      </c>
      <c r="C434" s="15">
        <f>IF($H434="","",IFERROR(INDEX(FormData,$H434,f_Time),""))</f>
        <v/>
      </c>
      <c r="D434" s="14">
        <f>IF($H434="","",IFERROR(UPPER(LEFT(TRIM(INDEX(FormData,$H434,f_Name)),1)&amp;IFERROR(MID(TRIM(INDEX(FormData,$H434,f_Name)),FIND("^",SUBSTITUTE(TRIM(INDEX(FormData,$H434,f_Name))," ","^",LEN(TRIM(INDEX(FormData,$H434,f_Name)))-LEN(SUBSTITUTE(TRIM(INDEX(FormData,$H434,f_Name))," ",""))))+1,1),"")),""))</f>
        <v/>
      </c>
      <c r="E434" s="16">
        <f>IF($H434="","",IFERROR(INDEX(EvID,MATCH(INDEX(FormData,$H434,f_Event),EvID,0)),IFERROR(INDEX(EvID,MATCH(INDEX(FormData,$H434,f_Event),EvName,0)),IFERROR(INDEX(EvID,MATCH(INT($C434),EvDate,0)),"(no event that day)"))))</f>
        <v/>
      </c>
      <c r="F434" s="16">
        <f>IF($H434="","",IFERROR(IF(SUMPRODUCT(MAX((WhoKW&lt;&gt;"")*ISNUMBER(SEARCH(WhoKW,INDEX(FormData,$H434,f_Who)&amp;""))*(ROW(WhoKW)-MIN(ROW(WhoKW))+1)))=0,"",INDEX(WhoVal,SUMPRODUCT(MAX((WhoKW&lt;&gt;"")*ISNUMBER(SEARCH(WhoKW,INDEX(FormData,$H434,f_Who)&amp;""))*(ROW(WhoKW)-MIN(ROW(WhoKW))+1))))),""))</f>
        <v/>
      </c>
      <c r="G434" s="14">
        <f>IF($H434="","",IF(COUNTIF(People!$U$5:$U$604,$B434)+COUNTIF(People!$U$5:$U$604,$B434&amp;"")&gt;0,"✓ logged","→ add"))</f>
        <v/>
      </c>
      <c r="H434">
        <f>IFERROR(IF(INDEX(FormData,431,f_Id)&amp;""="","",431),"")</f>
        <v/>
      </c>
      <c r="I434" s="16">
        <f>IF($H434="","",IFERROR(INDEX(FormData,$H434,f_Need)&amp;"",""))</f>
        <v/>
      </c>
    </row>
    <row r="435">
      <c r="A435" s="14" t="n">
        <v>431</v>
      </c>
      <c r="B435" s="14">
        <f>IF($H435="","",INDEX(FormData,$H435,f_Id))</f>
        <v/>
      </c>
      <c r="C435" s="15">
        <f>IF($H435="","",IFERROR(INDEX(FormData,$H435,f_Time),""))</f>
        <v/>
      </c>
      <c r="D435" s="14">
        <f>IF($H435="","",IFERROR(UPPER(LEFT(TRIM(INDEX(FormData,$H435,f_Name)),1)&amp;IFERROR(MID(TRIM(INDEX(FormData,$H435,f_Name)),FIND("^",SUBSTITUTE(TRIM(INDEX(FormData,$H435,f_Name))," ","^",LEN(TRIM(INDEX(FormData,$H435,f_Name)))-LEN(SUBSTITUTE(TRIM(INDEX(FormData,$H435,f_Name))," ",""))))+1,1),"")),""))</f>
        <v/>
      </c>
      <c r="E435" s="16">
        <f>IF($H435="","",IFERROR(INDEX(EvID,MATCH(INDEX(FormData,$H435,f_Event),EvID,0)),IFERROR(INDEX(EvID,MATCH(INDEX(FormData,$H435,f_Event),EvName,0)),IFERROR(INDEX(EvID,MATCH(INT($C435),EvDate,0)),"(no event that day)"))))</f>
        <v/>
      </c>
      <c r="F435" s="16">
        <f>IF($H435="","",IFERROR(IF(SUMPRODUCT(MAX((WhoKW&lt;&gt;"")*ISNUMBER(SEARCH(WhoKW,INDEX(FormData,$H435,f_Who)&amp;""))*(ROW(WhoKW)-MIN(ROW(WhoKW))+1)))=0,"",INDEX(WhoVal,SUMPRODUCT(MAX((WhoKW&lt;&gt;"")*ISNUMBER(SEARCH(WhoKW,INDEX(FormData,$H435,f_Who)&amp;""))*(ROW(WhoKW)-MIN(ROW(WhoKW))+1))))),""))</f>
        <v/>
      </c>
      <c r="G435" s="14">
        <f>IF($H435="","",IF(COUNTIF(People!$U$5:$U$604,$B435)+COUNTIF(People!$U$5:$U$604,$B435&amp;"")&gt;0,"✓ logged","→ add"))</f>
        <v/>
      </c>
      <c r="H435">
        <f>IFERROR(IF(INDEX(FormData,432,f_Id)&amp;""="","",432),"")</f>
        <v/>
      </c>
      <c r="I435" s="16">
        <f>IF($H435="","",IFERROR(INDEX(FormData,$H435,f_Need)&amp;"",""))</f>
        <v/>
      </c>
    </row>
    <row r="436">
      <c r="A436" s="14" t="n">
        <v>432</v>
      </c>
      <c r="B436" s="14">
        <f>IF($H436="","",INDEX(FormData,$H436,f_Id))</f>
        <v/>
      </c>
      <c r="C436" s="15">
        <f>IF($H436="","",IFERROR(INDEX(FormData,$H436,f_Time),""))</f>
        <v/>
      </c>
      <c r="D436" s="14">
        <f>IF($H436="","",IFERROR(UPPER(LEFT(TRIM(INDEX(FormData,$H436,f_Name)),1)&amp;IFERROR(MID(TRIM(INDEX(FormData,$H436,f_Name)),FIND("^",SUBSTITUTE(TRIM(INDEX(FormData,$H436,f_Name))," ","^",LEN(TRIM(INDEX(FormData,$H436,f_Name)))-LEN(SUBSTITUTE(TRIM(INDEX(FormData,$H436,f_Name))," ",""))))+1,1),"")),""))</f>
        <v/>
      </c>
      <c r="E436" s="16">
        <f>IF($H436="","",IFERROR(INDEX(EvID,MATCH(INDEX(FormData,$H436,f_Event),EvID,0)),IFERROR(INDEX(EvID,MATCH(INDEX(FormData,$H436,f_Event),EvName,0)),IFERROR(INDEX(EvID,MATCH(INT($C436),EvDate,0)),"(no event that day)"))))</f>
        <v/>
      </c>
      <c r="F436" s="16">
        <f>IF($H436="","",IFERROR(IF(SUMPRODUCT(MAX((WhoKW&lt;&gt;"")*ISNUMBER(SEARCH(WhoKW,INDEX(FormData,$H436,f_Who)&amp;""))*(ROW(WhoKW)-MIN(ROW(WhoKW))+1)))=0,"",INDEX(WhoVal,SUMPRODUCT(MAX((WhoKW&lt;&gt;"")*ISNUMBER(SEARCH(WhoKW,INDEX(FormData,$H436,f_Who)&amp;""))*(ROW(WhoKW)-MIN(ROW(WhoKW))+1))))),""))</f>
        <v/>
      </c>
      <c r="G436" s="14">
        <f>IF($H436="","",IF(COUNTIF(People!$U$5:$U$604,$B436)+COUNTIF(People!$U$5:$U$604,$B436&amp;"")&gt;0,"✓ logged","→ add"))</f>
        <v/>
      </c>
      <c r="H436">
        <f>IFERROR(IF(INDEX(FormData,433,f_Id)&amp;""="","",433),"")</f>
        <v/>
      </c>
      <c r="I436" s="16">
        <f>IF($H436="","",IFERROR(INDEX(FormData,$H436,f_Need)&amp;"",""))</f>
        <v/>
      </c>
    </row>
    <row r="437">
      <c r="A437" s="14" t="n">
        <v>433</v>
      </c>
      <c r="B437" s="14">
        <f>IF($H437="","",INDEX(FormData,$H437,f_Id))</f>
        <v/>
      </c>
      <c r="C437" s="15">
        <f>IF($H437="","",IFERROR(INDEX(FormData,$H437,f_Time),""))</f>
        <v/>
      </c>
      <c r="D437" s="14">
        <f>IF($H437="","",IFERROR(UPPER(LEFT(TRIM(INDEX(FormData,$H437,f_Name)),1)&amp;IFERROR(MID(TRIM(INDEX(FormData,$H437,f_Name)),FIND("^",SUBSTITUTE(TRIM(INDEX(FormData,$H437,f_Name))," ","^",LEN(TRIM(INDEX(FormData,$H437,f_Name)))-LEN(SUBSTITUTE(TRIM(INDEX(FormData,$H437,f_Name))," ",""))))+1,1),"")),""))</f>
        <v/>
      </c>
      <c r="E437" s="16">
        <f>IF($H437="","",IFERROR(INDEX(EvID,MATCH(INDEX(FormData,$H437,f_Event),EvID,0)),IFERROR(INDEX(EvID,MATCH(INDEX(FormData,$H437,f_Event),EvName,0)),IFERROR(INDEX(EvID,MATCH(INT($C437),EvDate,0)),"(no event that day)"))))</f>
        <v/>
      </c>
      <c r="F437" s="16">
        <f>IF($H437="","",IFERROR(IF(SUMPRODUCT(MAX((WhoKW&lt;&gt;"")*ISNUMBER(SEARCH(WhoKW,INDEX(FormData,$H437,f_Who)&amp;""))*(ROW(WhoKW)-MIN(ROW(WhoKW))+1)))=0,"",INDEX(WhoVal,SUMPRODUCT(MAX((WhoKW&lt;&gt;"")*ISNUMBER(SEARCH(WhoKW,INDEX(FormData,$H437,f_Who)&amp;""))*(ROW(WhoKW)-MIN(ROW(WhoKW))+1))))),""))</f>
        <v/>
      </c>
      <c r="G437" s="14">
        <f>IF($H437="","",IF(COUNTIF(People!$U$5:$U$604,$B437)+COUNTIF(People!$U$5:$U$604,$B437&amp;"")&gt;0,"✓ logged","→ add"))</f>
        <v/>
      </c>
      <c r="H437">
        <f>IFERROR(IF(INDEX(FormData,434,f_Id)&amp;""="","",434),"")</f>
        <v/>
      </c>
      <c r="I437" s="16">
        <f>IF($H437="","",IFERROR(INDEX(FormData,$H437,f_Need)&amp;"",""))</f>
        <v/>
      </c>
    </row>
    <row r="438">
      <c r="A438" s="14" t="n">
        <v>434</v>
      </c>
      <c r="B438" s="14">
        <f>IF($H438="","",INDEX(FormData,$H438,f_Id))</f>
        <v/>
      </c>
      <c r="C438" s="15">
        <f>IF($H438="","",IFERROR(INDEX(FormData,$H438,f_Time),""))</f>
        <v/>
      </c>
      <c r="D438" s="14">
        <f>IF($H438="","",IFERROR(UPPER(LEFT(TRIM(INDEX(FormData,$H438,f_Name)),1)&amp;IFERROR(MID(TRIM(INDEX(FormData,$H438,f_Name)),FIND("^",SUBSTITUTE(TRIM(INDEX(FormData,$H438,f_Name))," ","^",LEN(TRIM(INDEX(FormData,$H438,f_Name)))-LEN(SUBSTITUTE(TRIM(INDEX(FormData,$H438,f_Name))," ",""))))+1,1),"")),""))</f>
        <v/>
      </c>
      <c r="E438" s="16">
        <f>IF($H438="","",IFERROR(INDEX(EvID,MATCH(INDEX(FormData,$H438,f_Event),EvID,0)),IFERROR(INDEX(EvID,MATCH(INDEX(FormData,$H438,f_Event),EvName,0)),IFERROR(INDEX(EvID,MATCH(INT($C438),EvDate,0)),"(no event that day)"))))</f>
        <v/>
      </c>
      <c r="F438" s="16">
        <f>IF($H438="","",IFERROR(IF(SUMPRODUCT(MAX((WhoKW&lt;&gt;"")*ISNUMBER(SEARCH(WhoKW,INDEX(FormData,$H438,f_Who)&amp;""))*(ROW(WhoKW)-MIN(ROW(WhoKW))+1)))=0,"",INDEX(WhoVal,SUMPRODUCT(MAX((WhoKW&lt;&gt;"")*ISNUMBER(SEARCH(WhoKW,INDEX(FormData,$H438,f_Who)&amp;""))*(ROW(WhoKW)-MIN(ROW(WhoKW))+1))))),""))</f>
        <v/>
      </c>
      <c r="G438" s="14">
        <f>IF($H438="","",IF(COUNTIF(People!$U$5:$U$604,$B438)+COUNTIF(People!$U$5:$U$604,$B438&amp;"")&gt;0,"✓ logged","→ add"))</f>
        <v/>
      </c>
      <c r="H438">
        <f>IFERROR(IF(INDEX(FormData,435,f_Id)&amp;""="","",435),"")</f>
        <v/>
      </c>
      <c r="I438" s="16">
        <f>IF($H438="","",IFERROR(INDEX(FormData,$H438,f_Need)&amp;"",""))</f>
        <v/>
      </c>
    </row>
    <row r="439">
      <c r="A439" s="14" t="n">
        <v>435</v>
      </c>
      <c r="B439" s="14">
        <f>IF($H439="","",INDEX(FormData,$H439,f_Id))</f>
        <v/>
      </c>
      <c r="C439" s="15">
        <f>IF($H439="","",IFERROR(INDEX(FormData,$H439,f_Time),""))</f>
        <v/>
      </c>
      <c r="D439" s="14">
        <f>IF($H439="","",IFERROR(UPPER(LEFT(TRIM(INDEX(FormData,$H439,f_Name)),1)&amp;IFERROR(MID(TRIM(INDEX(FormData,$H439,f_Name)),FIND("^",SUBSTITUTE(TRIM(INDEX(FormData,$H439,f_Name))," ","^",LEN(TRIM(INDEX(FormData,$H439,f_Name)))-LEN(SUBSTITUTE(TRIM(INDEX(FormData,$H439,f_Name))," ",""))))+1,1),"")),""))</f>
        <v/>
      </c>
      <c r="E439" s="16">
        <f>IF($H439="","",IFERROR(INDEX(EvID,MATCH(INDEX(FormData,$H439,f_Event),EvID,0)),IFERROR(INDEX(EvID,MATCH(INDEX(FormData,$H439,f_Event),EvName,0)),IFERROR(INDEX(EvID,MATCH(INT($C439),EvDate,0)),"(no event that day)"))))</f>
        <v/>
      </c>
      <c r="F439" s="16">
        <f>IF($H439="","",IFERROR(IF(SUMPRODUCT(MAX((WhoKW&lt;&gt;"")*ISNUMBER(SEARCH(WhoKW,INDEX(FormData,$H439,f_Who)&amp;""))*(ROW(WhoKW)-MIN(ROW(WhoKW))+1)))=0,"",INDEX(WhoVal,SUMPRODUCT(MAX((WhoKW&lt;&gt;"")*ISNUMBER(SEARCH(WhoKW,INDEX(FormData,$H439,f_Who)&amp;""))*(ROW(WhoKW)-MIN(ROW(WhoKW))+1))))),""))</f>
        <v/>
      </c>
      <c r="G439" s="14">
        <f>IF($H439="","",IF(COUNTIF(People!$U$5:$U$604,$B439)+COUNTIF(People!$U$5:$U$604,$B439&amp;"")&gt;0,"✓ logged","→ add"))</f>
        <v/>
      </c>
      <c r="H439">
        <f>IFERROR(IF(INDEX(FormData,436,f_Id)&amp;""="","",436),"")</f>
        <v/>
      </c>
      <c r="I439" s="16">
        <f>IF($H439="","",IFERROR(INDEX(FormData,$H439,f_Need)&amp;"",""))</f>
        <v/>
      </c>
    </row>
    <row r="440">
      <c r="A440" s="14" t="n">
        <v>436</v>
      </c>
      <c r="B440" s="14">
        <f>IF($H440="","",INDEX(FormData,$H440,f_Id))</f>
        <v/>
      </c>
      <c r="C440" s="15">
        <f>IF($H440="","",IFERROR(INDEX(FormData,$H440,f_Time),""))</f>
        <v/>
      </c>
      <c r="D440" s="14">
        <f>IF($H440="","",IFERROR(UPPER(LEFT(TRIM(INDEX(FormData,$H440,f_Name)),1)&amp;IFERROR(MID(TRIM(INDEX(FormData,$H440,f_Name)),FIND("^",SUBSTITUTE(TRIM(INDEX(FormData,$H440,f_Name))," ","^",LEN(TRIM(INDEX(FormData,$H440,f_Name)))-LEN(SUBSTITUTE(TRIM(INDEX(FormData,$H440,f_Name))," ",""))))+1,1),"")),""))</f>
        <v/>
      </c>
      <c r="E440" s="16">
        <f>IF($H440="","",IFERROR(INDEX(EvID,MATCH(INDEX(FormData,$H440,f_Event),EvID,0)),IFERROR(INDEX(EvID,MATCH(INDEX(FormData,$H440,f_Event),EvName,0)),IFERROR(INDEX(EvID,MATCH(INT($C440),EvDate,0)),"(no event that day)"))))</f>
        <v/>
      </c>
      <c r="F440" s="16">
        <f>IF($H440="","",IFERROR(IF(SUMPRODUCT(MAX((WhoKW&lt;&gt;"")*ISNUMBER(SEARCH(WhoKW,INDEX(FormData,$H440,f_Who)&amp;""))*(ROW(WhoKW)-MIN(ROW(WhoKW))+1)))=0,"",INDEX(WhoVal,SUMPRODUCT(MAX((WhoKW&lt;&gt;"")*ISNUMBER(SEARCH(WhoKW,INDEX(FormData,$H440,f_Who)&amp;""))*(ROW(WhoKW)-MIN(ROW(WhoKW))+1))))),""))</f>
        <v/>
      </c>
      <c r="G440" s="14">
        <f>IF($H440="","",IF(COUNTIF(People!$U$5:$U$604,$B440)+COUNTIF(People!$U$5:$U$604,$B440&amp;"")&gt;0,"✓ logged","→ add"))</f>
        <v/>
      </c>
      <c r="H440">
        <f>IFERROR(IF(INDEX(FormData,437,f_Id)&amp;""="","",437),"")</f>
        <v/>
      </c>
      <c r="I440" s="16">
        <f>IF($H440="","",IFERROR(INDEX(FormData,$H440,f_Need)&amp;"",""))</f>
        <v/>
      </c>
    </row>
    <row r="441">
      <c r="A441" s="14" t="n">
        <v>437</v>
      </c>
      <c r="B441" s="14">
        <f>IF($H441="","",INDEX(FormData,$H441,f_Id))</f>
        <v/>
      </c>
      <c r="C441" s="15">
        <f>IF($H441="","",IFERROR(INDEX(FormData,$H441,f_Time),""))</f>
        <v/>
      </c>
      <c r="D441" s="14">
        <f>IF($H441="","",IFERROR(UPPER(LEFT(TRIM(INDEX(FormData,$H441,f_Name)),1)&amp;IFERROR(MID(TRIM(INDEX(FormData,$H441,f_Name)),FIND("^",SUBSTITUTE(TRIM(INDEX(FormData,$H441,f_Name))," ","^",LEN(TRIM(INDEX(FormData,$H441,f_Name)))-LEN(SUBSTITUTE(TRIM(INDEX(FormData,$H441,f_Name))," ",""))))+1,1),"")),""))</f>
        <v/>
      </c>
      <c r="E441" s="16">
        <f>IF($H441="","",IFERROR(INDEX(EvID,MATCH(INDEX(FormData,$H441,f_Event),EvID,0)),IFERROR(INDEX(EvID,MATCH(INDEX(FormData,$H441,f_Event),EvName,0)),IFERROR(INDEX(EvID,MATCH(INT($C441),EvDate,0)),"(no event that day)"))))</f>
        <v/>
      </c>
      <c r="F441" s="16">
        <f>IF($H441="","",IFERROR(IF(SUMPRODUCT(MAX((WhoKW&lt;&gt;"")*ISNUMBER(SEARCH(WhoKW,INDEX(FormData,$H441,f_Who)&amp;""))*(ROW(WhoKW)-MIN(ROW(WhoKW))+1)))=0,"",INDEX(WhoVal,SUMPRODUCT(MAX((WhoKW&lt;&gt;"")*ISNUMBER(SEARCH(WhoKW,INDEX(FormData,$H441,f_Who)&amp;""))*(ROW(WhoKW)-MIN(ROW(WhoKW))+1))))),""))</f>
        <v/>
      </c>
      <c r="G441" s="14">
        <f>IF($H441="","",IF(COUNTIF(People!$U$5:$U$604,$B441)+COUNTIF(People!$U$5:$U$604,$B441&amp;"")&gt;0,"✓ logged","→ add"))</f>
        <v/>
      </c>
      <c r="H441">
        <f>IFERROR(IF(INDEX(FormData,438,f_Id)&amp;""="","",438),"")</f>
        <v/>
      </c>
      <c r="I441" s="16">
        <f>IF($H441="","",IFERROR(INDEX(FormData,$H441,f_Need)&amp;"",""))</f>
        <v/>
      </c>
    </row>
    <row r="442">
      <c r="A442" s="14" t="n">
        <v>438</v>
      </c>
      <c r="B442" s="14">
        <f>IF($H442="","",INDEX(FormData,$H442,f_Id))</f>
        <v/>
      </c>
      <c r="C442" s="15">
        <f>IF($H442="","",IFERROR(INDEX(FormData,$H442,f_Time),""))</f>
        <v/>
      </c>
      <c r="D442" s="14">
        <f>IF($H442="","",IFERROR(UPPER(LEFT(TRIM(INDEX(FormData,$H442,f_Name)),1)&amp;IFERROR(MID(TRIM(INDEX(FormData,$H442,f_Name)),FIND("^",SUBSTITUTE(TRIM(INDEX(FormData,$H442,f_Name))," ","^",LEN(TRIM(INDEX(FormData,$H442,f_Name)))-LEN(SUBSTITUTE(TRIM(INDEX(FormData,$H442,f_Name))," ",""))))+1,1),"")),""))</f>
        <v/>
      </c>
      <c r="E442" s="16">
        <f>IF($H442="","",IFERROR(INDEX(EvID,MATCH(INDEX(FormData,$H442,f_Event),EvID,0)),IFERROR(INDEX(EvID,MATCH(INDEX(FormData,$H442,f_Event),EvName,0)),IFERROR(INDEX(EvID,MATCH(INT($C442),EvDate,0)),"(no event that day)"))))</f>
        <v/>
      </c>
      <c r="F442" s="16">
        <f>IF($H442="","",IFERROR(IF(SUMPRODUCT(MAX((WhoKW&lt;&gt;"")*ISNUMBER(SEARCH(WhoKW,INDEX(FormData,$H442,f_Who)&amp;""))*(ROW(WhoKW)-MIN(ROW(WhoKW))+1)))=0,"",INDEX(WhoVal,SUMPRODUCT(MAX((WhoKW&lt;&gt;"")*ISNUMBER(SEARCH(WhoKW,INDEX(FormData,$H442,f_Who)&amp;""))*(ROW(WhoKW)-MIN(ROW(WhoKW))+1))))),""))</f>
        <v/>
      </c>
      <c r="G442" s="14">
        <f>IF($H442="","",IF(COUNTIF(People!$U$5:$U$604,$B442)+COUNTIF(People!$U$5:$U$604,$B442&amp;"")&gt;0,"✓ logged","→ add"))</f>
        <v/>
      </c>
      <c r="H442">
        <f>IFERROR(IF(INDEX(FormData,439,f_Id)&amp;""="","",439),"")</f>
        <v/>
      </c>
      <c r="I442" s="16">
        <f>IF($H442="","",IFERROR(INDEX(FormData,$H442,f_Need)&amp;"",""))</f>
        <v/>
      </c>
    </row>
    <row r="443">
      <c r="A443" s="14" t="n">
        <v>439</v>
      </c>
      <c r="B443" s="14">
        <f>IF($H443="","",INDEX(FormData,$H443,f_Id))</f>
        <v/>
      </c>
      <c r="C443" s="15">
        <f>IF($H443="","",IFERROR(INDEX(FormData,$H443,f_Time),""))</f>
        <v/>
      </c>
      <c r="D443" s="14">
        <f>IF($H443="","",IFERROR(UPPER(LEFT(TRIM(INDEX(FormData,$H443,f_Name)),1)&amp;IFERROR(MID(TRIM(INDEX(FormData,$H443,f_Name)),FIND("^",SUBSTITUTE(TRIM(INDEX(FormData,$H443,f_Name))," ","^",LEN(TRIM(INDEX(FormData,$H443,f_Name)))-LEN(SUBSTITUTE(TRIM(INDEX(FormData,$H443,f_Name))," ",""))))+1,1),"")),""))</f>
        <v/>
      </c>
      <c r="E443" s="16">
        <f>IF($H443="","",IFERROR(INDEX(EvID,MATCH(INDEX(FormData,$H443,f_Event),EvID,0)),IFERROR(INDEX(EvID,MATCH(INDEX(FormData,$H443,f_Event),EvName,0)),IFERROR(INDEX(EvID,MATCH(INT($C443),EvDate,0)),"(no event that day)"))))</f>
        <v/>
      </c>
      <c r="F443" s="16">
        <f>IF($H443="","",IFERROR(IF(SUMPRODUCT(MAX((WhoKW&lt;&gt;"")*ISNUMBER(SEARCH(WhoKW,INDEX(FormData,$H443,f_Who)&amp;""))*(ROW(WhoKW)-MIN(ROW(WhoKW))+1)))=0,"",INDEX(WhoVal,SUMPRODUCT(MAX((WhoKW&lt;&gt;"")*ISNUMBER(SEARCH(WhoKW,INDEX(FormData,$H443,f_Who)&amp;""))*(ROW(WhoKW)-MIN(ROW(WhoKW))+1))))),""))</f>
        <v/>
      </c>
      <c r="G443" s="14">
        <f>IF($H443="","",IF(COUNTIF(People!$U$5:$U$604,$B443)+COUNTIF(People!$U$5:$U$604,$B443&amp;"")&gt;0,"✓ logged","→ add"))</f>
        <v/>
      </c>
      <c r="H443">
        <f>IFERROR(IF(INDEX(FormData,440,f_Id)&amp;""="","",440),"")</f>
        <v/>
      </c>
      <c r="I443" s="16">
        <f>IF($H443="","",IFERROR(INDEX(FormData,$H443,f_Need)&amp;"",""))</f>
        <v/>
      </c>
    </row>
    <row r="444">
      <c r="A444" s="14" t="n">
        <v>440</v>
      </c>
      <c r="B444" s="14">
        <f>IF($H444="","",INDEX(FormData,$H444,f_Id))</f>
        <v/>
      </c>
      <c r="C444" s="15">
        <f>IF($H444="","",IFERROR(INDEX(FormData,$H444,f_Time),""))</f>
        <v/>
      </c>
      <c r="D444" s="14">
        <f>IF($H444="","",IFERROR(UPPER(LEFT(TRIM(INDEX(FormData,$H444,f_Name)),1)&amp;IFERROR(MID(TRIM(INDEX(FormData,$H444,f_Name)),FIND("^",SUBSTITUTE(TRIM(INDEX(FormData,$H444,f_Name))," ","^",LEN(TRIM(INDEX(FormData,$H444,f_Name)))-LEN(SUBSTITUTE(TRIM(INDEX(FormData,$H444,f_Name))," ",""))))+1,1),"")),""))</f>
        <v/>
      </c>
      <c r="E444" s="16">
        <f>IF($H444="","",IFERROR(INDEX(EvID,MATCH(INDEX(FormData,$H444,f_Event),EvID,0)),IFERROR(INDEX(EvID,MATCH(INDEX(FormData,$H444,f_Event),EvName,0)),IFERROR(INDEX(EvID,MATCH(INT($C444),EvDate,0)),"(no event that day)"))))</f>
        <v/>
      </c>
      <c r="F444" s="16">
        <f>IF($H444="","",IFERROR(IF(SUMPRODUCT(MAX((WhoKW&lt;&gt;"")*ISNUMBER(SEARCH(WhoKW,INDEX(FormData,$H444,f_Who)&amp;""))*(ROW(WhoKW)-MIN(ROW(WhoKW))+1)))=0,"",INDEX(WhoVal,SUMPRODUCT(MAX((WhoKW&lt;&gt;"")*ISNUMBER(SEARCH(WhoKW,INDEX(FormData,$H444,f_Who)&amp;""))*(ROW(WhoKW)-MIN(ROW(WhoKW))+1))))),""))</f>
        <v/>
      </c>
      <c r="G444" s="14">
        <f>IF($H444="","",IF(COUNTIF(People!$U$5:$U$604,$B444)+COUNTIF(People!$U$5:$U$604,$B444&amp;"")&gt;0,"✓ logged","→ add"))</f>
        <v/>
      </c>
      <c r="H444">
        <f>IFERROR(IF(INDEX(FormData,441,f_Id)&amp;""="","",441),"")</f>
        <v/>
      </c>
      <c r="I444" s="16">
        <f>IF($H444="","",IFERROR(INDEX(FormData,$H444,f_Need)&amp;"",""))</f>
        <v/>
      </c>
    </row>
    <row r="445">
      <c r="A445" s="14" t="n">
        <v>441</v>
      </c>
      <c r="B445" s="14">
        <f>IF($H445="","",INDEX(FormData,$H445,f_Id))</f>
        <v/>
      </c>
      <c r="C445" s="15">
        <f>IF($H445="","",IFERROR(INDEX(FormData,$H445,f_Time),""))</f>
        <v/>
      </c>
      <c r="D445" s="14">
        <f>IF($H445="","",IFERROR(UPPER(LEFT(TRIM(INDEX(FormData,$H445,f_Name)),1)&amp;IFERROR(MID(TRIM(INDEX(FormData,$H445,f_Name)),FIND("^",SUBSTITUTE(TRIM(INDEX(FormData,$H445,f_Name))," ","^",LEN(TRIM(INDEX(FormData,$H445,f_Name)))-LEN(SUBSTITUTE(TRIM(INDEX(FormData,$H445,f_Name))," ",""))))+1,1),"")),""))</f>
        <v/>
      </c>
      <c r="E445" s="16">
        <f>IF($H445="","",IFERROR(INDEX(EvID,MATCH(INDEX(FormData,$H445,f_Event),EvID,0)),IFERROR(INDEX(EvID,MATCH(INDEX(FormData,$H445,f_Event),EvName,0)),IFERROR(INDEX(EvID,MATCH(INT($C445),EvDate,0)),"(no event that day)"))))</f>
        <v/>
      </c>
      <c r="F445" s="16">
        <f>IF($H445="","",IFERROR(IF(SUMPRODUCT(MAX((WhoKW&lt;&gt;"")*ISNUMBER(SEARCH(WhoKW,INDEX(FormData,$H445,f_Who)&amp;""))*(ROW(WhoKW)-MIN(ROW(WhoKW))+1)))=0,"",INDEX(WhoVal,SUMPRODUCT(MAX((WhoKW&lt;&gt;"")*ISNUMBER(SEARCH(WhoKW,INDEX(FormData,$H445,f_Who)&amp;""))*(ROW(WhoKW)-MIN(ROW(WhoKW))+1))))),""))</f>
        <v/>
      </c>
      <c r="G445" s="14">
        <f>IF($H445="","",IF(COUNTIF(People!$U$5:$U$604,$B445)+COUNTIF(People!$U$5:$U$604,$B445&amp;"")&gt;0,"✓ logged","→ add"))</f>
        <v/>
      </c>
      <c r="H445">
        <f>IFERROR(IF(INDEX(FormData,442,f_Id)&amp;""="","",442),"")</f>
        <v/>
      </c>
      <c r="I445" s="16">
        <f>IF($H445="","",IFERROR(INDEX(FormData,$H445,f_Need)&amp;"",""))</f>
        <v/>
      </c>
    </row>
    <row r="446">
      <c r="A446" s="14" t="n">
        <v>442</v>
      </c>
      <c r="B446" s="14">
        <f>IF($H446="","",INDEX(FormData,$H446,f_Id))</f>
        <v/>
      </c>
      <c r="C446" s="15">
        <f>IF($H446="","",IFERROR(INDEX(FormData,$H446,f_Time),""))</f>
        <v/>
      </c>
      <c r="D446" s="14">
        <f>IF($H446="","",IFERROR(UPPER(LEFT(TRIM(INDEX(FormData,$H446,f_Name)),1)&amp;IFERROR(MID(TRIM(INDEX(FormData,$H446,f_Name)),FIND("^",SUBSTITUTE(TRIM(INDEX(FormData,$H446,f_Name))," ","^",LEN(TRIM(INDEX(FormData,$H446,f_Name)))-LEN(SUBSTITUTE(TRIM(INDEX(FormData,$H446,f_Name))," ",""))))+1,1),"")),""))</f>
        <v/>
      </c>
      <c r="E446" s="16">
        <f>IF($H446="","",IFERROR(INDEX(EvID,MATCH(INDEX(FormData,$H446,f_Event),EvID,0)),IFERROR(INDEX(EvID,MATCH(INDEX(FormData,$H446,f_Event),EvName,0)),IFERROR(INDEX(EvID,MATCH(INT($C446),EvDate,0)),"(no event that day)"))))</f>
        <v/>
      </c>
      <c r="F446" s="16">
        <f>IF($H446="","",IFERROR(IF(SUMPRODUCT(MAX((WhoKW&lt;&gt;"")*ISNUMBER(SEARCH(WhoKW,INDEX(FormData,$H446,f_Who)&amp;""))*(ROW(WhoKW)-MIN(ROW(WhoKW))+1)))=0,"",INDEX(WhoVal,SUMPRODUCT(MAX((WhoKW&lt;&gt;"")*ISNUMBER(SEARCH(WhoKW,INDEX(FormData,$H446,f_Who)&amp;""))*(ROW(WhoKW)-MIN(ROW(WhoKW))+1))))),""))</f>
        <v/>
      </c>
      <c r="G446" s="14">
        <f>IF($H446="","",IF(COUNTIF(People!$U$5:$U$604,$B446)+COUNTIF(People!$U$5:$U$604,$B446&amp;"")&gt;0,"✓ logged","→ add"))</f>
        <v/>
      </c>
      <c r="H446">
        <f>IFERROR(IF(INDEX(FormData,443,f_Id)&amp;""="","",443),"")</f>
        <v/>
      </c>
      <c r="I446" s="16">
        <f>IF($H446="","",IFERROR(INDEX(FormData,$H446,f_Need)&amp;"",""))</f>
        <v/>
      </c>
    </row>
    <row r="447">
      <c r="A447" s="14" t="n">
        <v>443</v>
      </c>
      <c r="B447" s="14">
        <f>IF($H447="","",INDEX(FormData,$H447,f_Id))</f>
        <v/>
      </c>
      <c r="C447" s="15">
        <f>IF($H447="","",IFERROR(INDEX(FormData,$H447,f_Time),""))</f>
        <v/>
      </c>
      <c r="D447" s="14">
        <f>IF($H447="","",IFERROR(UPPER(LEFT(TRIM(INDEX(FormData,$H447,f_Name)),1)&amp;IFERROR(MID(TRIM(INDEX(FormData,$H447,f_Name)),FIND("^",SUBSTITUTE(TRIM(INDEX(FormData,$H447,f_Name))," ","^",LEN(TRIM(INDEX(FormData,$H447,f_Name)))-LEN(SUBSTITUTE(TRIM(INDEX(FormData,$H447,f_Name))," ",""))))+1,1),"")),""))</f>
        <v/>
      </c>
      <c r="E447" s="16">
        <f>IF($H447="","",IFERROR(INDEX(EvID,MATCH(INDEX(FormData,$H447,f_Event),EvID,0)),IFERROR(INDEX(EvID,MATCH(INDEX(FormData,$H447,f_Event),EvName,0)),IFERROR(INDEX(EvID,MATCH(INT($C447),EvDate,0)),"(no event that day)"))))</f>
        <v/>
      </c>
      <c r="F447" s="16">
        <f>IF($H447="","",IFERROR(IF(SUMPRODUCT(MAX((WhoKW&lt;&gt;"")*ISNUMBER(SEARCH(WhoKW,INDEX(FormData,$H447,f_Who)&amp;""))*(ROW(WhoKW)-MIN(ROW(WhoKW))+1)))=0,"",INDEX(WhoVal,SUMPRODUCT(MAX((WhoKW&lt;&gt;"")*ISNUMBER(SEARCH(WhoKW,INDEX(FormData,$H447,f_Who)&amp;""))*(ROW(WhoKW)-MIN(ROW(WhoKW))+1))))),""))</f>
        <v/>
      </c>
      <c r="G447" s="14">
        <f>IF($H447="","",IF(COUNTIF(People!$U$5:$U$604,$B447)+COUNTIF(People!$U$5:$U$604,$B447&amp;"")&gt;0,"✓ logged","→ add"))</f>
        <v/>
      </c>
      <c r="H447">
        <f>IFERROR(IF(INDEX(FormData,444,f_Id)&amp;""="","",444),"")</f>
        <v/>
      </c>
      <c r="I447" s="16">
        <f>IF($H447="","",IFERROR(INDEX(FormData,$H447,f_Need)&amp;"",""))</f>
        <v/>
      </c>
    </row>
    <row r="448">
      <c r="A448" s="14" t="n">
        <v>444</v>
      </c>
      <c r="B448" s="14">
        <f>IF($H448="","",INDEX(FormData,$H448,f_Id))</f>
        <v/>
      </c>
      <c r="C448" s="15">
        <f>IF($H448="","",IFERROR(INDEX(FormData,$H448,f_Time),""))</f>
        <v/>
      </c>
      <c r="D448" s="14">
        <f>IF($H448="","",IFERROR(UPPER(LEFT(TRIM(INDEX(FormData,$H448,f_Name)),1)&amp;IFERROR(MID(TRIM(INDEX(FormData,$H448,f_Name)),FIND("^",SUBSTITUTE(TRIM(INDEX(FormData,$H448,f_Name))," ","^",LEN(TRIM(INDEX(FormData,$H448,f_Name)))-LEN(SUBSTITUTE(TRIM(INDEX(FormData,$H448,f_Name))," ",""))))+1,1),"")),""))</f>
        <v/>
      </c>
      <c r="E448" s="16">
        <f>IF($H448="","",IFERROR(INDEX(EvID,MATCH(INDEX(FormData,$H448,f_Event),EvID,0)),IFERROR(INDEX(EvID,MATCH(INDEX(FormData,$H448,f_Event),EvName,0)),IFERROR(INDEX(EvID,MATCH(INT($C448),EvDate,0)),"(no event that day)"))))</f>
        <v/>
      </c>
      <c r="F448" s="16">
        <f>IF($H448="","",IFERROR(IF(SUMPRODUCT(MAX((WhoKW&lt;&gt;"")*ISNUMBER(SEARCH(WhoKW,INDEX(FormData,$H448,f_Who)&amp;""))*(ROW(WhoKW)-MIN(ROW(WhoKW))+1)))=0,"",INDEX(WhoVal,SUMPRODUCT(MAX((WhoKW&lt;&gt;"")*ISNUMBER(SEARCH(WhoKW,INDEX(FormData,$H448,f_Who)&amp;""))*(ROW(WhoKW)-MIN(ROW(WhoKW))+1))))),""))</f>
        <v/>
      </c>
      <c r="G448" s="14">
        <f>IF($H448="","",IF(COUNTIF(People!$U$5:$U$604,$B448)+COUNTIF(People!$U$5:$U$604,$B448&amp;"")&gt;0,"✓ logged","→ add"))</f>
        <v/>
      </c>
      <c r="H448">
        <f>IFERROR(IF(INDEX(FormData,445,f_Id)&amp;""="","",445),"")</f>
        <v/>
      </c>
      <c r="I448" s="16">
        <f>IF($H448="","",IFERROR(INDEX(FormData,$H448,f_Need)&amp;"",""))</f>
        <v/>
      </c>
    </row>
    <row r="449">
      <c r="A449" s="14" t="n">
        <v>445</v>
      </c>
      <c r="B449" s="14">
        <f>IF($H449="","",INDEX(FormData,$H449,f_Id))</f>
        <v/>
      </c>
      <c r="C449" s="15">
        <f>IF($H449="","",IFERROR(INDEX(FormData,$H449,f_Time),""))</f>
        <v/>
      </c>
      <c r="D449" s="14">
        <f>IF($H449="","",IFERROR(UPPER(LEFT(TRIM(INDEX(FormData,$H449,f_Name)),1)&amp;IFERROR(MID(TRIM(INDEX(FormData,$H449,f_Name)),FIND("^",SUBSTITUTE(TRIM(INDEX(FormData,$H449,f_Name))," ","^",LEN(TRIM(INDEX(FormData,$H449,f_Name)))-LEN(SUBSTITUTE(TRIM(INDEX(FormData,$H449,f_Name))," ",""))))+1,1),"")),""))</f>
        <v/>
      </c>
      <c r="E449" s="16">
        <f>IF($H449="","",IFERROR(INDEX(EvID,MATCH(INDEX(FormData,$H449,f_Event),EvID,0)),IFERROR(INDEX(EvID,MATCH(INDEX(FormData,$H449,f_Event),EvName,0)),IFERROR(INDEX(EvID,MATCH(INT($C449),EvDate,0)),"(no event that day)"))))</f>
        <v/>
      </c>
      <c r="F449" s="16">
        <f>IF($H449="","",IFERROR(IF(SUMPRODUCT(MAX((WhoKW&lt;&gt;"")*ISNUMBER(SEARCH(WhoKW,INDEX(FormData,$H449,f_Who)&amp;""))*(ROW(WhoKW)-MIN(ROW(WhoKW))+1)))=0,"",INDEX(WhoVal,SUMPRODUCT(MAX((WhoKW&lt;&gt;"")*ISNUMBER(SEARCH(WhoKW,INDEX(FormData,$H449,f_Who)&amp;""))*(ROW(WhoKW)-MIN(ROW(WhoKW))+1))))),""))</f>
        <v/>
      </c>
      <c r="G449" s="14">
        <f>IF($H449="","",IF(COUNTIF(People!$U$5:$U$604,$B449)+COUNTIF(People!$U$5:$U$604,$B449&amp;"")&gt;0,"✓ logged","→ add"))</f>
        <v/>
      </c>
      <c r="H449">
        <f>IFERROR(IF(INDEX(FormData,446,f_Id)&amp;""="","",446),"")</f>
        <v/>
      </c>
      <c r="I449" s="16">
        <f>IF($H449="","",IFERROR(INDEX(FormData,$H449,f_Need)&amp;"",""))</f>
        <v/>
      </c>
    </row>
    <row r="450">
      <c r="A450" s="14" t="n">
        <v>446</v>
      </c>
      <c r="B450" s="14">
        <f>IF($H450="","",INDEX(FormData,$H450,f_Id))</f>
        <v/>
      </c>
      <c r="C450" s="15">
        <f>IF($H450="","",IFERROR(INDEX(FormData,$H450,f_Time),""))</f>
        <v/>
      </c>
      <c r="D450" s="14">
        <f>IF($H450="","",IFERROR(UPPER(LEFT(TRIM(INDEX(FormData,$H450,f_Name)),1)&amp;IFERROR(MID(TRIM(INDEX(FormData,$H450,f_Name)),FIND("^",SUBSTITUTE(TRIM(INDEX(FormData,$H450,f_Name))," ","^",LEN(TRIM(INDEX(FormData,$H450,f_Name)))-LEN(SUBSTITUTE(TRIM(INDEX(FormData,$H450,f_Name))," ",""))))+1,1),"")),""))</f>
        <v/>
      </c>
      <c r="E450" s="16">
        <f>IF($H450="","",IFERROR(INDEX(EvID,MATCH(INDEX(FormData,$H450,f_Event),EvID,0)),IFERROR(INDEX(EvID,MATCH(INDEX(FormData,$H450,f_Event),EvName,0)),IFERROR(INDEX(EvID,MATCH(INT($C450),EvDate,0)),"(no event that day)"))))</f>
        <v/>
      </c>
      <c r="F450" s="16">
        <f>IF($H450="","",IFERROR(IF(SUMPRODUCT(MAX((WhoKW&lt;&gt;"")*ISNUMBER(SEARCH(WhoKW,INDEX(FormData,$H450,f_Who)&amp;""))*(ROW(WhoKW)-MIN(ROW(WhoKW))+1)))=0,"",INDEX(WhoVal,SUMPRODUCT(MAX((WhoKW&lt;&gt;"")*ISNUMBER(SEARCH(WhoKW,INDEX(FormData,$H450,f_Who)&amp;""))*(ROW(WhoKW)-MIN(ROW(WhoKW))+1))))),""))</f>
        <v/>
      </c>
      <c r="G450" s="14">
        <f>IF($H450="","",IF(COUNTIF(People!$U$5:$U$604,$B450)+COUNTIF(People!$U$5:$U$604,$B450&amp;"")&gt;0,"✓ logged","→ add"))</f>
        <v/>
      </c>
      <c r="H450">
        <f>IFERROR(IF(INDEX(FormData,447,f_Id)&amp;""="","",447),"")</f>
        <v/>
      </c>
      <c r="I450" s="16">
        <f>IF($H450="","",IFERROR(INDEX(FormData,$H450,f_Need)&amp;"",""))</f>
        <v/>
      </c>
    </row>
    <row r="451">
      <c r="A451" s="14" t="n">
        <v>447</v>
      </c>
      <c r="B451" s="14">
        <f>IF($H451="","",INDEX(FormData,$H451,f_Id))</f>
        <v/>
      </c>
      <c r="C451" s="15">
        <f>IF($H451="","",IFERROR(INDEX(FormData,$H451,f_Time),""))</f>
        <v/>
      </c>
      <c r="D451" s="14">
        <f>IF($H451="","",IFERROR(UPPER(LEFT(TRIM(INDEX(FormData,$H451,f_Name)),1)&amp;IFERROR(MID(TRIM(INDEX(FormData,$H451,f_Name)),FIND("^",SUBSTITUTE(TRIM(INDEX(FormData,$H451,f_Name))," ","^",LEN(TRIM(INDEX(FormData,$H451,f_Name)))-LEN(SUBSTITUTE(TRIM(INDEX(FormData,$H451,f_Name))," ",""))))+1,1),"")),""))</f>
        <v/>
      </c>
      <c r="E451" s="16">
        <f>IF($H451="","",IFERROR(INDEX(EvID,MATCH(INDEX(FormData,$H451,f_Event),EvID,0)),IFERROR(INDEX(EvID,MATCH(INDEX(FormData,$H451,f_Event),EvName,0)),IFERROR(INDEX(EvID,MATCH(INT($C451),EvDate,0)),"(no event that day)"))))</f>
        <v/>
      </c>
      <c r="F451" s="16">
        <f>IF($H451="","",IFERROR(IF(SUMPRODUCT(MAX((WhoKW&lt;&gt;"")*ISNUMBER(SEARCH(WhoKW,INDEX(FormData,$H451,f_Who)&amp;""))*(ROW(WhoKW)-MIN(ROW(WhoKW))+1)))=0,"",INDEX(WhoVal,SUMPRODUCT(MAX((WhoKW&lt;&gt;"")*ISNUMBER(SEARCH(WhoKW,INDEX(FormData,$H451,f_Who)&amp;""))*(ROW(WhoKW)-MIN(ROW(WhoKW))+1))))),""))</f>
        <v/>
      </c>
      <c r="G451" s="14">
        <f>IF($H451="","",IF(COUNTIF(People!$U$5:$U$604,$B451)+COUNTIF(People!$U$5:$U$604,$B451&amp;"")&gt;0,"✓ logged","→ add"))</f>
        <v/>
      </c>
      <c r="H451">
        <f>IFERROR(IF(INDEX(FormData,448,f_Id)&amp;""="","",448),"")</f>
        <v/>
      </c>
      <c r="I451" s="16">
        <f>IF($H451="","",IFERROR(INDEX(FormData,$H451,f_Need)&amp;"",""))</f>
        <v/>
      </c>
    </row>
    <row r="452">
      <c r="A452" s="14" t="n">
        <v>448</v>
      </c>
      <c r="B452" s="14">
        <f>IF($H452="","",INDEX(FormData,$H452,f_Id))</f>
        <v/>
      </c>
      <c r="C452" s="15">
        <f>IF($H452="","",IFERROR(INDEX(FormData,$H452,f_Time),""))</f>
        <v/>
      </c>
      <c r="D452" s="14">
        <f>IF($H452="","",IFERROR(UPPER(LEFT(TRIM(INDEX(FormData,$H452,f_Name)),1)&amp;IFERROR(MID(TRIM(INDEX(FormData,$H452,f_Name)),FIND("^",SUBSTITUTE(TRIM(INDEX(FormData,$H452,f_Name))," ","^",LEN(TRIM(INDEX(FormData,$H452,f_Name)))-LEN(SUBSTITUTE(TRIM(INDEX(FormData,$H452,f_Name))," ",""))))+1,1),"")),""))</f>
        <v/>
      </c>
      <c r="E452" s="16">
        <f>IF($H452="","",IFERROR(INDEX(EvID,MATCH(INDEX(FormData,$H452,f_Event),EvID,0)),IFERROR(INDEX(EvID,MATCH(INDEX(FormData,$H452,f_Event),EvName,0)),IFERROR(INDEX(EvID,MATCH(INT($C452),EvDate,0)),"(no event that day)"))))</f>
        <v/>
      </c>
      <c r="F452" s="16">
        <f>IF($H452="","",IFERROR(IF(SUMPRODUCT(MAX((WhoKW&lt;&gt;"")*ISNUMBER(SEARCH(WhoKW,INDEX(FormData,$H452,f_Who)&amp;""))*(ROW(WhoKW)-MIN(ROW(WhoKW))+1)))=0,"",INDEX(WhoVal,SUMPRODUCT(MAX((WhoKW&lt;&gt;"")*ISNUMBER(SEARCH(WhoKW,INDEX(FormData,$H452,f_Who)&amp;""))*(ROW(WhoKW)-MIN(ROW(WhoKW))+1))))),""))</f>
        <v/>
      </c>
      <c r="G452" s="14">
        <f>IF($H452="","",IF(COUNTIF(People!$U$5:$U$604,$B452)+COUNTIF(People!$U$5:$U$604,$B452&amp;"")&gt;0,"✓ logged","→ add"))</f>
        <v/>
      </c>
      <c r="H452">
        <f>IFERROR(IF(INDEX(FormData,449,f_Id)&amp;""="","",449),"")</f>
        <v/>
      </c>
      <c r="I452" s="16">
        <f>IF($H452="","",IFERROR(INDEX(FormData,$H452,f_Need)&amp;"",""))</f>
        <v/>
      </c>
    </row>
    <row r="453">
      <c r="A453" s="14" t="n">
        <v>449</v>
      </c>
      <c r="B453" s="14">
        <f>IF($H453="","",INDEX(FormData,$H453,f_Id))</f>
        <v/>
      </c>
      <c r="C453" s="15">
        <f>IF($H453="","",IFERROR(INDEX(FormData,$H453,f_Time),""))</f>
        <v/>
      </c>
      <c r="D453" s="14">
        <f>IF($H453="","",IFERROR(UPPER(LEFT(TRIM(INDEX(FormData,$H453,f_Name)),1)&amp;IFERROR(MID(TRIM(INDEX(FormData,$H453,f_Name)),FIND("^",SUBSTITUTE(TRIM(INDEX(FormData,$H453,f_Name))," ","^",LEN(TRIM(INDEX(FormData,$H453,f_Name)))-LEN(SUBSTITUTE(TRIM(INDEX(FormData,$H453,f_Name))," ",""))))+1,1),"")),""))</f>
        <v/>
      </c>
      <c r="E453" s="16">
        <f>IF($H453="","",IFERROR(INDEX(EvID,MATCH(INDEX(FormData,$H453,f_Event),EvID,0)),IFERROR(INDEX(EvID,MATCH(INDEX(FormData,$H453,f_Event),EvName,0)),IFERROR(INDEX(EvID,MATCH(INT($C453),EvDate,0)),"(no event that day)"))))</f>
        <v/>
      </c>
      <c r="F453" s="16">
        <f>IF($H453="","",IFERROR(IF(SUMPRODUCT(MAX((WhoKW&lt;&gt;"")*ISNUMBER(SEARCH(WhoKW,INDEX(FormData,$H453,f_Who)&amp;""))*(ROW(WhoKW)-MIN(ROW(WhoKW))+1)))=0,"",INDEX(WhoVal,SUMPRODUCT(MAX((WhoKW&lt;&gt;"")*ISNUMBER(SEARCH(WhoKW,INDEX(FormData,$H453,f_Who)&amp;""))*(ROW(WhoKW)-MIN(ROW(WhoKW))+1))))),""))</f>
        <v/>
      </c>
      <c r="G453" s="14">
        <f>IF($H453="","",IF(COUNTIF(People!$U$5:$U$604,$B453)+COUNTIF(People!$U$5:$U$604,$B453&amp;"")&gt;0,"✓ logged","→ add"))</f>
        <v/>
      </c>
      <c r="H453">
        <f>IFERROR(IF(INDEX(FormData,450,f_Id)&amp;""="","",450),"")</f>
        <v/>
      </c>
      <c r="I453" s="16">
        <f>IF($H453="","",IFERROR(INDEX(FormData,$H453,f_Need)&amp;"",""))</f>
        <v/>
      </c>
    </row>
    <row r="454">
      <c r="A454" s="14" t="n">
        <v>450</v>
      </c>
      <c r="B454" s="14">
        <f>IF($H454="","",INDEX(FormData,$H454,f_Id))</f>
        <v/>
      </c>
      <c r="C454" s="15">
        <f>IF($H454="","",IFERROR(INDEX(FormData,$H454,f_Time),""))</f>
        <v/>
      </c>
      <c r="D454" s="14">
        <f>IF($H454="","",IFERROR(UPPER(LEFT(TRIM(INDEX(FormData,$H454,f_Name)),1)&amp;IFERROR(MID(TRIM(INDEX(FormData,$H454,f_Name)),FIND("^",SUBSTITUTE(TRIM(INDEX(FormData,$H454,f_Name))," ","^",LEN(TRIM(INDEX(FormData,$H454,f_Name)))-LEN(SUBSTITUTE(TRIM(INDEX(FormData,$H454,f_Name))," ",""))))+1,1),"")),""))</f>
        <v/>
      </c>
      <c r="E454" s="16">
        <f>IF($H454="","",IFERROR(INDEX(EvID,MATCH(INDEX(FormData,$H454,f_Event),EvID,0)),IFERROR(INDEX(EvID,MATCH(INDEX(FormData,$H454,f_Event),EvName,0)),IFERROR(INDEX(EvID,MATCH(INT($C454),EvDate,0)),"(no event that day)"))))</f>
        <v/>
      </c>
      <c r="F454" s="16">
        <f>IF($H454="","",IFERROR(IF(SUMPRODUCT(MAX((WhoKW&lt;&gt;"")*ISNUMBER(SEARCH(WhoKW,INDEX(FormData,$H454,f_Who)&amp;""))*(ROW(WhoKW)-MIN(ROW(WhoKW))+1)))=0,"",INDEX(WhoVal,SUMPRODUCT(MAX((WhoKW&lt;&gt;"")*ISNUMBER(SEARCH(WhoKW,INDEX(FormData,$H454,f_Who)&amp;""))*(ROW(WhoKW)-MIN(ROW(WhoKW))+1))))),""))</f>
        <v/>
      </c>
      <c r="G454" s="14">
        <f>IF($H454="","",IF(COUNTIF(People!$U$5:$U$604,$B454)+COUNTIF(People!$U$5:$U$604,$B454&amp;"")&gt;0,"✓ logged","→ add"))</f>
        <v/>
      </c>
      <c r="H454">
        <f>IFERROR(IF(INDEX(FormData,451,f_Id)&amp;""="","",451),"")</f>
        <v/>
      </c>
      <c r="I454" s="16">
        <f>IF($H454="","",IFERROR(INDEX(FormData,$H454,f_Need)&amp;"",""))</f>
        <v/>
      </c>
    </row>
    <row r="455">
      <c r="A455" s="14" t="n">
        <v>451</v>
      </c>
      <c r="B455" s="14">
        <f>IF($H455="","",INDEX(FormData,$H455,f_Id))</f>
        <v/>
      </c>
      <c r="C455" s="15">
        <f>IF($H455="","",IFERROR(INDEX(FormData,$H455,f_Time),""))</f>
        <v/>
      </c>
      <c r="D455" s="14">
        <f>IF($H455="","",IFERROR(UPPER(LEFT(TRIM(INDEX(FormData,$H455,f_Name)),1)&amp;IFERROR(MID(TRIM(INDEX(FormData,$H455,f_Name)),FIND("^",SUBSTITUTE(TRIM(INDEX(FormData,$H455,f_Name))," ","^",LEN(TRIM(INDEX(FormData,$H455,f_Name)))-LEN(SUBSTITUTE(TRIM(INDEX(FormData,$H455,f_Name))," ",""))))+1,1),"")),""))</f>
        <v/>
      </c>
      <c r="E455" s="16">
        <f>IF($H455="","",IFERROR(INDEX(EvID,MATCH(INDEX(FormData,$H455,f_Event),EvID,0)),IFERROR(INDEX(EvID,MATCH(INDEX(FormData,$H455,f_Event),EvName,0)),IFERROR(INDEX(EvID,MATCH(INT($C455),EvDate,0)),"(no event that day)"))))</f>
        <v/>
      </c>
      <c r="F455" s="16">
        <f>IF($H455="","",IFERROR(IF(SUMPRODUCT(MAX((WhoKW&lt;&gt;"")*ISNUMBER(SEARCH(WhoKW,INDEX(FormData,$H455,f_Who)&amp;""))*(ROW(WhoKW)-MIN(ROW(WhoKW))+1)))=0,"",INDEX(WhoVal,SUMPRODUCT(MAX((WhoKW&lt;&gt;"")*ISNUMBER(SEARCH(WhoKW,INDEX(FormData,$H455,f_Who)&amp;""))*(ROW(WhoKW)-MIN(ROW(WhoKW))+1))))),""))</f>
        <v/>
      </c>
      <c r="G455" s="14">
        <f>IF($H455="","",IF(COUNTIF(People!$U$5:$U$604,$B455)+COUNTIF(People!$U$5:$U$604,$B455&amp;"")&gt;0,"✓ logged","→ add"))</f>
        <v/>
      </c>
      <c r="H455">
        <f>IFERROR(IF(INDEX(FormData,452,f_Id)&amp;""="","",452),"")</f>
        <v/>
      </c>
      <c r="I455" s="16">
        <f>IF($H455="","",IFERROR(INDEX(FormData,$H455,f_Need)&amp;"",""))</f>
        <v/>
      </c>
    </row>
    <row r="456">
      <c r="A456" s="14" t="n">
        <v>452</v>
      </c>
      <c r="B456" s="14">
        <f>IF($H456="","",INDEX(FormData,$H456,f_Id))</f>
        <v/>
      </c>
      <c r="C456" s="15">
        <f>IF($H456="","",IFERROR(INDEX(FormData,$H456,f_Time),""))</f>
        <v/>
      </c>
      <c r="D456" s="14">
        <f>IF($H456="","",IFERROR(UPPER(LEFT(TRIM(INDEX(FormData,$H456,f_Name)),1)&amp;IFERROR(MID(TRIM(INDEX(FormData,$H456,f_Name)),FIND("^",SUBSTITUTE(TRIM(INDEX(FormData,$H456,f_Name))," ","^",LEN(TRIM(INDEX(FormData,$H456,f_Name)))-LEN(SUBSTITUTE(TRIM(INDEX(FormData,$H456,f_Name))," ",""))))+1,1),"")),""))</f>
        <v/>
      </c>
      <c r="E456" s="16">
        <f>IF($H456="","",IFERROR(INDEX(EvID,MATCH(INDEX(FormData,$H456,f_Event),EvID,0)),IFERROR(INDEX(EvID,MATCH(INDEX(FormData,$H456,f_Event),EvName,0)),IFERROR(INDEX(EvID,MATCH(INT($C456),EvDate,0)),"(no event that day)"))))</f>
        <v/>
      </c>
      <c r="F456" s="16">
        <f>IF($H456="","",IFERROR(IF(SUMPRODUCT(MAX((WhoKW&lt;&gt;"")*ISNUMBER(SEARCH(WhoKW,INDEX(FormData,$H456,f_Who)&amp;""))*(ROW(WhoKW)-MIN(ROW(WhoKW))+1)))=0,"",INDEX(WhoVal,SUMPRODUCT(MAX((WhoKW&lt;&gt;"")*ISNUMBER(SEARCH(WhoKW,INDEX(FormData,$H456,f_Who)&amp;""))*(ROW(WhoKW)-MIN(ROW(WhoKW))+1))))),""))</f>
        <v/>
      </c>
      <c r="G456" s="14">
        <f>IF($H456="","",IF(COUNTIF(People!$U$5:$U$604,$B456)+COUNTIF(People!$U$5:$U$604,$B456&amp;"")&gt;0,"✓ logged","→ add"))</f>
        <v/>
      </c>
      <c r="H456">
        <f>IFERROR(IF(INDEX(FormData,453,f_Id)&amp;""="","",453),"")</f>
        <v/>
      </c>
      <c r="I456" s="16">
        <f>IF($H456="","",IFERROR(INDEX(FormData,$H456,f_Need)&amp;"",""))</f>
        <v/>
      </c>
    </row>
    <row r="457">
      <c r="A457" s="14" t="n">
        <v>453</v>
      </c>
      <c r="B457" s="14">
        <f>IF($H457="","",INDEX(FormData,$H457,f_Id))</f>
        <v/>
      </c>
      <c r="C457" s="15">
        <f>IF($H457="","",IFERROR(INDEX(FormData,$H457,f_Time),""))</f>
        <v/>
      </c>
      <c r="D457" s="14">
        <f>IF($H457="","",IFERROR(UPPER(LEFT(TRIM(INDEX(FormData,$H457,f_Name)),1)&amp;IFERROR(MID(TRIM(INDEX(FormData,$H457,f_Name)),FIND("^",SUBSTITUTE(TRIM(INDEX(FormData,$H457,f_Name))," ","^",LEN(TRIM(INDEX(FormData,$H457,f_Name)))-LEN(SUBSTITUTE(TRIM(INDEX(FormData,$H457,f_Name))," ",""))))+1,1),"")),""))</f>
        <v/>
      </c>
      <c r="E457" s="16">
        <f>IF($H457="","",IFERROR(INDEX(EvID,MATCH(INDEX(FormData,$H457,f_Event),EvID,0)),IFERROR(INDEX(EvID,MATCH(INDEX(FormData,$H457,f_Event),EvName,0)),IFERROR(INDEX(EvID,MATCH(INT($C457),EvDate,0)),"(no event that day)"))))</f>
        <v/>
      </c>
      <c r="F457" s="16">
        <f>IF($H457="","",IFERROR(IF(SUMPRODUCT(MAX((WhoKW&lt;&gt;"")*ISNUMBER(SEARCH(WhoKW,INDEX(FormData,$H457,f_Who)&amp;""))*(ROW(WhoKW)-MIN(ROW(WhoKW))+1)))=0,"",INDEX(WhoVal,SUMPRODUCT(MAX((WhoKW&lt;&gt;"")*ISNUMBER(SEARCH(WhoKW,INDEX(FormData,$H457,f_Who)&amp;""))*(ROW(WhoKW)-MIN(ROW(WhoKW))+1))))),""))</f>
        <v/>
      </c>
      <c r="G457" s="14">
        <f>IF($H457="","",IF(COUNTIF(People!$U$5:$U$604,$B457)+COUNTIF(People!$U$5:$U$604,$B457&amp;"")&gt;0,"✓ logged","→ add"))</f>
        <v/>
      </c>
      <c r="H457">
        <f>IFERROR(IF(INDEX(FormData,454,f_Id)&amp;""="","",454),"")</f>
        <v/>
      </c>
      <c r="I457" s="16">
        <f>IF($H457="","",IFERROR(INDEX(FormData,$H457,f_Need)&amp;"",""))</f>
        <v/>
      </c>
    </row>
    <row r="458">
      <c r="A458" s="14" t="n">
        <v>454</v>
      </c>
      <c r="B458" s="14">
        <f>IF($H458="","",INDEX(FormData,$H458,f_Id))</f>
        <v/>
      </c>
      <c r="C458" s="15">
        <f>IF($H458="","",IFERROR(INDEX(FormData,$H458,f_Time),""))</f>
        <v/>
      </c>
      <c r="D458" s="14">
        <f>IF($H458="","",IFERROR(UPPER(LEFT(TRIM(INDEX(FormData,$H458,f_Name)),1)&amp;IFERROR(MID(TRIM(INDEX(FormData,$H458,f_Name)),FIND("^",SUBSTITUTE(TRIM(INDEX(FormData,$H458,f_Name))," ","^",LEN(TRIM(INDEX(FormData,$H458,f_Name)))-LEN(SUBSTITUTE(TRIM(INDEX(FormData,$H458,f_Name))," ",""))))+1,1),"")),""))</f>
        <v/>
      </c>
      <c r="E458" s="16">
        <f>IF($H458="","",IFERROR(INDEX(EvID,MATCH(INDEX(FormData,$H458,f_Event),EvID,0)),IFERROR(INDEX(EvID,MATCH(INDEX(FormData,$H458,f_Event),EvName,0)),IFERROR(INDEX(EvID,MATCH(INT($C458),EvDate,0)),"(no event that day)"))))</f>
        <v/>
      </c>
      <c r="F458" s="16">
        <f>IF($H458="","",IFERROR(IF(SUMPRODUCT(MAX((WhoKW&lt;&gt;"")*ISNUMBER(SEARCH(WhoKW,INDEX(FormData,$H458,f_Who)&amp;""))*(ROW(WhoKW)-MIN(ROW(WhoKW))+1)))=0,"",INDEX(WhoVal,SUMPRODUCT(MAX((WhoKW&lt;&gt;"")*ISNUMBER(SEARCH(WhoKW,INDEX(FormData,$H458,f_Who)&amp;""))*(ROW(WhoKW)-MIN(ROW(WhoKW))+1))))),""))</f>
        <v/>
      </c>
      <c r="G458" s="14">
        <f>IF($H458="","",IF(COUNTIF(People!$U$5:$U$604,$B458)+COUNTIF(People!$U$5:$U$604,$B458&amp;"")&gt;0,"✓ logged","→ add"))</f>
        <v/>
      </c>
      <c r="H458">
        <f>IFERROR(IF(INDEX(FormData,455,f_Id)&amp;""="","",455),"")</f>
        <v/>
      </c>
      <c r="I458" s="16">
        <f>IF($H458="","",IFERROR(INDEX(FormData,$H458,f_Need)&amp;"",""))</f>
        <v/>
      </c>
    </row>
    <row r="459">
      <c r="A459" s="14" t="n">
        <v>455</v>
      </c>
      <c r="B459" s="14">
        <f>IF($H459="","",INDEX(FormData,$H459,f_Id))</f>
        <v/>
      </c>
      <c r="C459" s="15">
        <f>IF($H459="","",IFERROR(INDEX(FormData,$H459,f_Time),""))</f>
        <v/>
      </c>
      <c r="D459" s="14">
        <f>IF($H459="","",IFERROR(UPPER(LEFT(TRIM(INDEX(FormData,$H459,f_Name)),1)&amp;IFERROR(MID(TRIM(INDEX(FormData,$H459,f_Name)),FIND("^",SUBSTITUTE(TRIM(INDEX(FormData,$H459,f_Name))," ","^",LEN(TRIM(INDEX(FormData,$H459,f_Name)))-LEN(SUBSTITUTE(TRIM(INDEX(FormData,$H459,f_Name))," ",""))))+1,1),"")),""))</f>
        <v/>
      </c>
      <c r="E459" s="16">
        <f>IF($H459="","",IFERROR(INDEX(EvID,MATCH(INDEX(FormData,$H459,f_Event),EvID,0)),IFERROR(INDEX(EvID,MATCH(INDEX(FormData,$H459,f_Event),EvName,0)),IFERROR(INDEX(EvID,MATCH(INT($C459),EvDate,0)),"(no event that day)"))))</f>
        <v/>
      </c>
      <c r="F459" s="16">
        <f>IF($H459="","",IFERROR(IF(SUMPRODUCT(MAX((WhoKW&lt;&gt;"")*ISNUMBER(SEARCH(WhoKW,INDEX(FormData,$H459,f_Who)&amp;""))*(ROW(WhoKW)-MIN(ROW(WhoKW))+1)))=0,"",INDEX(WhoVal,SUMPRODUCT(MAX((WhoKW&lt;&gt;"")*ISNUMBER(SEARCH(WhoKW,INDEX(FormData,$H459,f_Who)&amp;""))*(ROW(WhoKW)-MIN(ROW(WhoKW))+1))))),""))</f>
        <v/>
      </c>
      <c r="G459" s="14">
        <f>IF($H459="","",IF(COUNTIF(People!$U$5:$U$604,$B459)+COUNTIF(People!$U$5:$U$604,$B459&amp;"")&gt;0,"✓ logged","→ add"))</f>
        <v/>
      </c>
      <c r="H459">
        <f>IFERROR(IF(INDEX(FormData,456,f_Id)&amp;""="","",456),"")</f>
        <v/>
      </c>
      <c r="I459" s="16">
        <f>IF($H459="","",IFERROR(INDEX(FormData,$H459,f_Need)&amp;"",""))</f>
        <v/>
      </c>
    </row>
    <row r="460">
      <c r="A460" s="14" t="n">
        <v>456</v>
      </c>
      <c r="B460" s="14">
        <f>IF($H460="","",INDEX(FormData,$H460,f_Id))</f>
        <v/>
      </c>
      <c r="C460" s="15">
        <f>IF($H460="","",IFERROR(INDEX(FormData,$H460,f_Time),""))</f>
        <v/>
      </c>
      <c r="D460" s="14">
        <f>IF($H460="","",IFERROR(UPPER(LEFT(TRIM(INDEX(FormData,$H460,f_Name)),1)&amp;IFERROR(MID(TRIM(INDEX(FormData,$H460,f_Name)),FIND("^",SUBSTITUTE(TRIM(INDEX(FormData,$H460,f_Name))," ","^",LEN(TRIM(INDEX(FormData,$H460,f_Name)))-LEN(SUBSTITUTE(TRIM(INDEX(FormData,$H460,f_Name))," ",""))))+1,1),"")),""))</f>
        <v/>
      </c>
      <c r="E460" s="16">
        <f>IF($H460="","",IFERROR(INDEX(EvID,MATCH(INDEX(FormData,$H460,f_Event),EvID,0)),IFERROR(INDEX(EvID,MATCH(INDEX(FormData,$H460,f_Event),EvName,0)),IFERROR(INDEX(EvID,MATCH(INT($C460),EvDate,0)),"(no event that day)"))))</f>
        <v/>
      </c>
      <c r="F460" s="16">
        <f>IF($H460="","",IFERROR(IF(SUMPRODUCT(MAX((WhoKW&lt;&gt;"")*ISNUMBER(SEARCH(WhoKW,INDEX(FormData,$H460,f_Who)&amp;""))*(ROW(WhoKW)-MIN(ROW(WhoKW))+1)))=0,"",INDEX(WhoVal,SUMPRODUCT(MAX((WhoKW&lt;&gt;"")*ISNUMBER(SEARCH(WhoKW,INDEX(FormData,$H460,f_Who)&amp;""))*(ROW(WhoKW)-MIN(ROW(WhoKW))+1))))),""))</f>
        <v/>
      </c>
      <c r="G460" s="14">
        <f>IF($H460="","",IF(COUNTIF(People!$U$5:$U$604,$B460)+COUNTIF(People!$U$5:$U$604,$B460&amp;"")&gt;0,"✓ logged","→ add"))</f>
        <v/>
      </c>
      <c r="H460">
        <f>IFERROR(IF(INDEX(FormData,457,f_Id)&amp;""="","",457),"")</f>
        <v/>
      </c>
      <c r="I460" s="16">
        <f>IF($H460="","",IFERROR(INDEX(FormData,$H460,f_Need)&amp;"",""))</f>
        <v/>
      </c>
    </row>
    <row r="461">
      <c r="A461" s="14" t="n">
        <v>457</v>
      </c>
      <c r="B461" s="14">
        <f>IF($H461="","",INDEX(FormData,$H461,f_Id))</f>
        <v/>
      </c>
      <c r="C461" s="15">
        <f>IF($H461="","",IFERROR(INDEX(FormData,$H461,f_Time),""))</f>
        <v/>
      </c>
      <c r="D461" s="14">
        <f>IF($H461="","",IFERROR(UPPER(LEFT(TRIM(INDEX(FormData,$H461,f_Name)),1)&amp;IFERROR(MID(TRIM(INDEX(FormData,$H461,f_Name)),FIND("^",SUBSTITUTE(TRIM(INDEX(FormData,$H461,f_Name))," ","^",LEN(TRIM(INDEX(FormData,$H461,f_Name)))-LEN(SUBSTITUTE(TRIM(INDEX(FormData,$H461,f_Name))," ",""))))+1,1),"")),""))</f>
        <v/>
      </c>
      <c r="E461" s="16">
        <f>IF($H461="","",IFERROR(INDEX(EvID,MATCH(INDEX(FormData,$H461,f_Event),EvID,0)),IFERROR(INDEX(EvID,MATCH(INDEX(FormData,$H461,f_Event),EvName,0)),IFERROR(INDEX(EvID,MATCH(INT($C461),EvDate,0)),"(no event that day)"))))</f>
        <v/>
      </c>
      <c r="F461" s="16">
        <f>IF($H461="","",IFERROR(IF(SUMPRODUCT(MAX((WhoKW&lt;&gt;"")*ISNUMBER(SEARCH(WhoKW,INDEX(FormData,$H461,f_Who)&amp;""))*(ROW(WhoKW)-MIN(ROW(WhoKW))+1)))=0,"",INDEX(WhoVal,SUMPRODUCT(MAX((WhoKW&lt;&gt;"")*ISNUMBER(SEARCH(WhoKW,INDEX(FormData,$H461,f_Who)&amp;""))*(ROW(WhoKW)-MIN(ROW(WhoKW))+1))))),""))</f>
        <v/>
      </c>
      <c r="G461" s="14">
        <f>IF($H461="","",IF(COUNTIF(People!$U$5:$U$604,$B461)+COUNTIF(People!$U$5:$U$604,$B461&amp;"")&gt;0,"✓ logged","→ add"))</f>
        <v/>
      </c>
      <c r="H461">
        <f>IFERROR(IF(INDEX(FormData,458,f_Id)&amp;""="","",458),"")</f>
        <v/>
      </c>
      <c r="I461" s="16">
        <f>IF($H461="","",IFERROR(INDEX(FormData,$H461,f_Need)&amp;"",""))</f>
        <v/>
      </c>
    </row>
    <row r="462">
      <c r="A462" s="14" t="n">
        <v>458</v>
      </c>
      <c r="B462" s="14">
        <f>IF($H462="","",INDEX(FormData,$H462,f_Id))</f>
        <v/>
      </c>
      <c r="C462" s="15">
        <f>IF($H462="","",IFERROR(INDEX(FormData,$H462,f_Time),""))</f>
        <v/>
      </c>
      <c r="D462" s="14">
        <f>IF($H462="","",IFERROR(UPPER(LEFT(TRIM(INDEX(FormData,$H462,f_Name)),1)&amp;IFERROR(MID(TRIM(INDEX(FormData,$H462,f_Name)),FIND("^",SUBSTITUTE(TRIM(INDEX(FormData,$H462,f_Name))," ","^",LEN(TRIM(INDEX(FormData,$H462,f_Name)))-LEN(SUBSTITUTE(TRIM(INDEX(FormData,$H462,f_Name))," ",""))))+1,1),"")),""))</f>
        <v/>
      </c>
      <c r="E462" s="16">
        <f>IF($H462="","",IFERROR(INDEX(EvID,MATCH(INDEX(FormData,$H462,f_Event),EvID,0)),IFERROR(INDEX(EvID,MATCH(INDEX(FormData,$H462,f_Event),EvName,0)),IFERROR(INDEX(EvID,MATCH(INT($C462),EvDate,0)),"(no event that day)"))))</f>
        <v/>
      </c>
      <c r="F462" s="16">
        <f>IF($H462="","",IFERROR(IF(SUMPRODUCT(MAX((WhoKW&lt;&gt;"")*ISNUMBER(SEARCH(WhoKW,INDEX(FormData,$H462,f_Who)&amp;""))*(ROW(WhoKW)-MIN(ROW(WhoKW))+1)))=0,"",INDEX(WhoVal,SUMPRODUCT(MAX((WhoKW&lt;&gt;"")*ISNUMBER(SEARCH(WhoKW,INDEX(FormData,$H462,f_Who)&amp;""))*(ROW(WhoKW)-MIN(ROW(WhoKW))+1))))),""))</f>
        <v/>
      </c>
      <c r="G462" s="14">
        <f>IF($H462="","",IF(COUNTIF(People!$U$5:$U$604,$B462)+COUNTIF(People!$U$5:$U$604,$B462&amp;"")&gt;0,"✓ logged","→ add"))</f>
        <v/>
      </c>
      <c r="H462">
        <f>IFERROR(IF(INDEX(FormData,459,f_Id)&amp;""="","",459),"")</f>
        <v/>
      </c>
      <c r="I462" s="16">
        <f>IF($H462="","",IFERROR(INDEX(FormData,$H462,f_Need)&amp;"",""))</f>
        <v/>
      </c>
    </row>
    <row r="463">
      <c r="A463" s="14" t="n">
        <v>459</v>
      </c>
      <c r="B463" s="14">
        <f>IF($H463="","",INDEX(FormData,$H463,f_Id))</f>
        <v/>
      </c>
      <c r="C463" s="15">
        <f>IF($H463="","",IFERROR(INDEX(FormData,$H463,f_Time),""))</f>
        <v/>
      </c>
      <c r="D463" s="14">
        <f>IF($H463="","",IFERROR(UPPER(LEFT(TRIM(INDEX(FormData,$H463,f_Name)),1)&amp;IFERROR(MID(TRIM(INDEX(FormData,$H463,f_Name)),FIND("^",SUBSTITUTE(TRIM(INDEX(FormData,$H463,f_Name))," ","^",LEN(TRIM(INDEX(FormData,$H463,f_Name)))-LEN(SUBSTITUTE(TRIM(INDEX(FormData,$H463,f_Name))," ",""))))+1,1),"")),""))</f>
        <v/>
      </c>
      <c r="E463" s="16">
        <f>IF($H463="","",IFERROR(INDEX(EvID,MATCH(INDEX(FormData,$H463,f_Event),EvID,0)),IFERROR(INDEX(EvID,MATCH(INDEX(FormData,$H463,f_Event),EvName,0)),IFERROR(INDEX(EvID,MATCH(INT($C463),EvDate,0)),"(no event that day)"))))</f>
        <v/>
      </c>
      <c r="F463" s="16">
        <f>IF($H463="","",IFERROR(IF(SUMPRODUCT(MAX((WhoKW&lt;&gt;"")*ISNUMBER(SEARCH(WhoKW,INDEX(FormData,$H463,f_Who)&amp;""))*(ROW(WhoKW)-MIN(ROW(WhoKW))+1)))=0,"",INDEX(WhoVal,SUMPRODUCT(MAX((WhoKW&lt;&gt;"")*ISNUMBER(SEARCH(WhoKW,INDEX(FormData,$H463,f_Who)&amp;""))*(ROW(WhoKW)-MIN(ROW(WhoKW))+1))))),""))</f>
        <v/>
      </c>
      <c r="G463" s="14">
        <f>IF($H463="","",IF(COUNTIF(People!$U$5:$U$604,$B463)+COUNTIF(People!$U$5:$U$604,$B463&amp;"")&gt;0,"✓ logged","→ add"))</f>
        <v/>
      </c>
      <c r="H463">
        <f>IFERROR(IF(INDEX(FormData,460,f_Id)&amp;""="","",460),"")</f>
        <v/>
      </c>
      <c r="I463" s="16">
        <f>IF($H463="","",IFERROR(INDEX(FormData,$H463,f_Need)&amp;"",""))</f>
        <v/>
      </c>
    </row>
    <row r="464">
      <c r="A464" s="14" t="n">
        <v>460</v>
      </c>
      <c r="B464" s="14">
        <f>IF($H464="","",INDEX(FormData,$H464,f_Id))</f>
        <v/>
      </c>
      <c r="C464" s="15">
        <f>IF($H464="","",IFERROR(INDEX(FormData,$H464,f_Time),""))</f>
        <v/>
      </c>
      <c r="D464" s="14">
        <f>IF($H464="","",IFERROR(UPPER(LEFT(TRIM(INDEX(FormData,$H464,f_Name)),1)&amp;IFERROR(MID(TRIM(INDEX(FormData,$H464,f_Name)),FIND("^",SUBSTITUTE(TRIM(INDEX(FormData,$H464,f_Name))," ","^",LEN(TRIM(INDEX(FormData,$H464,f_Name)))-LEN(SUBSTITUTE(TRIM(INDEX(FormData,$H464,f_Name))," ",""))))+1,1),"")),""))</f>
        <v/>
      </c>
      <c r="E464" s="16">
        <f>IF($H464="","",IFERROR(INDEX(EvID,MATCH(INDEX(FormData,$H464,f_Event),EvID,0)),IFERROR(INDEX(EvID,MATCH(INDEX(FormData,$H464,f_Event),EvName,0)),IFERROR(INDEX(EvID,MATCH(INT($C464),EvDate,0)),"(no event that day)"))))</f>
        <v/>
      </c>
      <c r="F464" s="16">
        <f>IF($H464="","",IFERROR(IF(SUMPRODUCT(MAX((WhoKW&lt;&gt;"")*ISNUMBER(SEARCH(WhoKW,INDEX(FormData,$H464,f_Who)&amp;""))*(ROW(WhoKW)-MIN(ROW(WhoKW))+1)))=0,"",INDEX(WhoVal,SUMPRODUCT(MAX((WhoKW&lt;&gt;"")*ISNUMBER(SEARCH(WhoKW,INDEX(FormData,$H464,f_Who)&amp;""))*(ROW(WhoKW)-MIN(ROW(WhoKW))+1))))),""))</f>
        <v/>
      </c>
      <c r="G464" s="14">
        <f>IF($H464="","",IF(COUNTIF(People!$U$5:$U$604,$B464)+COUNTIF(People!$U$5:$U$604,$B464&amp;"")&gt;0,"✓ logged","→ add"))</f>
        <v/>
      </c>
      <c r="H464">
        <f>IFERROR(IF(INDEX(FormData,461,f_Id)&amp;""="","",461),"")</f>
        <v/>
      </c>
      <c r="I464" s="16">
        <f>IF($H464="","",IFERROR(INDEX(FormData,$H464,f_Need)&amp;"",""))</f>
        <v/>
      </c>
    </row>
    <row r="465">
      <c r="A465" s="14" t="n">
        <v>461</v>
      </c>
      <c r="B465" s="14">
        <f>IF($H465="","",INDEX(FormData,$H465,f_Id))</f>
        <v/>
      </c>
      <c r="C465" s="15">
        <f>IF($H465="","",IFERROR(INDEX(FormData,$H465,f_Time),""))</f>
        <v/>
      </c>
      <c r="D465" s="14">
        <f>IF($H465="","",IFERROR(UPPER(LEFT(TRIM(INDEX(FormData,$H465,f_Name)),1)&amp;IFERROR(MID(TRIM(INDEX(FormData,$H465,f_Name)),FIND("^",SUBSTITUTE(TRIM(INDEX(FormData,$H465,f_Name))," ","^",LEN(TRIM(INDEX(FormData,$H465,f_Name)))-LEN(SUBSTITUTE(TRIM(INDEX(FormData,$H465,f_Name))," ",""))))+1,1),"")),""))</f>
        <v/>
      </c>
      <c r="E465" s="16">
        <f>IF($H465="","",IFERROR(INDEX(EvID,MATCH(INDEX(FormData,$H465,f_Event),EvID,0)),IFERROR(INDEX(EvID,MATCH(INDEX(FormData,$H465,f_Event),EvName,0)),IFERROR(INDEX(EvID,MATCH(INT($C465),EvDate,0)),"(no event that day)"))))</f>
        <v/>
      </c>
      <c r="F465" s="16">
        <f>IF($H465="","",IFERROR(IF(SUMPRODUCT(MAX((WhoKW&lt;&gt;"")*ISNUMBER(SEARCH(WhoKW,INDEX(FormData,$H465,f_Who)&amp;""))*(ROW(WhoKW)-MIN(ROW(WhoKW))+1)))=0,"",INDEX(WhoVal,SUMPRODUCT(MAX((WhoKW&lt;&gt;"")*ISNUMBER(SEARCH(WhoKW,INDEX(FormData,$H465,f_Who)&amp;""))*(ROW(WhoKW)-MIN(ROW(WhoKW))+1))))),""))</f>
        <v/>
      </c>
      <c r="G465" s="14">
        <f>IF($H465="","",IF(COUNTIF(People!$U$5:$U$604,$B465)+COUNTIF(People!$U$5:$U$604,$B465&amp;"")&gt;0,"✓ logged","→ add"))</f>
        <v/>
      </c>
      <c r="H465">
        <f>IFERROR(IF(INDEX(FormData,462,f_Id)&amp;""="","",462),"")</f>
        <v/>
      </c>
      <c r="I465" s="16">
        <f>IF($H465="","",IFERROR(INDEX(FormData,$H465,f_Need)&amp;"",""))</f>
        <v/>
      </c>
    </row>
    <row r="466">
      <c r="A466" s="14" t="n">
        <v>462</v>
      </c>
      <c r="B466" s="14">
        <f>IF($H466="","",INDEX(FormData,$H466,f_Id))</f>
        <v/>
      </c>
      <c r="C466" s="15">
        <f>IF($H466="","",IFERROR(INDEX(FormData,$H466,f_Time),""))</f>
        <v/>
      </c>
      <c r="D466" s="14">
        <f>IF($H466="","",IFERROR(UPPER(LEFT(TRIM(INDEX(FormData,$H466,f_Name)),1)&amp;IFERROR(MID(TRIM(INDEX(FormData,$H466,f_Name)),FIND("^",SUBSTITUTE(TRIM(INDEX(FormData,$H466,f_Name))," ","^",LEN(TRIM(INDEX(FormData,$H466,f_Name)))-LEN(SUBSTITUTE(TRIM(INDEX(FormData,$H466,f_Name))," ",""))))+1,1),"")),""))</f>
        <v/>
      </c>
      <c r="E466" s="16">
        <f>IF($H466="","",IFERROR(INDEX(EvID,MATCH(INDEX(FormData,$H466,f_Event),EvID,0)),IFERROR(INDEX(EvID,MATCH(INDEX(FormData,$H466,f_Event),EvName,0)),IFERROR(INDEX(EvID,MATCH(INT($C466),EvDate,0)),"(no event that day)"))))</f>
        <v/>
      </c>
      <c r="F466" s="16">
        <f>IF($H466="","",IFERROR(IF(SUMPRODUCT(MAX((WhoKW&lt;&gt;"")*ISNUMBER(SEARCH(WhoKW,INDEX(FormData,$H466,f_Who)&amp;""))*(ROW(WhoKW)-MIN(ROW(WhoKW))+1)))=0,"",INDEX(WhoVal,SUMPRODUCT(MAX((WhoKW&lt;&gt;"")*ISNUMBER(SEARCH(WhoKW,INDEX(FormData,$H466,f_Who)&amp;""))*(ROW(WhoKW)-MIN(ROW(WhoKW))+1))))),""))</f>
        <v/>
      </c>
      <c r="G466" s="14">
        <f>IF($H466="","",IF(COUNTIF(People!$U$5:$U$604,$B466)+COUNTIF(People!$U$5:$U$604,$B466&amp;"")&gt;0,"✓ logged","→ add"))</f>
        <v/>
      </c>
      <c r="H466">
        <f>IFERROR(IF(INDEX(FormData,463,f_Id)&amp;""="","",463),"")</f>
        <v/>
      </c>
      <c r="I466" s="16">
        <f>IF($H466="","",IFERROR(INDEX(FormData,$H466,f_Need)&amp;"",""))</f>
        <v/>
      </c>
    </row>
    <row r="467">
      <c r="A467" s="14" t="n">
        <v>463</v>
      </c>
      <c r="B467" s="14">
        <f>IF($H467="","",INDEX(FormData,$H467,f_Id))</f>
        <v/>
      </c>
      <c r="C467" s="15">
        <f>IF($H467="","",IFERROR(INDEX(FormData,$H467,f_Time),""))</f>
        <v/>
      </c>
      <c r="D467" s="14">
        <f>IF($H467="","",IFERROR(UPPER(LEFT(TRIM(INDEX(FormData,$H467,f_Name)),1)&amp;IFERROR(MID(TRIM(INDEX(FormData,$H467,f_Name)),FIND("^",SUBSTITUTE(TRIM(INDEX(FormData,$H467,f_Name))," ","^",LEN(TRIM(INDEX(FormData,$H467,f_Name)))-LEN(SUBSTITUTE(TRIM(INDEX(FormData,$H467,f_Name))," ",""))))+1,1),"")),""))</f>
        <v/>
      </c>
      <c r="E467" s="16">
        <f>IF($H467="","",IFERROR(INDEX(EvID,MATCH(INDEX(FormData,$H467,f_Event),EvID,0)),IFERROR(INDEX(EvID,MATCH(INDEX(FormData,$H467,f_Event),EvName,0)),IFERROR(INDEX(EvID,MATCH(INT($C467),EvDate,0)),"(no event that day)"))))</f>
        <v/>
      </c>
      <c r="F467" s="16">
        <f>IF($H467="","",IFERROR(IF(SUMPRODUCT(MAX((WhoKW&lt;&gt;"")*ISNUMBER(SEARCH(WhoKW,INDEX(FormData,$H467,f_Who)&amp;""))*(ROW(WhoKW)-MIN(ROW(WhoKW))+1)))=0,"",INDEX(WhoVal,SUMPRODUCT(MAX((WhoKW&lt;&gt;"")*ISNUMBER(SEARCH(WhoKW,INDEX(FormData,$H467,f_Who)&amp;""))*(ROW(WhoKW)-MIN(ROW(WhoKW))+1))))),""))</f>
        <v/>
      </c>
      <c r="G467" s="14">
        <f>IF($H467="","",IF(COUNTIF(People!$U$5:$U$604,$B467)+COUNTIF(People!$U$5:$U$604,$B467&amp;"")&gt;0,"✓ logged","→ add"))</f>
        <v/>
      </c>
      <c r="H467">
        <f>IFERROR(IF(INDEX(FormData,464,f_Id)&amp;""="","",464),"")</f>
        <v/>
      </c>
      <c r="I467" s="16">
        <f>IF($H467="","",IFERROR(INDEX(FormData,$H467,f_Need)&amp;"",""))</f>
        <v/>
      </c>
    </row>
    <row r="468">
      <c r="A468" s="14" t="n">
        <v>464</v>
      </c>
      <c r="B468" s="14">
        <f>IF($H468="","",INDEX(FormData,$H468,f_Id))</f>
        <v/>
      </c>
      <c r="C468" s="15">
        <f>IF($H468="","",IFERROR(INDEX(FormData,$H468,f_Time),""))</f>
        <v/>
      </c>
      <c r="D468" s="14">
        <f>IF($H468="","",IFERROR(UPPER(LEFT(TRIM(INDEX(FormData,$H468,f_Name)),1)&amp;IFERROR(MID(TRIM(INDEX(FormData,$H468,f_Name)),FIND("^",SUBSTITUTE(TRIM(INDEX(FormData,$H468,f_Name))," ","^",LEN(TRIM(INDEX(FormData,$H468,f_Name)))-LEN(SUBSTITUTE(TRIM(INDEX(FormData,$H468,f_Name))," ",""))))+1,1),"")),""))</f>
        <v/>
      </c>
      <c r="E468" s="16">
        <f>IF($H468="","",IFERROR(INDEX(EvID,MATCH(INDEX(FormData,$H468,f_Event),EvID,0)),IFERROR(INDEX(EvID,MATCH(INDEX(FormData,$H468,f_Event),EvName,0)),IFERROR(INDEX(EvID,MATCH(INT($C468),EvDate,0)),"(no event that day)"))))</f>
        <v/>
      </c>
      <c r="F468" s="16">
        <f>IF($H468="","",IFERROR(IF(SUMPRODUCT(MAX((WhoKW&lt;&gt;"")*ISNUMBER(SEARCH(WhoKW,INDEX(FormData,$H468,f_Who)&amp;""))*(ROW(WhoKW)-MIN(ROW(WhoKW))+1)))=0,"",INDEX(WhoVal,SUMPRODUCT(MAX((WhoKW&lt;&gt;"")*ISNUMBER(SEARCH(WhoKW,INDEX(FormData,$H468,f_Who)&amp;""))*(ROW(WhoKW)-MIN(ROW(WhoKW))+1))))),""))</f>
        <v/>
      </c>
      <c r="G468" s="14">
        <f>IF($H468="","",IF(COUNTIF(People!$U$5:$U$604,$B468)+COUNTIF(People!$U$5:$U$604,$B468&amp;"")&gt;0,"✓ logged","→ add"))</f>
        <v/>
      </c>
      <c r="H468">
        <f>IFERROR(IF(INDEX(FormData,465,f_Id)&amp;""="","",465),"")</f>
        <v/>
      </c>
      <c r="I468" s="16">
        <f>IF($H468="","",IFERROR(INDEX(FormData,$H468,f_Need)&amp;"",""))</f>
        <v/>
      </c>
    </row>
    <row r="469">
      <c r="A469" s="14" t="n">
        <v>465</v>
      </c>
      <c r="B469" s="14">
        <f>IF($H469="","",INDEX(FormData,$H469,f_Id))</f>
        <v/>
      </c>
      <c r="C469" s="15">
        <f>IF($H469="","",IFERROR(INDEX(FormData,$H469,f_Time),""))</f>
        <v/>
      </c>
      <c r="D469" s="14">
        <f>IF($H469="","",IFERROR(UPPER(LEFT(TRIM(INDEX(FormData,$H469,f_Name)),1)&amp;IFERROR(MID(TRIM(INDEX(FormData,$H469,f_Name)),FIND("^",SUBSTITUTE(TRIM(INDEX(FormData,$H469,f_Name))," ","^",LEN(TRIM(INDEX(FormData,$H469,f_Name)))-LEN(SUBSTITUTE(TRIM(INDEX(FormData,$H469,f_Name))," ",""))))+1,1),"")),""))</f>
        <v/>
      </c>
      <c r="E469" s="16">
        <f>IF($H469="","",IFERROR(INDEX(EvID,MATCH(INDEX(FormData,$H469,f_Event),EvID,0)),IFERROR(INDEX(EvID,MATCH(INDEX(FormData,$H469,f_Event),EvName,0)),IFERROR(INDEX(EvID,MATCH(INT($C469),EvDate,0)),"(no event that day)"))))</f>
        <v/>
      </c>
      <c r="F469" s="16">
        <f>IF($H469="","",IFERROR(IF(SUMPRODUCT(MAX((WhoKW&lt;&gt;"")*ISNUMBER(SEARCH(WhoKW,INDEX(FormData,$H469,f_Who)&amp;""))*(ROW(WhoKW)-MIN(ROW(WhoKW))+1)))=0,"",INDEX(WhoVal,SUMPRODUCT(MAX((WhoKW&lt;&gt;"")*ISNUMBER(SEARCH(WhoKW,INDEX(FormData,$H469,f_Who)&amp;""))*(ROW(WhoKW)-MIN(ROW(WhoKW))+1))))),""))</f>
        <v/>
      </c>
      <c r="G469" s="14">
        <f>IF($H469="","",IF(COUNTIF(People!$U$5:$U$604,$B469)+COUNTIF(People!$U$5:$U$604,$B469&amp;"")&gt;0,"✓ logged","→ add"))</f>
        <v/>
      </c>
      <c r="H469">
        <f>IFERROR(IF(INDEX(FormData,466,f_Id)&amp;""="","",466),"")</f>
        <v/>
      </c>
      <c r="I469" s="16">
        <f>IF($H469="","",IFERROR(INDEX(FormData,$H469,f_Need)&amp;"",""))</f>
        <v/>
      </c>
    </row>
    <row r="470">
      <c r="A470" s="14" t="n">
        <v>466</v>
      </c>
      <c r="B470" s="14">
        <f>IF($H470="","",INDEX(FormData,$H470,f_Id))</f>
        <v/>
      </c>
      <c r="C470" s="15">
        <f>IF($H470="","",IFERROR(INDEX(FormData,$H470,f_Time),""))</f>
        <v/>
      </c>
      <c r="D470" s="14">
        <f>IF($H470="","",IFERROR(UPPER(LEFT(TRIM(INDEX(FormData,$H470,f_Name)),1)&amp;IFERROR(MID(TRIM(INDEX(FormData,$H470,f_Name)),FIND("^",SUBSTITUTE(TRIM(INDEX(FormData,$H470,f_Name))," ","^",LEN(TRIM(INDEX(FormData,$H470,f_Name)))-LEN(SUBSTITUTE(TRIM(INDEX(FormData,$H470,f_Name))," ",""))))+1,1),"")),""))</f>
        <v/>
      </c>
      <c r="E470" s="16">
        <f>IF($H470="","",IFERROR(INDEX(EvID,MATCH(INDEX(FormData,$H470,f_Event),EvID,0)),IFERROR(INDEX(EvID,MATCH(INDEX(FormData,$H470,f_Event),EvName,0)),IFERROR(INDEX(EvID,MATCH(INT($C470),EvDate,0)),"(no event that day)"))))</f>
        <v/>
      </c>
      <c r="F470" s="16">
        <f>IF($H470="","",IFERROR(IF(SUMPRODUCT(MAX((WhoKW&lt;&gt;"")*ISNUMBER(SEARCH(WhoKW,INDEX(FormData,$H470,f_Who)&amp;""))*(ROW(WhoKW)-MIN(ROW(WhoKW))+1)))=0,"",INDEX(WhoVal,SUMPRODUCT(MAX((WhoKW&lt;&gt;"")*ISNUMBER(SEARCH(WhoKW,INDEX(FormData,$H470,f_Who)&amp;""))*(ROW(WhoKW)-MIN(ROW(WhoKW))+1))))),""))</f>
        <v/>
      </c>
      <c r="G470" s="14">
        <f>IF($H470="","",IF(COUNTIF(People!$U$5:$U$604,$B470)+COUNTIF(People!$U$5:$U$604,$B470&amp;"")&gt;0,"✓ logged","→ add"))</f>
        <v/>
      </c>
      <c r="H470">
        <f>IFERROR(IF(INDEX(FormData,467,f_Id)&amp;""="","",467),"")</f>
        <v/>
      </c>
      <c r="I470" s="16">
        <f>IF($H470="","",IFERROR(INDEX(FormData,$H470,f_Need)&amp;"",""))</f>
        <v/>
      </c>
    </row>
    <row r="471">
      <c r="A471" s="14" t="n">
        <v>467</v>
      </c>
      <c r="B471" s="14">
        <f>IF($H471="","",INDEX(FormData,$H471,f_Id))</f>
        <v/>
      </c>
      <c r="C471" s="15">
        <f>IF($H471="","",IFERROR(INDEX(FormData,$H471,f_Time),""))</f>
        <v/>
      </c>
      <c r="D471" s="14">
        <f>IF($H471="","",IFERROR(UPPER(LEFT(TRIM(INDEX(FormData,$H471,f_Name)),1)&amp;IFERROR(MID(TRIM(INDEX(FormData,$H471,f_Name)),FIND("^",SUBSTITUTE(TRIM(INDEX(FormData,$H471,f_Name))," ","^",LEN(TRIM(INDEX(FormData,$H471,f_Name)))-LEN(SUBSTITUTE(TRIM(INDEX(FormData,$H471,f_Name))," ",""))))+1,1),"")),""))</f>
        <v/>
      </c>
      <c r="E471" s="16">
        <f>IF($H471="","",IFERROR(INDEX(EvID,MATCH(INDEX(FormData,$H471,f_Event),EvID,0)),IFERROR(INDEX(EvID,MATCH(INDEX(FormData,$H471,f_Event),EvName,0)),IFERROR(INDEX(EvID,MATCH(INT($C471),EvDate,0)),"(no event that day)"))))</f>
        <v/>
      </c>
      <c r="F471" s="16">
        <f>IF($H471="","",IFERROR(IF(SUMPRODUCT(MAX((WhoKW&lt;&gt;"")*ISNUMBER(SEARCH(WhoKW,INDEX(FormData,$H471,f_Who)&amp;""))*(ROW(WhoKW)-MIN(ROW(WhoKW))+1)))=0,"",INDEX(WhoVal,SUMPRODUCT(MAX((WhoKW&lt;&gt;"")*ISNUMBER(SEARCH(WhoKW,INDEX(FormData,$H471,f_Who)&amp;""))*(ROW(WhoKW)-MIN(ROW(WhoKW))+1))))),""))</f>
        <v/>
      </c>
      <c r="G471" s="14">
        <f>IF($H471="","",IF(COUNTIF(People!$U$5:$U$604,$B471)+COUNTIF(People!$U$5:$U$604,$B471&amp;"")&gt;0,"✓ logged","→ add"))</f>
        <v/>
      </c>
      <c r="H471">
        <f>IFERROR(IF(INDEX(FormData,468,f_Id)&amp;""="","",468),"")</f>
        <v/>
      </c>
      <c r="I471" s="16">
        <f>IF($H471="","",IFERROR(INDEX(FormData,$H471,f_Need)&amp;"",""))</f>
        <v/>
      </c>
    </row>
    <row r="472">
      <c r="A472" s="14" t="n">
        <v>468</v>
      </c>
      <c r="B472" s="14">
        <f>IF($H472="","",INDEX(FormData,$H472,f_Id))</f>
        <v/>
      </c>
      <c r="C472" s="15">
        <f>IF($H472="","",IFERROR(INDEX(FormData,$H472,f_Time),""))</f>
        <v/>
      </c>
      <c r="D472" s="14">
        <f>IF($H472="","",IFERROR(UPPER(LEFT(TRIM(INDEX(FormData,$H472,f_Name)),1)&amp;IFERROR(MID(TRIM(INDEX(FormData,$H472,f_Name)),FIND("^",SUBSTITUTE(TRIM(INDEX(FormData,$H472,f_Name))," ","^",LEN(TRIM(INDEX(FormData,$H472,f_Name)))-LEN(SUBSTITUTE(TRIM(INDEX(FormData,$H472,f_Name))," ",""))))+1,1),"")),""))</f>
        <v/>
      </c>
      <c r="E472" s="16">
        <f>IF($H472="","",IFERROR(INDEX(EvID,MATCH(INDEX(FormData,$H472,f_Event),EvID,0)),IFERROR(INDEX(EvID,MATCH(INDEX(FormData,$H472,f_Event),EvName,0)),IFERROR(INDEX(EvID,MATCH(INT($C472),EvDate,0)),"(no event that day)"))))</f>
        <v/>
      </c>
      <c r="F472" s="16">
        <f>IF($H472="","",IFERROR(IF(SUMPRODUCT(MAX((WhoKW&lt;&gt;"")*ISNUMBER(SEARCH(WhoKW,INDEX(FormData,$H472,f_Who)&amp;""))*(ROW(WhoKW)-MIN(ROW(WhoKW))+1)))=0,"",INDEX(WhoVal,SUMPRODUCT(MAX((WhoKW&lt;&gt;"")*ISNUMBER(SEARCH(WhoKW,INDEX(FormData,$H472,f_Who)&amp;""))*(ROW(WhoKW)-MIN(ROW(WhoKW))+1))))),""))</f>
        <v/>
      </c>
      <c r="G472" s="14">
        <f>IF($H472="","",IF(COUNTIF(People!$U$5:$U$604,$B472)+COUNTIF(People!$U$5:$U$604,$B472&amp;"")&gt;0,"✓ logged","→ add"))</f>
        <v/>
      </c>
      <c r="H472">
        <f>IFERROR(IF(INDEX(FormData,469,f_Id)&amp;""="","",469),"")</f>
        <v/>
      </c>
      <c r="I472" s="16">
        <f>IF($H472="","",IFERROR(INDEX(FormData,$H472,f_Need)&amp;"",""))</f>
        <v/>
      </c>
    </row>
    <row r="473">
      <c r="A473" s="14" t="n">
        <v>469</v>
      </c>
      <c r="B473" s="14">
        <f>IF($H473="","",INDEX(FormData,$H473,f_Id))</f>
        <v/>
      </c>
      <c r="C473" s="15">
        <f>IF($H473="","",IFERROR(INDEX(FormData,$H473,f_Time),""))</f>
        <v/>
      </c>
      <c r="D473" s="14">
        <f>IF($H473="","",IFERROR(UPPER(LEFT(TRIM(INDEX(FormData,$H473,f_Name)),1)&amp;IFERROR(MID(TRIM(INDEX(FormData,$H473,f_Name)),FIND("^",SUBSTITUTE(TRIM(INDEX(FormData,$H473,f_Name))," ","^",LEN(TRIM(INDEX(FormData,$H473,f_Name)))-LEN(SUBSTITUTE(TRIM(INDEX(FormData,$H473,f_Name))," ",""))))+1,1),"")),""))</f>
        <v/>
      </c>
      <c r="E473" s="16">
        <f>IF($H473="","",IFERROR(INDEX(EvID,MATCH(INDEX(FormData,$H473,f_Event),EvID,0)),IFERROR(INDEX(EvID,MATCH(INDEX(FormData,$H473,f_Event),EvName,0)),IFERROR(INDEX(EvID,MATCH(INT($C473),EvDate,0)),"(no event that day)"))))</f>
        <v/>
      </c>
      <c r="F473" s="16">
        <f>IF($H473="","",IFERROR(IF(SUMPRODUCT(MAX((WhoKW&lt;&gt;"")*ISNUMBER(SEARCH(WhoKW,INDEX(FormData,$H473,f_Who)&amp;""))*(ROW(WhoKW)-MIN(ROW(WhoKW))+1)))=0,"",INDEX(WhoVal,SUMPRODUCT(MAX((WhoKW&lt;&gt;"")*ISNUMBER(SEARCH(WhoKW,INDEX(FormData,$H473,f_Who)&amp;""))*(ROW(WhoKW)-MIN(ROW(WhoKW))+1))))),""))</f>
        <v/>
      </c>
      <c r="G473" s="14">
        <f>IF($H473="","",IF(COUNTIF(People!$U$5:$U$604,$B473)+COUNTIF(People!$U$5:$U$604,$B473&amp;"")&gt;0,"✓ logged","→ add"))</f>
        <v/>
      </c>
      <c r="H473">
        <f>IFERROR(IF(INDEX(FormData,470,f_Id)&amp;""="","",470),"")</f>
        <v/>
      </c>
      <c r="I473" s="16">
        <f>IF($H473="","",IFERROR(INDEX(FormData,$H473,f_Need)&amp;"",""))</f>
        <v/>
      </c>
    </row>
    <row r="474">
      <c r="A474" s="14" t="n">
        <v>470</v>
      </c>
      <c r="B474" s="14">
        <f>IF($H474="","",INDEX(FormData,$H474,f_Id))</f>
        <v/>
      </c>
      <c r="C474" s="15">
        <f>IF($H474="","",IFERROR(INDEX(FormData,$H474,f_Time),""))</f>
        <v/>
      </c>
      <c r="D474" s="14">
        <f>IF($H474="","",IFERROR(UPPER(LEFT(TRIM(INDEX(FormData,$H474,f_Name)),1)&amp;IFERROR(MID(TRIM(INDEX(FormData,$H474,f_Name)),FIND("^",SUBSTITUTE(TRIM(INDEX(FormData,$H474,f_Name))," ","^",LEN(TRIM(INDEX(FormData,$H474,f_Name)))-LEN(SUBSTITUTE(TRIM(INDEX(FormData,$H474,f_Name))," ",""))))+1,1),"")),""))</f>
        <v/>
      </c>
      <c r="E474" s="16">
        <f>IF($H474="","",IFERROR(INDEX(EvID,MATCH(INDEX(FormData,$H474,f_Event),EvID,0)),IFERROR(INDEX(EvID,MATCH(INDEX(FormData,$H474,f_Event),EvName,0)),IFERROR(INDEX(EvID,MATCH(INT($C474),EvDate,0)),"(no event that day)"))))</f>
        <v/>
      </c>
      <c r="F474" s="16">
        <f>IF($H474="","",IFERROR(IF(SUMPRODUCT(MAX((WhoKW&lt;&gt;"")*ISNUMBER(SEARCH(WhoKW,INDEX(FormData,$H474,f_Who)&amp;""))*(ROW(WhoKW)-MIN(ROW(WhoKW))+1)))=0,"",INDEX(WhoVal,SUMPRODUCT(MAX((WhoKW&lt;&gt;"")*ISNUMBER(SEARCH(WhoKW,INDEX(FormData,$H474,f_Who)&amp;""))*(ROW(WhoKW)-MIN(ROW(WhoKW))+1))))),""))</f>
        <v/>
      </c>
      <c r="G474" s="14">
        <f>IF($H474="","",IF(COUNTIF(People!$U$5:$U$604,$B474)+COUNTIF(People!$U$5:$U$604,$B474&amp;"")&gt;0,"✓ logged","→ add"))</f>
        <v/>
      </c>
      <c r="H474">
        <f>IFERROR(IF(INDEX(FormData,471,f_Id)&amp;""="","",471),"")</f>
        <v/>
      </c>
      <c r="I474" s="16">
        <f>IF($H474="","",IFERROR(INDEX(FormData,$H474,f_Need)&amp;"",""))</f>
        <v/>
      </c>
    </row>
    <row r="475">
      <c r="A475" s="14" t="n">
        <v>471</v>
      </c>
      <c r="B475" s="14">
        <f>IF($H475="","",INDEX(FormData,$H475,f_Id))</f>
        <v/>
      </c>
      <c r="C475" s="15">
        <f>IF($H475="","",IFERROR(INDEX(FormData,$H475,f_Time),""))</f>
        <v/>
      </c>
      <c r="D475" s="14">
        <f>IF($H475="","",IFERROR(UPPER(LEFT(TRIM(INDEX(FormData,$H475,f_Name)),1)&amp;IFERROR(MID(TRIM(INDEX(FormData,$H475,f_Name)),FIND("^",SUBSTITUTE(TRIM(INDEX(FormData,$H475,f_Name))," ","^",LEN(TRIM(INDEX(FormData,$H475,f_Name)))-LEN(SUBSTITUTE(TRIM(INDEX(FormData,$H475,f_Name))," ",""))))+1,1),"")),""))</f>
        <v/>
      </c>
      <c r="E475" s="16">
        <f>IF($H475="","",IFERROR(INDEX(EvID,MATCH(INDEX(FormData,$H475,f_Event),EvID,0)),IFERROR(INDEX(EvID,MATCH(INDEX(FormData,$H475,f_Event),EvName,0)),IFERROR(INDEX(EvID,MATCH(INT($C475),EvDate,0)),"(no event that day)"))))</f>
        <v/>
      </c>
      <c r="F475" s="16">
        <f>IF($H475="","",IFERROR(IF(SUMPRODUCT(MAX((WhoKW&lt;&gt;"")*ISNUMBER(SEARCH(WhoKW,INDEX(FormData,$H475,f_Who)&amp;""))*(ROW(WhoKW)-MIN(ROW(WhoKW))+1)))=0,"",INDEX(WhoVal,SUMPRODUCT(MAX((WhoKW&lt;&gt;"")*ISNUMBER(SEARCH(WhoKW,INDEX(FormData,$H475,f_Who)&amp;""))*(ROW(WhoKW)-MIN(ROW(WhoKW))+1))))),""))</f>
        <v/>
      </c>
      <c r="G475" s="14">
        <f>IF($H475="","",IF(COUNTIF(People!$U$5:$U$604,$B475)+COUNTIF(People!$U$5:$U$604,$B475&amp;"")&gt;0,"✓ logged","→ add"))</f>
        <v/>
      </c>
      <c r="H475">
        <f>IFERROR(IF(INDEX(FormData,472,f_Id)&amp;""="","",472),"")</f>
        <v/>
      </c>
      <c r="I475" s="16">
        <f>IF($H475="","",IFERROR(INDEX(FormData,$H475,f_Need)&amp;"",""))</f>
        <v/>
      </c>
    </row>
    <row r="476">
      <c r="A476" s="14" t="n">
        <v>472</v>
      </c>
      <c r="B476" s="14">
        <f>IF($H476="","",INDEX(FormData,$H476,f_Id))</f>
        <v/>
      </c>
      <c r="C476" s="15">
        <f>IF($H476="","",IFERROR(INDEX(FormData,$H476,f_Time),""))</f>
        <v/>
      </c>
      <c r="D476" s="14">
        <f>IF($H476="","",IFERROR(UPPER(LEFT(TRIM(INDEX(FormData,$H476,f_Name)),1)&amp;IFERROR(MID(TRIM(INDEX(FormData,$H476,f_Name)),FIND("^",SUBSTITUTE(TRIM(INDEX(FormData,$H476,f_Name))," ","^",LEN(TRIM(INDEX(FormData,$H476,f_Name)))-LEN(SUBSTITUTE(TRIM(INDEX(FormData,$H476,f_Name))," ",""))))+1,1),"")),""))</f>
        <v/>
      </c>
      <c r="E476" s="16">
        <f>IF($H476="","",IFERROR(INDEX(EvID,MATCH(INDEX(FormData,$H476,f_Event),EvID,0)),IFERROR(INDEX(EvID,MATCH(INDEX(FormData,$H476,f_Event),EvName,0)),IFERROR(INDEX(EvID,MATCH(INT($C476),EvDate,0)),"(no event that day)"))))</f>
        <v/>
      </c>
      <c r="F476" s="16">
        <f>IF($H476="","",IFERROR(IF(SUMPRODUCT(MAX((WhoKW&lt;&gt;"")*ISNUMBER(SEARCH(WhoKW,INDEX(FormData,$H476,f_Who)&amp;""))*(ROW(WhoKW)-MIN(ROW(WhoKW))+1)))=0,"",INDEX(WhoVal,SUMPRODUCT(MAX((WhoKW&lt;&gt;"")*ISNUMBER(SEARCH(WhoKW,INDEX(FormData,$H476,f_Who)&amp;""))*(ROW(WhoKW)-MIN(ROW(WhoKW))+1))))),""))</f>
        <v/>
      </c>
      <c r="G476" s="14">
        <f>IF($H476="","",IF(COUNTIF(People!$U$5:$U$604,$B476)+COUNTIF(People!$U$5:$U$604,$B476&amp;"")&gt;0,"✓ logged","→ add"))</f>
        <v/>
      </c>
      <c r="H476">
        <f>IFERROR(IF(INDEX(FormData,473,f_Id)&amp;""="","",473),"")</f>
        <v/>
      </c>
      <c r="I476" s="16">
        <f>IF($H476="","",IFERROR(INDEX(FormData,$H476,f_Need)&amp;"",""))</f>
        <v/>
      </c>
    </row>
    <row r="477">
      <c r="A477" s="14" t="n">
        <v>473</v>
      </c>
      <c r="B477" s="14">
        <f>IF($H477="","",INDEX(FormData,$H477,f_Id))</f>
        <v/>
      </c>
      <c r="C477" s="15">
        <f>IF($H477="","",IFERROR(INDEX(FormData,$H477,f_Time),""))</f>
        <v/>
      </c>
      <c r="D477" s="14">
        <f>IF($H477="","",IFERROR(UPPER(LEFT(TRIM(INDEX(FormData,$H477,f_Name)),1)&amp;IFERROR(MID(TRIM(INDEX(FormData,$H477,f_Name)),FIND("^",SUBSTITUTE(TRIM(INDEX(FormData,$H477,f_Name))," ","^",LEN(TRIM(INDEX(FormData,$H477,f_Name)))-LEN(SUBSTITUTE(TRIM(INDEX(FormData,$H477,f_Name))," ",""))))+1,1),"")),""))</f>
        <v/>
      </c>
      <c r="E477" s="16">
        <f>IF($H477="","",IFERROR(INDEX(EvID,MATCH(INDEX(FormData,$H477,f_Event),EvID,0)),IFERROR(INDEX(EvID,MATCH(INDEX(FormData,$H477,f_Event),EvName,0)),IFERROR(INDEX(EvID,MATCH(INT($C477),EvDate,0)),"(no event that day)"))))</f>
        <v/>
      </c>
      <c r="F477" s="16">
        <f>IF($H477="","",IFERROR(IF(SUMPRODUCT(MAX((WhoKW&lt;&gt;"")*ISNUMBER(SEARCH(WhoKW,INDEX(FormData,$H477,f_Who)&amp;""))*(ROW(WhoKW)-MIN(ROW(WhoKW))+1)))=0,"",INDEX(WhoVal,SUMPRODUCT(MAX((WhoKW&lt;&gt;"")*ISNUMBER(SEARCH(WhoKW,INDEX(FormData,$H477,f_Who)&amp;""))*(ROW(WhoKW)-MIN(ROW(WhoKW))+1))))),""))</f>
        <v/>
      </c>
      <c r="G477" s="14">
        <f>IF($H477="","",IF(COUNTIF(People!$U$5:$U$604,$B477)+COUNTIF(People!$U$5:$U$604,$B477&amp;"")&gt;0,"✓ logged","→ add"))</f>
        <v/>
      </c>
      <c r="H477">
        <f>IFERROR(IF(INDEX(FormData,474,f_Id)&amp;""="","",474),"")</f>
        <v/>
      </c>
      <c r="I477" s="16">
        <f>IF($H477="","",IFERROR(INDEX(FormData,$H477,f_Need)&amp;"",""))</f>
        <v/>
      </c>
    </row>
    <row r="478">
      <c r="A478" s="14" t="n">
        <v>474</v>
      </c>
      <c r="B478" s="14">
        <f>IF($H478="","",INDEX(FormData,$H478,f_Id))</f>
        <v/>
      </c>
      <c r="C478" s="15">
        <f>IF($H478="","",IFERROR(INDEX(FormData,$H478,f_Time),""))</f>
        <v/>
      </c>
      <c r="D478" s="14">
        <f>IF($H478="","",IFERROR(UPPER(LEFT(TRIM(INDEX(FormData,$H478,f_Name)),1)&amp;IFERROR(MID(TRIM(INDEX(FormData,$H478,f_Name)),FIND("^",SUBSTITUTE(TRIM(INDEX(FormData,$H478,f_Name))," ","^",LEN(TRIM(INDEX(FormData,$H478,f_Name)))-LEN(SUBSTITUTE(TRIM(INDEX(FormData,$H478,f_Name))," ",""))))+1,1),"")),""))</f>
        <v/>
      </c>
      <c r="E478" s="16">
        <f>IF($H478="","",IFERROR(INDEX(EvID,MATCH(INDEX(FormData,$H478,f_Event),EvID,0)),IFERROR(INDEX(EvID,MATCH(INDEX(FormData,$H478,f_Event),EvName,0)),IFERROR(INDEX(EvID,MATCH(INT($C478),EvDate,0)),"(no event that day)"))))</f>
        <v/>
      </c>
      <c r="F478" s="16">
        <f>IF($H478="","",IFERROR(IF(SUMPRODUCT(MAX((WhoKW&lt;&gt;"")*ISNUMBER(SEARCH(WhoKW,INDEX(FormData,$H478,f_Who)&amp;""))*(ROW(WhoKW)-MIN(ROW(WhoKW))+1)))=0,"",INDEX(WhoVal,SUMPRODUCT(MAX((WhoKW&lt;&gt;"")*ISNUMBER(SEARCH(WhoKW,INDEX(FormData,$H478,f_Who)&amp;""))*(ROW(WhoKW)-MIN(ROW(WhoKW))+1))))),""))</f>
        <v/>
      </c>
      <c r="G478" s="14">
        <f>IF($H478="","",IF(COUNTIF(People!$U$5:$U$604,$B478)+COUNTIF(People!$U$5:$U$604,$B478&amp;"")&gt;0,"✓ logged","→ add"))</f>
        <v/>
      </c>
      <c r="H478">
        <f>IFERROR(IF(INDEX(FormData,475,f_Id)&amp;""="","",475),"")</f>
        <v/>
      </c>
      <c r="I478" s="16">
        <f>IF($H478="","",IFERROR(INDEX(FormData,$H478,f_Need)&amp;"",""))</f>
        <v/>
      </c>
    </row>
    <row r="479">
      <c r="A479" s="14" t="n">
        <v>475</v>
      </c>
      <c r="B479" s="14">
        <f>IF($H479="","",INDEX(FormData,$H479,f_Id))</f>
        <v/>
      </c>
      <c r="C479" s="15">
        <f>IF($H479="","",IFERROR(INDEX(FormData,$H479,f_Time),""))</f>
        <v/>
      </c>
      <c r="D479" s="14">
        <f>IF($H479="","",IFERROR(UPPER(LEFT(TRIM(INDEX(FormData,$H479,f_Name)),1)&amp;IFERROR(MID(TRIM(INDEX(FormData,$H479,f_Name)),FIND("^",SUBSTITUTE(TRIM(INDEX(FormData,$H479,f_Name))," ","^",LEN(TRIM(INDEX(FormData,$H479,f_Name)))-LEN(SUBSTITUTE(TRIM(INDEX(FormData,$H479,f_Name))," ",""))))+1,1),"")),""))</f>
        <v/>
      </c>
      <c r="E479" s="16">
        <f>IF($H479="","",IFERROR(INDEX(EvID,MATCH(INDEX(FormData,$H479,f_Event),EvID,0)),IFERROR(INDEX(EvID,MATCH(INDEX(FormData,$H479,f_Event),EvName,0)),IFERROR(INDEX(EvID,MATCH(INT($C479),EvDate,0)),"(no event that day)"))))</f>
        <v/>
      </c>
      <c r="F479" s="16">
        <f>IF($H479="","",IFERROR(IF(SUMPRODUCT(MAX((WhoKW&lt;&gt;"")*ISNUMBER(SEARCH(WhoKW,INDEX(FormData,$H479,f_Who)&amp;""))*(ROW(WhoKW)-MIN(ROW(WhoKW))+1)))=0,"",INDEX(WhoVal,SUMPRODUCT(MAX((WhoKW&lt;&gt;"")*ISNUMBER(SEARCH(WhoKW,INDEX(FormData,$H479,f_Who)&amp;""))*(ROW(WhoKW)-MIN(ROW(WhoKW))+1))))),""))</f>
        <v/>
      </c>
      <c r="G479" s="14">
        <f>IF($H479="","",IF(COUNTIF(People!$U$5:$U$604,$B479)+COUNTIF(People!$U$5:$U$604,$B479&amp;"")&gt;0,"✓ logged","→ add"))</f>
        <v/>
      </c>
      <c r="H479">
        <f>IFERROR(IF(INDEX(FormData,476,f_Id)&amp;""="","",476),"")</f>
        <v/>
      </c>
      <c r="I479" s="16">
        <f>IF($H479="","",IFERROR(INDEX(FormData,$H479,f_Need)&amp;"",""))</f>
        <v/>
      </c>
    </row>
    <row r="480">
      <c r="A480" s="14" t="n">
        <v>476</v>
      </c>
      <c r="B480" s="14">
        <f>IF($H480="","",INDEX(FormData,$H480,f_Id))</f>
        <v/>
      </c>
      <c r="C480" s="15">
        <f>IF($H480="","",IFERROR(INDEX(FormData,$H480,f_Time),""))</f>
        <v/>
      </c>
      <c r="D480" s="14">
        <f>IF($H480="","",IFERROR(UPPER(LEFT(TRIM(INDEX(FormData,$H480,f_Name)),1)&amp;IFERROR(MID(TRIM(INDEX(FormData,$H480,f_Name)),FIND("^",SUBSTITUTE(TRIM(INDEX(FormData,$H480,f_Name))," ","^",LEN(TRIM(INDEX(FormData,$H480,f_Name)))-LEN(SUBSTITUTE(TRIM(INDEX(FormData,$H480,f_Name))," ",""))))+1,1),"")),""))</f>
        <v/>
      </c>
      <c r="E480" s="16">
        <f>IF($H480="","",IFERROR(INDEX(EvID,MATCH(INDEX(FormData,$H480,f_Event),EvID,0)),IFERROR(INDEX(EvID,MATCH(INDEX(FormData,$H480,f_Event),EvName,0)),IFERROR(INDEX(EvID,MATCH(INT($C480),EvDate,0)),"(no event that day)"))))</f>
        <v/>
      </c>
      <c r="F480" s="16">
        <f>IF($H480="","",IFERROR(IF(SUMPRODUCT(MAX((WhoKW&lt;&gt;"")*ISNUMBER(SEARCH(WhoKW,INDEX(FormData,$H480,f_Who)&amp;""))*(ROW(WhoKW)-MIN(ROW(WhoKW))+1)))=0,"",INDEX(WhoVal,SUMPRODUCT(MAX((WhoKW&lt;&gt;"")*ISNUMBER(SEARCH(WhoKW,INDEX(FormData,$H480,f_Who)&amp;""))*(ROW(WhoKW)-MIN(ROW(WhoKW))+1))))),""))</f>
        <v/>
      </c>
      <c r="G480" s="14">
        <f>IF($H480="","",IF(COUNTIF(People!$U$5:$U$604,$B480)+COUNTIF(People!$U$5:$U$604,$B480&amp;"")&gt;0,"✓ logged","→ add"))</f>
        <v/>
      </c>
      <c r="H480">
        <f>IFERROR(IF(INDEX(FormData,477,f_Id)&amp;""="","",477),"")</f>
        <v/>
      </c>
      <c r="I480" s="16">
        <f>IF($H480="","",IFERROR(INDEX(FormData,$H480,f_Need)&amp;"",""))</f>
        <v/>
      </c>
    </row>
    <row r="481">
      <c r="A481" s="14" t="n">
        <v>477</v>
      </c>
      <c r="B481" s="14">
        <f>IF($H481="","",INDEX(FormData,$H481,f_Id))</f>
        <v/>
      </c>
      <c r="C481" s="15">
        <f>IF($H481="","",IFERROR(INDEX(FormData,$H481,f_Time),""))</f>
        <v/>
      </c>
      <c r="D481" s="14">
        <f>IF($H481="","",IFERROR(UPPER(LEFT(TRIM(INDEX(FormData,$H481,f_Name)),1)&amp;IFERROR(MID(TRIM(INDEX(FormData,$H481,f_Name)),FIND("^",SUBSTITUTE(TRIM(INDEX(FormData,$H481,f_Name))," ","^",LEN(TRIM(INDEX(FormData,$H481,f_Name)))-LEN(SUBSTITUTE(TRIM(INDEX(FormData,$H481,f_Name))," ",""))))+1,1),"")),""))</f>
        <v/>
      </c>
      <c r="E481" s="16">
        <f>IF($H481="","",IFERROR(INDEX(EvID,MATCH(INDEX(FormData,$H481,f_Event),EvID,0)),IFERROR(INDEX(EvID,MATCH(INDEX(FormData,$H481,f_Event),EvName,0)),IFERROR(INDEX(EvID,MATCH(INT($C481),EvDate,0)),"(no event that day)"))))</f>
        <v/>
      </c>
      <c r="F481" s="16">
        <f>IF($H481="","",IFERROR(IF(SUMPRODUCT(MAX((WhoKW&lt;&gt;"")*ISNUMBER(SEARCH(WhoKW,INDEX(FormData,$H481,f_Who)&amp;""))*(ROW(WhoKW)-MIN(ROW(WhoKW))+1)))=0,"",INDEX(WhoVal,SUMPRODUCT(MAX((WhoKW&lt;&gt;"")*ISNUMBER(SEARCH(WhoKW,INDEX(FormData,$H481,f_Who)&amp;""))*(ROW(WhoKW)-MIN(ROW(WhoKW))+1))))),""))</f>
        <v/>
      </c>
      <c r="G481" s="14">
        <f>IF($H481="","",IF(COUNTIF(People!$U$5:$U$604,$B481)+COUNTIF(People!$U$5:$U$604,$B481&amp;"")&gt;0,"✓ logged","→ add"))</f>
        <v/>
      </c>
      <c r="H481">
        <f>IFERROR(IF(INDEX(FormData,478,f_Id)&amp;""="","",478),"")</f>
        <v/>
      </c>
      <c r="I481" s="16">
        <f>IF($H481="","",IFERROR(INDEX(FormData,$H481,f_Need)&amp;"",""))</f>
        <v/>
      </c>
    </row>
    <row r="482">
      <c r="A482" s="14" t="n">
        <v>478</v>
      </c>
      <c r="B482" s="14">
        <f>IF($H482="","",INDEX(FormData,$H482,f_Id))</f>
        <v/>
      </c>
      <c r="C482" s="15">
        <f>IF($H482="","",IFERROR(INDEX(FormData,$H482,f_Time),""))</f>
        <v/>
      </c>
      <c r="D482" s="14">
        <f>IF($H482="","",IFERROR(UPPER(LEFT(TRIM(INDEX(FormData,$H482,f_Name)),1)&amp;IFERROR(MID(TRIM(INDEX(FormData,$H482,f_Name)),FIND("^",SUBSTITUTE(TRIM(INDEX(FormData,$H482,f_Name))," ","^",LEN(TRIM(INDEX(FormData,$H482,f_Name)))-LEN(SUBSTITUTE(TRIM(INDEX(FormData,$H482,f_Name))," ",""))))+1,1),"")),""))</f>
        <v/>
      </c>
      <c r="E482" s="16">
        <f>IF($H482="","",IFERROR(INDEX(EvID,MATCH(INDEX(FormData,$H482,f_Event),EvID,0)),IFERROR(INDEX(EvID,MATCH(INDEX(FormData,$H482,f_Event),EvName,0)),IFERROR(INDEX(EvID,MATCH(INT($C482),EvDate,0)),"(no event that day)"))))</f>
        <v/>
      </c>
      <c r="F482" s="16">
        <f>IF($H482="","",IFERROR(IF(SUMPRODUCT(MAX((WhoKW&lt;&gt;"")*ISNUMBER(SEARCH(WhoKW,INDEX(FormData,$H482,f_Who)&amp;""))*(ROW(WhoKW)-MIN(ROW(WhoKW))+1)))=0,"",INDEX(WhoVal,SUMPRODUCT(MAX((WhoKW&lt;&gt;"")*ISNUMBER(SEARCH(WhoKW,INDEX(FormData,$H482,f_Who)&amp;""))*(ROW(WhoKW)-MIN(ROW(WhoKW))+1))))),""))</f>
        <v/>
      </c>
      <c r="G482" s="14">
        <f>IF($H482="","",IF(COUNTIF(People!$U$5:$U$604,$B482)+COUNTIF(People!$U$5:$U$604,$B482&amp;"")&gt;0,"✓ logged","→ add"))</f>
        <v/>
      </c>
      <c r="H482">
        <f>IFERROR(IF(INDEX(FormData,479,f_Id)&amp;""="","",479),"")</f>
        <v/>
      </c>
      <c r="I482" s="16">
        <f>IF($H482="","",IFERROR(INDEX(FormData,$H482,f_Need)&amp;"",""))</f>
        <v/>
      </c>
    </row>
    <row r="483">
      <c r="A483" s="14" t="n">
        <v>479</v>
      </c>
      <c r="B483" s="14">
        <f>IF($H483="","",INDEX(FormData,$H483,f_Id))</f>
        <v/>
      </c>
      <c r="C483" s="15">
        <f>IF($H483="","",IFERROR(INDEX(FormData,$H483,f_Time),""))</f>
        <v/>
      </c>
      <c r="D483" s="14">
        <f>IF($H483="","",IFERROR(UPPER(LEFT(TRIM(INDEX(FormData,$H483,f_Name)),1)&amp;IFERROR(MID(TRIM(INDEX(FormData,$H483,f_Name)),FIND("^",SUBSTITUTE(TRIM(INDEX(FormData,$H483,f_Name))," ","^",LEN(TRIM(INDEX(FormData,$H483,f_Name)))-LEN(SUBSTITUTE(TRIM(INDEX(FormData,$H483,f_Name))," ",""))))+1,1),"")),""))</f>
        <v/>
      </c>
      <c r="E483" s="16">
        <f>IF($H483="","",IFERROR(INDEX(EvID,MATCH(INDEX(FormData,$H483,f_Event),EvID,0)),IFERROR(INDEX(EvID,MATCH(INDEX(FormData,$H483,f_Event),EvName,0)),IFERROR(INDEX(EvID,MATCH(INT($C483),EvDate,0)),"(no event that day)"))))</f>
        <v/>
      </c>
      <c r="F483" s="16">
        <f>IF($H483="","",IFERROR(IF(SUMPRODUCT(MAX((WhoKW&lt;&gt;"")*ISNUMBER(SEARCH(WhoKW,INDEX(FormData,$H483,f_Who)&amp;""))*(ROW(WhoKW)-MIN(ROW(WhoKW))+1)))=0,"",INDEX(WhoVal,SUMPRODUCT(MAX((WhoKW&lt;&gt;"")*ISNUMBER(SEARCH(WhoKW,INDEX(FormData,$H483,f_Who)&amp;""))*(ROW(WhoKW)-MIN(ROW(WhoKW))+1))))),""))</f>
        <v/>
      </c>
      <c r="G483" s="14">
        <f>IF($H483="","",IF(COUNTIF(People!$U$5:$U$604,$B483)+COUNTIF(People!$U$5:$U$604,$B483&amp;"")&gt;0,"✓ logged","→ add"))</f>
        <v/>
      </c>
      <c r="H483">
        <f>IFERROR(IF(INDEX(FormData,480,f_Id)&amp;""="","",480),"")</f>
        <v/>
      </c>
      <c r="I483" s="16">
        <f>IF($H483="","",IFERROR(INDEX(FormData,$H483,f_Need)&amp;"",""))</f>
        <v/>
      </c>
    </row>
    <row r="484">
      <c r="A484" s="14" t="n">
        <v>480</v>
      </c>
      <c r="B484" s="14">
        <f>IF($H484="","",INDEX(FormData,$H484,f_Id))</f>
        <v/>
      </c>
      <c r="C484" s="15">
        <f>IF($H484="","",IFERROR(INDEX(FormData,$H484,f_Time),""))</f>
        <v/>
      </c>
      <c r="D484" s="14">
        <f>IF($H484="","",IFERROR(UPPER(LEFT(TRIM(INDEX(FormData,$H484,f_Name)),1)&amp;IFERROR(MID(TRIM(INDEX(FormData,$H484,f_Name)),FIND("^",SUBSTITUTE(TRIM(INDEX(FormData,$H484,f_Name))," ","^",LEN(TRIM(INDEX(FormData,$H484,f_Name)))-LEN(SUBSTITUTE(TRIM(INDEX(FormData,$H484,f_Name))," ",""))))+1,1),"")),""))</f>
        <v/>
      </c>
      <c r="E484" s="16">
        <f>IF($H484="","",IFERROR(INDEX(EvID,MATCH(INDEX(FormData,$H484,f_Event),EvID,0)),IFERROR(INDEX(EvID,MATCH(INDEX(FormData,$H484,f_Event),EvName,0)),IFERROR(INDEX(EvID,MATCH(INT($C484),EvDate,0)),"(no event that day)"))))</f>
        <v/>
      </c>
      <c r="F484" s="16">
        <f>IF($H484="","",IFERROR(IF(SUMPRODUCT(MAX((WhoKW&lt;&gt;"")*ISNUMBER(SEARCH(WhoKW,INDEX(FormData,$H484,f_Who)&amp;""))*(ROW(WhoKW)-MIN(ROW(WhoKW))+1)))=0,"",INDEX(WhoVal,SUMPRODUCT(MAX((WhoKW&lt;&gt;"")*ISNUMBER(SEARCH(WhoKW,INDEX(FormData,$H484,f_Who)&amp;""))*(ROW(WhoKW)-MIN(ROW(WhoKW))+1))))),""))</f>
        <v/>
      </c>
      <c r="G484" s="14">
        <f>IF($H484="","",IF(COUNTIF(People!$U$5:$U$604,$B484)+COUNTIF(People!$U$5:$U$604,$B484&amp;"")&gt;0,"✓ logged","→ add"))</f>
        <v/>
      </c>
      <c r="H484">
        <f>IFERROR(IF(INDEX(FormData,481,f_Id)&amp;""="","",481),"")</f>
        <v/>
      </c>
      <c r="I484" s="16">
        <f>IF($H484="","",IFERROR(INDEX(FormData,$H484,f_Need)&amp;"",""))</f>
        <v/>
      </c>
    </row>
    <row r="485">
      <c r="A485" s="14" t="n">
        <v>481</v>
      </c>
      <c r="B485" s="14">
        <f>IF($H485="","",INDEX(FormData,$H485,f_Id))</f>
        <v/>
      </c>
      <c r="C485" s="15">
        <f>IF($H485="","",IFERROR(INDEX(FormData,$H485,f_Time),""))</f>
        <v/>
      </c>
      <c r="D485" s="14">
        <f>IF($H485="","",IFERROR(UPPER(LEFT(TRIM(INDEX(FormData,$H485,f_Name)),1)&amp;IFERROR(MID(TRIM(INDEX(FormData,$H485,f_Name)),FIND("^",SUBSTITUTE(TRIM(INDEX(FormData,$H485,f_Name))," ","^",LEN(TRIM(INDEX(FormData,$H485,f_Name)))-LEN(SUBSTITUTE(TRIM(INDEX(FormData,$H485,f_Name))," ",""))))+1,1),"")),""))</f>
        <v/>
      </c>
      <c r="E485" s="16">
        <f>IF($H485="","",IFERROR(INDEX(EvID,MATCH(INDEX(FormData,$H485,f_Event),EvID,0)),IFERROR(INDEX(EvID,MATCH(INDEX(FormData,$H485,f_Event),EvName,0)),IFERROR(INDEX(EvID,MATCH(INT($C485),EvDate,0)),"(no event that day)"))))</f>
        <v/>
      </c>
      <c r="F485" s="16">
        <f>IF($H485="","",IFERROR(IF(SUMPRODUCT(MAX((WhoKW&lt;&gt;"")*ISNUMBER(SEARCH(WhoKW,INDEX(FormData,$H485,f_Who)&amp;""))*(ROW(WhoKW)-MIN(ROW(WhoKW))+1)))=0,"",INDEX(WhoVal,SUMPRODUCT(MAX((WhoKW&lt;&gt;"")*ISNUMBER(SEARCH(WhoKW,INDEX(FormData,$H485,f_Who)&amp;""))*(ROW(WhoKW)-MIN(ROW(WhoKW))+1))))),""))</f>
        <v/>
      </c>
      <c r="G485" s="14">
        <f>IF($H485="","",IF(COUNTIF(People!$U$5:$U$604,$B485)+COUNTIF(People!$U$5:$U$604,$B485&amp;"")&gt;0,"✓ logged","→ add"))</f>
        <v/>
      </c>
      <c r="H485">
        <f>IFERROR(IF(INDEX(FormData,482,f_Id)&amp;""="","",482),"")</f>
        <v/>
      </c>
      <c r="I485" s="16">
        <f>IF($H485="","",IFERROR(INDEX(FormData,$H485,f_Need)&amp;"",""))</f>
        <v/>
      </c>
    </row>
    <row r="486">
      <c r="A486" s="14" t="n">
        <v>482</v>
      </c>
      <c r="B486" s="14">
        <f>IF($H486="","",INDEX(FormData,$H486,f_Id))</f>
        <v/>
      </c>
      <c r="C486" s="15">
        <f>IF($H486="","",IFERROR(INDEX(FormData,$H486,f_Time),""))</f>
        <v/>
      </c>
      <c r="D486" s="14">
        <f>IF($H486="","",IFERROR(UPPER(LEFT(TRIM(INDEX(FormData,$H486,f_Name)),1)&amp;IFERROR(MID(TRIM(INDEX(FormData,$H486,f_Name)),FIND("^",SUBSTITUTE(TRIM(INDEX(FormData,$H486,f_Name))," ","^",LEN(TRIM(INDEX(FormData,$H486,f_Name)))-LEN(SUBSTITUTE(TRIM(INDEX(FormData,$H486,f_Name))," ",""))))+1,1),"")),""))</f>
        <v/>
      </c>
      <c r="E486" s="16">
        <f>IF($H486="","",IFERROR(INDEX(EvID,MATCH(INDEX(FormData,$H486,f_Event),EvID,0)),IFERROR(INDEX(EvID,MATCH(INDEX(FormData,$H486,f_Event),EvName,0)),IFERROR(INDEX(EvID,MATCH(INT($C486),EvDate,0)),"(no event that day)"))))</f>
        <v/>
      </c>
      <c r="F486" s="16">
        <f>IF($H486="","",IFERROR(IF(SUMPRODUCT(MAX((WhoKW&lt;&gt;"")*ISNUMBER(SEARCH(WhoKW,INDEX(FormData,$H486,f_Who)&amp;""))*(ROW(WhoKW)-MIN(ROW(WhoKW))+1)))=0,"",INDEX(WhoVal,SUMPRODUCT(MAX((WhoKW&lt;&gt;"")*ISNUMBER(SEARCH(WhoKW,INDEX(FormData,$H486,f_Who)&amp;""))*(ROW(WhoKW)-MIN(ROW(WhoKW))+1))))),""))</f>
        <v/>
      </c>
      <c r="G486" s="14">
        <f>IF($H486="","",IF(COUNTIF(People!$U$5:$U$604,$B486)+COUNTIF(People!$U$5:$U$604,$B486&amp;"")&gt;0,"✓ logged","→ add"))</f>
        <v/>
      </c>
      <c r="H486">
        <f>IFERROR(IF(INDEX(FormData,483,f_Id)&amp;""="","",483),"")</f>
        <v/>
      </c>
      <c r="I486" s="16">
        <f>IF($H486="","",IFERROR(INDEX(FormData,$H486,f_Need)&amp;"",""))</f>
        <v/>
      </c>
    </row>
    <row r="487">
      <c r="A487" s="14" t="n">
        <v>483</v>
      </c>
      <c r="B487" s="14">
        <f>IF($H487="","",INDEX(FormData,$H487,f_Id))</f>
        <v/>
      </c>
      <c r="C487" s="15">
        <f>IF($H487="","",IFERROR(INDEX(FormData,$H487,f_Time),""))</f>
        <v/>
      </c>
      <c r="D487" s="14">
        <f>IF($H487="","",IFERROR(UPPER(LEFT(TRIM(INDEX(FormData,$H487,f_Name)),1)&amp;IFERROR(MID(TRIM(INDEX(FormData,$H487,f_Name)),FIND("^",SUBSTITUTE(TRIM(INDEX(FormData,$H487,f_Name))," ","^",LEN(TRIM(INDEX(FormData,$H487,f_Name)))-LEN(SUBSTITUTE(TRIM(INDEX(FormData,$H487,f_Name))," ",""))))+1,1),"")),""))</f>
        <v/>
      </c>
      <c r="E487" s="16">
        <f>IF($H487="","",IFERROR(INDEX(EvID,MATCH(INDEX(FormData,$H487,f_Event),EvID,0)),IFERROR(INDEX(EvID,MATCH(INDEX(FormData,$H487,f_Event),EvName,0)),IFERROR(INDEX(EvID,MATCH(INT($C487),EvDate,0)),"(no event that day)"))))</f>
        <v/>
      </c>
      <c r="F487" s="16">
        <f>IF($H487="","",IFERROR(IF(SUMPRODUCT(MAX((WhoKW&lt;&gt;"")*ISNUMBER(SEARCH(WhoKW,INDEX(FormData,$H487,f_Who)&amp;""))*(ROW(WhoKW)-MIN(ROW(WhoKW))+1)))=0,"",INDEX(WhoVal,SUMPRODUCT(MAX((WhoKW&lt;&gt;"")*ISNUMBER(SEARCH(WhoKW,INDEX(FormData,$H487,f_Who)&amp;""))*(ROW(WhoKW)-MIN(ROW(WhoKW))+1))))),""))</f>
        <v/>
      </c>
      <c r="G487" s="14">
        <f>IF($H487="","",IF(COUNTIF(People!$U$5:$U$604,$B487)+COUNTIF(People!$U$5:$U$604,$B487&amp;"")&gt;0,"✓ logged","→ add"))</f>
        <v/>
      </c>
      <c r="H487">
        <f>IFERROR(IF(INDEX(FormData,484,f_Id)&amp;""="","",484),"")</f>
        <v/>
      </c>
      <c r="I487" s="16">
        <f>IF($H487="","",IFERROR(INDEX(FormData,$H487,f_Need)&amp;"",""))</f>
        <v/>
      </c>
    </row>
    <row r="488">
      <c r="A488" s="14" t="n">
        <v>484</v>
      </c>
      <c r="B488" s="14">
        <f>IF($H488="","",INDEX(FormData,$H488,f_Id))</f>
        <v/>
      </c>
      <c r="C488" s="15">
        <f>IF($H488="","",IFERROR(INDEX(FormData,$H488,f_Time),""))</f>
        <v/>
      </c>
      <c r="D488" s="14">
        <f>IF($H488="","",IFERROR(UPPER(LEFT(TRIM(INDEX(FormData,$H488,f_Name)),1)&amp;IFERROR(MID(TRIM(INDEX(FormData,$H488,f_Name)),FIND("^",SUBSTITUTE(TRIM(INDEX(FormData,$H488,f_Name))," ","^",LEN(TRIM(INDEX(FormData,$H488,f_Name)))-LEN(SUBSTITUTE(TRIM(INDEX(FormData,$H488,f_Name))," ",""))))+1,1),"")),""))</f>
        <v/>
      </c>
      <c r="E488" s="16">
        <f>IF($H488="","",IFERROR(INDEX(EvID,MATCH(INDEX(FormData,$H488,f_Event),EvID,0)),IFERROR(INDEX(EvID,MATCH(INDEX(FormData,$H488,f_Event),EvName,0)),IFERROR(INDEX(EvID,MATCH(INT($C488),EvDate,0)),"(no event that day)"))))</f>
        <v/>
      </c>
      <c r="F488" s="16">
        <f>IF($H488="","",IFERROR(IF(SUMPRODUCT(MAX((WhoKW&lt;&gt;"")*ISNUMBER(SEARCH(WhoKW,INDEX(FormData,$H488,f_Who)&amp;""))*(ROW(WhoKW)-MIN(ROW(WhoKW))+1)))=0,"",INDEX(WhoVal,SUMPRODUCT(MAX((WhoKW&lt;&gt;"")*ISNUMBER(SEARCH(WhoKW,INDEX(FormData,$H488,f_Who)&amp;""))*(ROW(WhoKW)-MIN(ROW(WhoKW))+1))))),""))</f>
        <v/>
      </c>
      <c r="G488" s="14">
        <f>IF($H488="","",IF(COUNTIF(People!$U$5:$U$604,$B488)+COUNTIF(People!$U$5:$U$604,$B488&amp;"")&gt;0,"✓ logged","→ add"))</f>
        <v/>
      </c>
      <c r="H488">
        <f>IFERROR(IF(INDEX(FormData,485,f_Id)&amp;""="","",485),"")</f>
        <v/>
      </c>
      <c r="I488" s="16">
        <f>IF($H488="","",IFERROR(INDEX(FormData,$H488,f_Need)&amp;"",""))</f>
        <v/>
      </c>
    </row>
    <row r="489">
      <c r="A489" s="14" t="n">
        <v>485</v>
      </c>
      <c r="B489" s="14">
        <f>IF($H489="","",INDEX(FormData,$H489,f_Id))</f>
        <v/>
      </c>
      <c r="C489" s="15">
        <f>IF($H489="","",IFERROR(INDEX(FormData,$H489,f_Time),""))</f>
        <v/>
      </c>
      <c r="D489" s="14">
        <f>IF($H489="","",IFERROR(UPPER(LEFT(TRIM(INDEX(FormData,$H489,f_Name)),1)&amp;IFERROR(MID(TRIM(INDEX(FormData,$H489,f_Name)),FIND("^",SUBSTITUTE(TRIM(INDEX(FormData,$H489,f_Name))," ","^",LEN(TRIM(INDEX(FormData,$H489,f_Name)))-LEN(SUBSTITUTE(TRIM(INDEX(FormData,$H489,f_Name))," ",""))))+1,1),"")),""))</f>
        <v/>
      </c>
      <c r="E489" s="16">
        <f>IF($H489="","",IFERROR(INDEX(EvID,MATCH(INDEX(FormData,$H489,f_Event),EvID,0)),IFERROR(INDEX(EvID,MATCH(INDEX(FormData,$H489,f_Event),EvName,0)),IFERROR(INDEX(EvID,MATCH(INT($C489),EvDate,0)),"(no event that day)"))))</f>
        <v/>
      </c>
      <c r="F489" s="16">
        <f>IF($H489="","",IFERROR(IF(SUMPRODUCT(MAX((WhoKW&lt;&gt;"")*ISNUMBER(SEARCH(WhoKW,INDEX(FormData,$H489,f_Who)&amp;""))*(ROW(WhoKW)-MIN(ROW(WhoKW))+1)))=0,"",INDEX(WhoVal,SUMPRODUCT(MAX((WhoKW&lt;&gt;"")*ISNUMBER(SEARCH(WhoKW,INDEX(FormData,$H489,f_Who)&amp;""))*(ROW(WhoKW)-MIN(ROW(WhoKW))+1))))),""))</f>
        <v/>
      </c>
      <c r="G489" s="14">
        <f>IF($H489="","",IF(COUNTIF(People!$U$5:$U$604,$B489)+COUNTIF(People!$U$5:$U$604,$B489&amp;"")&gt;0,"✓ logged","→ add"))</f>
        <v/>
      </c>
      <c r="H489">
        <f>IFERROR(IF(INDEX(FormData,486,f_Id)&amp;""="","",486),"")</f>
        <v/>
      </c>
      <c r="I489" s="16">
        <f>IF($H489="","",IFERROR(INDEX(FormData,$H489,f_Need)&amp;"",""))</f>
        <v/>
      </c>
    </row>
    <row r="490">
      <c r="A490" s="14" t="n">
        <v>486</v>
      </c>
      <c r="B490" s="14">
        <f>IF($H490="","",INDEX(FormData,$H490,f_Id))</f>
        <v/>
      </c>
      <c r="C490" s="15">
        <f>IF($H490="","",IFERROR(INDEX(FormData,$H490,f_Time),""))</f>
        <v/>
      </c>
      <c r="D490" s="14">
        <f>IF($H490="","",IFERROR(UPPER(LEFT(TRIM(INDEX(FormData,$H490,f_Name)),1)&amp;IFERROR(MID(TRIM(INDEX(FormData,$H490,f_Name)),FIND("^",SUBSTITUTE(TRIM(INDEX(FormData,$H490,f_Name))," ","^",LEN(TRIM(INDEX(FormData,$H490,f_Name)))-LEN(SUBSTITUTE(TRIM(INDEX(FormData,$H490,f_Name))," ",""))))+1,1),"")),""))</f>
        <v/>
      </c>
      <c r="E490" s="16">
        <f>IF($H490="","",IFERROR(INDEX(EvID,MATCH(INDEX(FormData,$H490,f_Event),EvID,0)),IFERROR(INDEX(EvID,MATCH(INDEX(FormData,$H490,f_Event),EvName,0)),IFERROR(INDEX(EvID,MATCH(INT($C490),EvDate,0)),"(no event that day)"))))</f>
        <v/>
      </c>
      <c r="F490" s="16">
        <f>IF($H490="","",IFERROR(IF(SUMPRODUCT(MAX((WhoKW&lt;&gt;"")*ISNUMBER(SEARCH(WhoKW,INDEX(FormData,$H490,f_Who)&amp;""))*(ROW(WhoKW)-MIN(ROW(WhoKW))+1)))=0,"",INDEX(WhoVal,SUMPRODUCT(MAX((WhoKW&lt;&gt;"")*ISNUMBER(SEARCH(WhoKW,INDEX(FormData,$H490,f_Who)&amp;""))*(ROW(WhoKW)-MIN(ROW(WhoKW))+1))))),""))</f>
        <v/>
      </c>
      <c r="G490" s="14">
        <f>IF($H490="","",IF(COUNTIF(People!$U$5:$U$604,$B490)+COUNTIF(People!$U$5:$U$604,$B490&amp;"")&gt;0,"✓ logged","→ add"))</f>
        <v/>
      </c>
      <c r="H490">
        <f>IFERROR(IF(INDEX(FormData,487,f_Id)&amp;""="","",487),"")</f>
        <v/>
      </c>
      <c r="I490" s="16">
        <f>IF($H490="","",IFERROR(INDEX(FormData,$H490,f_Need)&amp;"",""))</f>
        <v/>
      </c>
    </row>
    <row r="491">
      <c r="A491" s="14" t="n">
        <v>487</v>
      </c>
      <c r="B491" s="14">
        <f>IF($H491="","",INDEX(FormData,$H491,f_Id))</f>
        <v/>
      </c>
      <c r="C491" s="15">
        <f>IF($H491="","",IFERROR(INDEX(FormData,$H491,f_Time),""))</f>
        <v/>
      </c>
      <c r="D491" s="14">
        <f>IF($H491="","",IFERROR(UPPER(LEFT(TRIM(INDEX(FormData,$H491,f_Name)),1)&amp;IFERROR(MID(TRIM(INDEX(FormData,$H491,f_Name)),FIND("^",SUBSTITUTE(TRIM(INDEX(FormData,$H491,f_Name))," ","^",LEN(TRIM(INDEX(FormData,$H491,f_Name)))-LEN(SUBSTITUTE(TRIM(INDEX(FormData,$H491,f_Name))," ",""))))+1,1),"")),""))</f>
        <v/>
      </c>
      <c r="E491" s="16">
        <f>IF($H491="","",IFERROR(INDEX(EvID,MATCH(INDEX(FormData,$H491,f_Event),EvID,0)),IFERROR(INDEX(EvID,MATCH(INDEX(FormData,$H491,f_Event),EvName,0)),IFERROR(INDEX(EvID,MATCH(INT($C491),EvDate,0)),"(no event that day)"))))</f>
        <v/>
      </c>
      <c r="F491" s="16">
        <f>IF($H491="","",IFERROR(IF(SUMPRODUCT(MAX((WhoKW&lt;&gt;"")*ISNUMBER(SEARCH(WhoKW,INDEX(FormData,$H491,f_Who)&amp;""))*(ROW(WhoKW)-MIN(ROW(WhoKW))+1)))=0,"",INDEX(WhoVal,SUMPRODUCT(MAX((WhoKW&lt;&gt;"")*ISNUMBER(SEARCH(WhoKW,INDEX(FormData,$H491,f_Who)&amp;""))*(ROW(WhoKW)-MIN(ROW(WhoKW))+1))))),""))</f>
        <v/>
      </c>
      <c r="G491" s="14">
        <f>IF($H491="","",IF(COUNTIF(People!$U$5:$U$604,$B491)+COUNTIF(People!$U$5:$U$604,$B491&amp;"")&gt;0,"✓ logged","→ add"))</f>
        <v/>
      </c>
      <c r="H491">
        <f>IFERROR(IF(INDEX(FormData,488,f_Id)&amp;""="","",488),"")</f>
        <v/>
      </c>
      <c r="I491" s="16">
        <f>IF($H491="","",IFERROR(INDEX(FormData,$H491,f_Need)&amp;"",""))</f>
        <v/>
      </c>
    </row>
    <row r="492">
      <c r="A492" s="14" t="n">
        <v>488</v>
      </c>
      <c r="B492" s="14">
        <f>IF($H492="","",INDEX(FormData,$H492,f_Id))</f>
        <v/>
      </c>
      <c r="C492" s="15">
        <f>IF($H492="","",IFERROR(INDEX(FormData,$H492,f_Time),""))</f>
        <v/>
      </c>
      <c r="D492" s="14">
        <f>IF($H492="","",IFERROR(UPPER(LEFT(TRIM(INDEX(FormData,$H492,f_Name)),1)&amp;IFERROR(MID(TRIM(INDEX(FormData,$H492,f_Name)),FIND("^",SUBSTITUTE(TRIM(INDEX(FormData,$H492,f_Name))," ","^",LEN(TRIM(INDEX(FormData,$H492,f_Name)))-LEN(SUBSTITUTE(TRIM(INDEX(FormData,$H492,f_Name))," ",""))))+1,1),"")),""))</f>
        <v/>
      </c>
      <c r="E492" s="16">
        <f>IF($H492="","",IFERROR(INDEX(EvID,MATCH(INDEX(FormData,$H492,f_Event),EvID,0)),IFERROR(INDEX(EvID,MATCH(INDEX(FormData,$H492,f_Event),EvName,0)),IFERROR(INDEX(EvID,MATCH(INT($C492),EvDate,0)),"(no event that day)"))))</f>
        <v/>
      </c>
      <c r="F492" s="16">
        <f>IF($H492="","",IFERROR(IF(SUMPRODUCT(MAX((WhoKW&lt;&gt;"")*ISNUMBER(SEARCH(WhoKW,INDEX(FormData,$H492,f_Who)&amp;""))*(ROW(WhoKW)-MIN(ROW(WhoKW))+1)))=0,"",INDEX(WhoVal,SUMPRODUCT(MAX((WhoKW&lt;&gt;"")*ISNUMBER(SEARCH(WhoKW,INDEX(FormData,$H492,f_Who)&amp;""))*(ROW(WhoKW)-MIN(ROW(WhoKW))+1))))),""))</f>
        <v/>
      </c>
      <c r="G492" s="14">
        <f>IF($H492="","",IF(COUNTIF(People!$U$5:$U$604,$B492)+COUNTIF(People!$U$5:$U$604,$B492&amp;"")&gt;0,"✓ logged","→ add"))</f>
        <v/>
      </c>
      <c r="H492">
        <f>IFERROR(IF(INDEX(FormData,489,f_Id)&amp;""="","",489),"")</f>
        <v/>
      </c>
      <c r="I492" s="16">
        <f>IF($H492="","",IFERROR(INDEX(FormData,$H492,f_Need)&amp;"",""))</f>
        <v/>
      </c>
    </row>
    <row r="493">
      <c r="A493" s="14" t="n">
        <v>489</v>
      </c>
      <c r="B493" s="14">
        <f>IF($H493="","",INDEX(FormData,$H493,f_Id))</f>
        <v/>
      </c>
      <c r="C493" s="15">
        <f>IF($H493="","",IFERROR(INDEX(FormData,$H493,f_Time),""))</f>
        <v/>
      </c>
      <c r="D493" s="14">
        <f>IF($H493="","",IFERROR(UPPER(LEFT(TRIM(INDEX(FormData,$H493,f_Name)),1)&amp;IFERROR(MID(TRIM(INDEX(FormData,$H493,f_Name)),FIND("^",SUBSTITUTE(TRIM(INDEX(FormData,$H493,f_Name))," ","^",LEN(TRIM(INDEX(FormData,$H493,f_Name)))-LEN(SUBSTITUTE(TRIM(INDEX(FormData,$H493,f_Name))," ",""))))+1,1),"")),""))</f>
        <v/>
      </c>
      <c r="E493" s="16">
        <f>IF($H493="","",IFERROR(INDEX(EvID,MATCH(INDEX(FormData,$H493,f_Event),EvID,0)),IFERROR(INDEX(EvID,MATCH(INDEX(FormData,$H493,f_Event),EvName,0)),IFERROR(INDEX(EvID,MATCH(INT($C493),EvDate,0)),"(no event that day)"))))</f>
        <v/>
      </c>
      <c r="F493" s="16">
        <f>IF($H493="","",IFERROR(IF(SUMPRODUCT(MAX((WhoKW&lt;&gt;"")*ISNUMBER(SEARCH(WhoKW,INDEX(FormData,$H493,f_Who)&amp;""))*(ROW(WhoKW)-MIN(ROW(WhoKW))+1)))=0,"",INDEX(WhoVal,SUMPRODUCT(MAX((WhoKW&lt;&gt;"")*ISNUMBER(SEARCH(WhoKW,INDEX(FormData,$H493,f_Who)&amp;""))*(ROW(WhoKW)-MIN(ROW(WhoKW))+1))))),""))</f>
        <v/>
      </c>
      <c r="G493" s="14">
        <f>IF($H493="","",IF(COUNTIF(People!$U$5:$U$604,$B493)+COUNTIF(People!$U$5:$U$604,$B493&amp;"")&gt;0,"✓ logged","→ add"))</f>
        <v/>
      </c>
      <c r="H493">
        <f>IFERROR(IF(INDEX(FormData,490,f_Id)&amp;""="","",490),"")</f>
        <v/>
      </c>
      <c r="I493" s="16">
        <f>IF($H493="","",IFERROR(INDEX(FormData,$H493,f_Need)&amp;"",""))</f>
        <v/>
      </c>
    </row>
    <row r="494">
      <c r="A494" s="14" t="n">
        <v>490</v>
      </c>
      <c r="B494" s="14">
        <f>IF($H494="","",INDEX(FormData,$H494,f_Id))</f>
        <v/>
      </c>
      <c r="C494" s="15">
        <f>IF($H494="","",IFERROR(INDEX(FormData,$H494,f_Time),""))</f>
        <v/>
      </c>
      <c r="D494" s="14">
        <f>IF($H494="","",IFERROR(UPPER(LEFT(TRIM(INDEX(FormData,$H494,f_Name)),1)&amp;IFERROR(MID(TRIM(INDEX(FormData,$H494,f_Name)),FIND("^",SUBSTITUTE(TRIM(INDEX(FormData,$H494,f_Name))," ","^",LEN(TRIM(INDEX(FormData,$H494,f_Name)))-LEN(SUBSTITUTE(TRIM(INDEX(FormData,$H494,f_Name))," ",""))))+1,1),"")),""))</f>
        <v/>
      </c>
      <c r="E494" s="16">
        <f>IF($H494="","",IFERROR(INDEX(EvID,MATCH(INDEX(FormData,$H494,f_Event),EvID,0)),IFERROR(INDEX(EvID,MATCH(INDEX(FormData,$H494,f_Event),EvName,0)),IFERROR(INDEX(EvID,MATCH(INT($C494),EvDate,0)),"(no event that day)"))))</f>
        <v/>
      </c>
      <c r="F494" s="16">
        <f>IF($H494="","",IFERROR(IF(SUMPRODUCT(MAX((WhoKW&lt;&gt;"")*ISNUMBER(SEARCH(WhoKW,INDEX(FormData,$H494,f_Who)&amp;""))*(ROW(WhoKW)-MIN(ROW(WhoKW))+1)))=0,"",INDEX(WhoVal,SUMPRODUCT(MAX((WhoKW&lt;&gt;"")*ISNUMBER(SEARCH(WhoKW,INDEX(FormData,$H494,f_Who)&amp;""))*(ROW(WhoKW)-MIN(ROW(WhoKW))+1))))),""))</f>
        <v/>
      </c>
      <c r="G494" s="14">
        <f>IF($H494="","",IF(COUNTIF(People!$U$5:$U$604,$B494)+COUNTIF(People!$U$5:$U$604,$B494&amp;"")&gt;0,"✓ logged","→ add"))</f>
        <v/>
      </c>
      <c r="H494">
        <f>IFERROR(IF(INDEX(FormData,491,f_Id)&amp;""="","",491),"")</f>
        <v/>
      </c>
      <c r="I494" s="16">
        <f>IF($H494="","",IFERROR(INDEX(FormData,$H494,f_Need)&amp;"",""))</f>
        <v/>
      </c>
    </row>
    <row r="495">
      <c r="A495" s="14" t="n">
        <v>491</v>
      </c>
      <c r="B495" s="14">
        <f>IF($H495="","",INDEX(FormData,$H495,f_Id))</f>
        <v/>
      </c>
      <c r="C495" s="15">
        <f>IF($H495="","",IFERROR(INDEX(FormData,$H495,f_Time),""))</f>
        <v/>
      </c>
      <c r="D495" s="14">
        <f>IF($H495="","",IFERROR(UPPER(LEFT(TRIM(INDEX(FormData,$H495,f_Name)),1)&amp;IFERROR(MID(TRIM(INDEX(FormData,$H495,f_Name)),FIND("^",SUBSTITUTE(TRIM(INDEX(FormData,$H495,f_Name))," ","^",LEN(TRIM(INDEX(FormData,$H495,f_Name)))-LEN(SUBSTITUTE(TRIM(INDEX(FormData,$H495,f_Name))," ",""))))+1,1),"")),""))</f>
        <v/>
      </c>
      <c r="E495" s="16">
        <f>IF($H495="","",IFERROR(INDEX(EvID,MATCH(INDEX(FormData,$H495,f_Event),EvID,0)),IFERROR(INDEX(EvID,MATCH(INDEX(FormData,$H495,f_Event),EvName,0)),IFERROR(INDEX(EvID,MATCH(INT($C495),EvDate,0)),"(no event that day)"))))</f>
        <v/>
      </c>
      <c r="F495" s="16">
        <f>IF($H495="","",IFERROR(IF(SUMPRODUCT(MAX((WhoKW&lt;&gt;"")*ISNUMBER(SEARCH(WhoKW,INDEX(FormData,$H495,f_Who)&amp;""))*(ROW(WhoKW)-MIN(ROW(WhoKW))+1)))=0,"",INDEX(WhoVal,SUMPRODUCT(MAX((WhoKW&lt;&gt;"")*ISNUMBER(SEARCH(WhoKW,INDEX(FormData,$H495,f_Who)&amp;""))*(ROW(WhoKW)-MIN(ROW(WhoKW))+1))))),""))</f>
        <v/>
      </c>
      <c r="G495" s="14">
        <f>IF($H495="","",IF(COUNTIF(People!$U$5:$U$604,$B495)+COUNTIF(People!$U$5:$U$604,$B495&amp;"")&gt;0,"✓ logged","→ add"))</f>
        <v/>
      </c>
      <c r="H495">
        <f>IFERROR(IF(INDEX(FormData,492,f_Id)&amp;""="","",492),"")</f>
        <v/>
      </c>
      <c r="I495" s="16">
        <f>IF($H495="","",IFERROR(INDEX(FormData,$H495,f_Need)&amp;"",""))</f>
        <v/>
      </c>
    </row>
    <row r="496">
      <c r="A496" s="14" t="n">
        <v>492</v>
      </c>
      <c r="B496" s="14">
        <f>IF($H496="","",INDEX(FormData,$H496,f_Id))</f>
        <v/>
      </c>
      <c r="C496" s="15">
        <f>IF($H496="","",IFERROR(INDEX(FormData,$H496,f_Time),""))</f>
        <v/>
      </c>
      <c r="D496" s="14">
        <f>IF($H496="","",IFERROR(UPPER(LEFT(TRIM(INDEX(FormData,$H496,f_Name)),1)&amp;IFERROR(MID(TRIM(INDEX(FormData,$H496,f_Name)),FIND("^",SUBSTITUTE(TRIM(INDEX(FormData,$H496,f_Name))," ","^",LEN(TRIM(INDEX(FormData,$H496,f_Name)))-LEN(SUBSTITUTE(TRIM(INDEX(FormData,$H496,f_Name))," ",""))))+1,1),"")),""))</f>
        <v/>
      </c>
      <c r="E496" s="16">
        <f>IF($H496="","",IFERROR(INDEX(EvID,MATCH(INDEX(FormData,$H496,f_Event),EvID,0)),IFERROR(INDEX(EvID,MATCH(INDEX(FormData,$H496,f_Event),EvName,0)),IFERROR(INDEX(EvID,MATCH(INT($C496),EvDate,0)),"(no event that day)"))))</f>
        <v/>
      </c>
      <c r="F496" s="16">
        <f>IF($H496="","",IFERROR(IF(SUMPRODUCT(MAX((WhoKW&lt;&gt;"")*ISNUMBER(SEARCH(WhoKW,INDEX(FormData,$H496,f_Who)&amp;""))*(ROW(WhoKW)-MIN(ROW(WhoKW))+1)))=0,"",INDEX(WhoVal,SUMPRODUCT(MAX((WhoKW&lt;&gt;"")*ISNUMBER(SEARCH(WhoKW,INDEX(FormData,$H496,f_Who)&amp;""))*(ROW(WhoKW)-MIN(ROW(WhoKW))+1))))),""))</f>
        <v/>
      </c>
      <c r="G496" s="14">
        <f>IF($H496="","",IF(COUNTIF(People!$U$5:$U$604,$B496)+COUNTIF(People!$U$5:$U$604,$B496&amp;"")&gt;0,"✓ logged","→ add"))</f>
        <v/>
      </c>
      <c r="H496">
        <f>IFERROR(IF(INDEX(FormData,493,f_Id)&amp;""="","",493),"")</f>
        <v/>
      </c>
      <c r="I496" s="16">
        <f>IF($H496="","",IFERROR(INDEX(FormData,$H496,f_Need)&amp;"",""))</f>
        <v/>
      </c>
    </row>
    <row r="497">
      <c r="A497" s="14" t="n">
        <v>493</v>
      </c>
      <c r="B497" s="14">
        <f>IF($H497="","",INDEX(FormData,$H497,f_Id))</f>
        <v/>
      </c>
      <c r="C497" s="15">
        <f>IF($H497="","",IFERROR(INDEX(FormData,$H497,f_Time),""))</f>
        <v/>
      </c>
      <c r="D497" s="14">
        <f>IF($H497="","",IFERROR(UPPER(LEFT(TRIM(INDEX(FormData,$H497,f_Name)),1)&amp;IFERROR(MID(TRIM(INDEX(FormData,$H497,f_Name)),FIND("^",SUBSTITUTE(TRIM(INDEX(FormData,$H497,f_Name))," ","^",LEN(TRIM(INDEX(FormData,$H497,f_Name)))-LEN(SUBSTITUTE(TRIM(INDEX(FormData,$H497,f_Name))," ",""))))+1,1),"")),""))</f>
        <v/>
      </c>
      <c r="E497" s="16">
        <f>IF($H497="","",IFERROR(INDEX(EvID,MATCH(INDEX(FormData,$H497,f_Event),EvID,0)),IFERROR(INDEX(EvID,MATCH(INDEX(FormData,$H497,f_Event),EvName,0)),IFERROR(INDEX(EvID,MATCH(INT($C497),EvDate,0)),"(no event that day)"))))</f>
        <v/>
      </c>
      <c r="F497" s="16">
        <f>IF($H497="","",IFERROR(IF(SUMPRODUCT(MAX((WhoKW&lt;&gt;"")*ISNUMBER(SEARCH(WhoKW,INDEX(FormData,$H497,f_Who)&amp;""))*(ROW(WhoKW)-MIN(ROW(WhoKW))+1)))=0,"",INDEX(WhoVal,SUMPRODUCT(MAX((WhoKW&lt;&gt;"")*ISNUMBER(SEARCH(WhoKW,INDEX(FormData,$H497,f_Who)&amp;""))*(ROW(WhoKW)-MIN(ROW(WhoKW))+1))))),""))</f>
        <v/>
      </c>
      <c r="G497" s="14">
        <f>IF($H497="","",IF(COUNTIF(People!$U$5:$U$604,$B497)+COUNTIF(People!$U$5:$U$604,$B497&amp;"")&gt;0,"✓ logged","→ add"))</f>
        <v/>
      </c>
      <c r="H497">
        <f>IFERROR(IF(INDEX(FormData,494,f_Id)&amp;""="","",494),"")</f>
        <v/>
      </c>
      <c r="I497" s="16">
        <f>IF($H497="","",IFERROR(INDEX(FormData,$H497,f_Need)&amp;"",""))</f>
        <v/>
      </c>
    </row>
    <row r="498">
      <c r="A498" s="14" t="n">
        <v>494</v>
      </c>
      <c r="B498" s="14">
        <f>IF($H498="","",INDEX(FormData,$H498,f_Id))</f>
        <v/>
      </c>
      <c r="C498" s="15">
        <f>IF($H498="","",IFERROR(INDEX(FormData,$H498,f_Time),""))</f>
        <v/>
      </c>
      <c r="D498" s="14">
        <f>IF($H498="","",IFERROR(UPPER(LEFT(TRIM(INDEX(FormData,$H498,f_Name)),1)&amp;IFERROR(MID(TRIM(INDEX(FormData,$H498,f_Name)),FIND("^",SUBSTITUTE(TRIM(INDEX(FormData,$H498,f_Name))," ","^",LEN(TRIM(INDEX(FormData,$H498,f_Name)))-LEN(SUBSTITUTE(TRIM(INDEX(FormData,$H498,f_Name))," ",""))))+1,1),"")),""))</f>
        <v/>
      </c>
      <c r="E498" s="16">
        <f>IF($H498="","",IFERROR(INDEX(EvID,MATCH(INDEX(FormData,$H498,f_Event),EvID,0)),IFERROR(INDEX(EvID,MATCH(INDEX(FormData,$H498,f_Event),EvName,0)),IFERROR(INDEX(EvID,MATCH(INT($C498),EvDate,0)),"(no event that day)"))))</f>
        <v/>
      </c>
      <c r="F498" s="16">
        <f>IF($H498="","",IFERROR(IF(SUMPRODUCT(MAX((WhoKW&lt;&gt;"")*ISNUMBER(SEARCH(WhoKW,INDEX(FormData,$H498,f_Who)&amp;""))*(ROW(WhoKW)-MIN(ROW(WhoKW))+1)))=0,"",INDEX(WhoVal,SUMPRODUCT(MAX((WhoKW&lt;&gt;"")*ISNUMBER(SEARCH(WhoKW,INDEX(FormData,$H498,f_Who)&amp;""))*(ROW(WhoKW)-MIN(ROW(WhoKW))+1))))),""))</f>
        <v/>
      </c>
      <c r="G498" s="14">
        <f>IF($H498="","",IF(COUNTIF(People!$U$5:$U$604,$B498)+COUNTIF(People!$U$5:$U$604,$B498&amp;"")&gt;0,"✓ logged","→ add"))</f>
        <v/>
      </c>
      <c r="H498">
        <f>IFERROR(IF(INDEX(FormData,495,f_Id)&amp;""="","",495),"")</f>
        <v/>
      </c>
      <c r="I498" s="16">
        <f>IF($H498="","",IFERROR(INDEX(FormData,$H498,f_Need)&amp;"",""))</f>
        <v/>
      </c>
    </row>
    <row r="499">
      <c r="A499" s="14" t="n">
        <v>495</v>
      </c>
      <c r="B499" s="14">
        <f>IF($H499="","",INDEX(FormData,$H499,f_Id))</f>
        <v/>
      </c>
      <c r="C499" s="15">
        <f>IF($H499="","",IFERROR(INDEX(FormData,$H499,f_Time),""))</f>
        <v/>
      </c>
      <c r="D499" s="14">
        <f>IF($H499="","",IFERROR(UPPER(LEFT(TRIM(INDEX(FormData,$H499,f_Name)),1)&amp;IFERROR(MID(TRIM(INDEX(FormData,$H499,f_Name)),FIND("^",SUBSTITUTE(TRIM(INDEX(FormData,$H499,f_Name))," ","^",LEN(TRIM(INDEX(FormData,$H499,f_Name)))-LEN(SUBSTITUTE(TRIM(INDEX(FormData,$H499,f_Name))," ",""))))+1,1),"")),""))</f>
        <v/>
      </c>
      <c r="E499" s="16">
        <f>IF($H499="","",IFERROR(INDEX(EvID,MATCH(INDEX(FormData,$H499,f_Event),EvID,0)),IFERROR(INDEX(EvID,MATCH(INDEX(FormData,$H499,f_Event),EvName,0)),IFERROR(INDEX(EvID,MATCH(INT($C499),EvDate,0)),"(no event that day)"))))</f>
        <v/>
      </c>
      <c r="F499" s="16">
        <f>IF($H499="","",IFERROR(IF(SUMPRODUCT(MAX((WhoKW&lt;&gt;"")*ISNUMBER(SEARCH(WhoKW,INDEX(FormData,$H499,f_Who)&amp;""))*(ROW(WhoKW)-MIN(ROW(WhoKW))+1)))=0,"",INDEX(WhoVal,SUMPRODUCT(MAX((WhoKW&lt;&gt;"")*ISNUMBER(SEARCH(WhoKW,INDEX(FormData,$H499,f_Who)&amp;""))*(ROW(WhoKW)-MIN(ROW(WhoKW))+1))))),""))</f>
        <v/>
      </c>
      <c r="G499" s="14">
        <f>IF($H499="","",IF(COUNTIF(People!$U$5:$U$604,$B499)+COUNTIF(People!$U$5:$U$604,$B499&amp;"")&gt;0,"✓ logged","→ add"))</f>
        <v/>
      </c>
      <c r="H499">
        <f>IFERROR(IF(INDEX(FormData,496,f_Id)&amp;""="","",496),"")</f>
        <v/>
      </c>
      <c r="I499" s="16">
        <f>IF($H499="","",IFERROR(INDEX(FormData,$H499,f_Need)&amp;"",""))</f>
        <v/>
      </c>
    </row>
    <row r="500">
      <c r="A500" s="14" t="n">
        <v>496</v>
      </c>
      <c r="B500" s="14">
        <f>IF($H500="","",INDEX(FormData,$H500,f_Id))</f>
        <v/>
      </c>
      <c r="C500" s="15">
        <f>IF($H500="","",IFERROR(INDEX(FormData,$H500,f_Time),""))</f>
        <v/>
      </c>
      <c r="D500" s="14">
        <f>IF($H500="","",IFERROR(UPPER(LEFT(TRIM(INDEX(FormData,$H500,f_Name)),1)&amp;IFERROR(MID(TRIM(INDEX(FormData,$H500,f_Name)),FIND("^",SUBSTITUTE(TRIM(INDEX(FormData,$H500,f_Name))," ","^",LEN(TRIM(INDEX(FormData,$H500,f_Name)))-LEN(SUBSTITUTE(TRIM(INDEX(FormData,$H500,f_Name))," ",""))))+1,1),"")),""))</f>
        <v/>
      </c>
      <c r="E500" s="16">
        <f>IF($H500="","",IFERROR(INDEX(EvID,MATCH(INDEX(FormData,$H500,f_Event),EvID,0)),IFERROR(INDEX(EvID,MATCH(INDEX(FormData,$H500,f_Event),EvName,0)),IFERROR(INDEX(EvID,MATCH(INT($C500),EvDate,0)),"(no event that day)"))))</f>
        <v/>
      </c>
      <c r="F500" s="16">
        <f>IF($H500="","",IFERROR(IF(SUMPRODUCT(MAX((WhoKW&lt;&gt;"")*ISNUMBER(SEARCH(WhoKW,INDEX(FormData,$H500,f_Who)&amp;""))*(ROW(WhoKW)-MIN(ROW(WhoKW))+1)))=0,"",INDEX(WhoVal,SUMPRODUCT(MAX((WhoKW&lt;&gt;"")*ISNUMBER(SEARCH(WhoKW,INDEX(FormData,$H500,f_Who)&amp;""))*(ROW(WhoKW)-MIN(ROW(WhoKW))+1))))),""))</f>
        <v/>
      </c>
      <c r="G500" s="14">
        <f>IF($H500="","",IF(COUNTIF(People!$U$5:$U$604,$B500)+COUNTIF(People!$U$5:$U$604,$B500&amp;"")&gt;0,"✓ logged","→ add"))</f>
        <v/>
      </c>
      <c r="H500">
        <f>IFERROR(IF(INDEX(FormData,497,f_Id)&amp;""="","",497),"")</f>
        <v/>
      </c>
      <c r="I500" s="16">
        <f>IF($H500="","",IFERROR(INDEX(FormData,$H500,f_Need)&amp;"",""))</f>
        <v/>
      </c>
    </row>
    <row r="501">
      <c r="A501" s="14" t="n">
        <v>497</v>
      </c>
      <c r="B501" s="14">
        <f>IF($H501="","",INDEX(FormData,$H501,f_Id))</f>
        <v/>
      </c>
      <c r="C501" s="15">
        <f>IF($H501="","",IFERROR(INDEX(FormData,$H501,f_Time),""))</f>
        <v/>
      </c>
      <c r="D501" s="14">
        <f>IF($H501="","",IFERROR(UPPER(LEFT(TRIM(INDEX(FormData,$H501,f_Name)),1)&amp;IFERROR(MID(TRIM(INDEX(FormData,$H501,f_Name)),FIND("^",SUBSTITUTE(TRIM(INDEX(FormData,$H501,f_Name))," ","^",LEN(TRIM(INDEX(FormData,$H501,f_Name)))-LEN(SUBSTITUTE(TRIM(INDEX(FormData,$H501,f_Name))," ",""))))+1,1),"")),""))</f>
        <v/>
      </c>
      <c r="E501" s="16">
        <f>IF($H501="","",IFERROR(INDEX(EvID,MATCH(INDEX(FormData,$H501,f_Event),EvID,0)),IFERROR(INDEX(EvID,MATCH(INDEX(FormData,$H501,f_Event),EvName,0)),IFERROR(INDEX(EvID,MATCH(INT($C501),EvDate,0)),"(no event that day)"))))</f>
        <v/>
      </c>
      <c r="F501" s="16">
        <f>IF($H501="","",IFERROR(IF(SUMPRODUCT(MAX((WhoKW&lt;&gt;"")*ISNUMBER(SEARCH(WhoKW,INDEX(FormData,$H501,f_Who)&amp;""))*(ROW(WhoKW)-MIN(ROW(WhoKW))+1)))=0,"",INDEX(WhoVal,SUMPRODUCT(MAX((WhoKW&lt;&gt;"")*ISNUMBER(SEARCH(WhoKW,INDEX(FormData,$H501,f_Who)&amp;""))*(ROW(WhoKW)-MIN(ROW(WhoKW))+1))))),""))</f>
        <v/>
      </c>
      <c r="G501" s="14">
        <f>IF($H501="","",IF(COUNTIF(People!$U$5:$U$604,$B501)+COUNTIF(People!$U$5:$U$604,$B501&amp;"")&gt;0,"✓ logged","→ add"))</f>
        <v/>
      </c>
      <c r="H501">
        <f>IFERROR(IF(INDEX(FormData,498,f_Id)&amp;""="","",498),"")</f>
        <v/>
      </c>
      <c r="I501" s="16">
        <f>IF($H501="","",IFERROR(INDEX(FormData,$H501,f_Need)&amp;"",""))</f>
        <v/>
      </c>
    </row>
    <row r="502">
      <c r="A502" s="14" t="n">
        <v>498</v>
      </c>
      <c r="B502" s="14">
        <f>IF($H502="","",INDEX(FormData,$H502,f_Id))</f>
        <v/>
      </c>
      <c r="C502" s="15">
        <f>IF($H502="","",IFERROR(INDEX(FormData,$H502,f_Time),""))</f>
        <v/>
      </c>
      <c r="D502" s="14">
        <f>IF($H502="","",IFERROR(UPPER(LEFT(TRIM(INDEX(FormData,$H502,f_Name)),1)&amp;IFERROR(MID(TRIM(INDEX(FormData,$H502,f_Name)),FIND("^",SUBSTITUTE(TRIM(INDEX(FormData,$H502,f_Name))," ","^",LEN(TRIM(INDEX(FormData,$H502,f_Name)))-LEN(SUBSTITUTE(TRIM(INDEX(FormData,$H502,f_Name))," ",""))))+1,1),"")),""))</f>
        <v/>
      </c>
      <c r="E502" s="16">
        <f>IF($H502="","",IFERROR(INDEX(EvID,MATCH(INDEX(FormData,$H502,f_Event),EvID,0)),IFERROR(INDEX(EvID,MATCH(INDEX(FormData,$H502,f_Event),EvName,0)),IFERROR(INDEX(EvID,MATCH(INT($C502),EvDate,0)),"(no event that day)"))))</f>
        <v/>
      </c>
      <c r="F502" s="16">
        <f>IF($H502="","",IFERROR(IF(SUMPRODUCT(MAX((WhoKW&lt;&gt;"")*ISNUMBER(SEARCH(WhoKW,INDEX(FormData,$H502,f_Who)&amp;""))*(ROW(WhoKW)-MIN(ROW(WhoKW))+1)))=0,"",INDEX(WhoVal,SUMPRODUCT(MAX((WhoKW&lt;&gt;"")*ISNUMBER(SEARCH(WhoKW,INDEX(FormData,$H502,f_Who)&amp;""))*(ROW(WhoKW)-MIN(ROW(WhoKW))+1))))),""))</f>
        <v/>
      </c>
      <c r="G502" s="14">
        <f>IF($H502="","",IF(COUNTIF(People!$U$5:$U$604,$B502)+COUNTIF(People!$U$5:$U$604,$B502&amp;"")&gt;0,"✓ logged","→ add"))</f>
        <v/>
      </c>
      <c r="H502">
        <f>IFERROR(IF(INDEX(FormData,499,f_Id)&amp;""="","",499),"")</f>
        <v/>
      </c>
      <c r="I502" s="16">
        <f>IF($H502="","",IFERROR(INDEX(FormData,$H502,f_Need)&amp;"",""))</f>
        <v/>
      </c>
    </row>
    <row r="503">
      <c r="A503" s="14" t="n">
        <v>499</v>
      </c>
      <c r="B503" s="14">
        <f>IF($H503="","",INDEX(FormData,$H503,f_Id))</f>
        <v/>
      </c>
      <c r="C503" s="15">
        <f>IF($H503="","",IFERROR(INDEX(FormData,$H503,f_Time),""))</f>
        <v/>
      </c>
      <c r="D503" s="14">
        <f>IF($H503="","",IFERROR(UPPER(LEFT(TRIM(INDEX(FormData,$H503,f_Name)),1)&amp;IFERROR(MID(TRIM(INDEX(FormData,$H503,f_Name)),FIND("^",SUBSTITUTE(TRIM(INDEX(FormData,$H503,f_Name))," ","^",LEN(TRIM(INDEX(FormData,$H503,f_Name)))-LEN(SUBSTITUTE(TRIM(INDEX(FormData,$H503,f_Name))," ",""))))+1,1),"")),""))</f>
        <v/>
      </c>
      <c r="E503" s="16">
        <f>IF($H503="","",IFERROR(INDEX(EvID,MATCH(INDEX(FormData,$H503,f_Event),EvID,0)),IFERROR(INDEX(EvID,MATCH(INDEX(FormData,$H503,f_Event),EvName,0)),IFERROR(INDEX(EvID,MATCH(INT($C503),EvDate,0)),"(no event that day)"))))</f>
        <v/>
      </c>
      <c r="F503" s="16">
        <f>IF($H503="","",IFERROR(IF(SUMPRODUCT(MAX((WhoKW&lt;&gt;"")*ISNUMBER(SEARCH(WhoKW,INDEX(FormData,$H503,f_Who)&amp;""))*(ROW(WhoKW)-MIN(ROW(WhoKW))+1)))=0,"",INDEX(WhoVal,SUMPRODUCT(MAX((WhoKW&lt;&gt;"")*ISNUMBER(SEARCH(WhoKW,INDEX(FormData,$H503,f_Who)&amp;""))*(ROW(WhoKW)-MIN(ROW(WhoKW))+1))))),""))</f>
        <v/>
      </c>
      <c r="G503" s="14">
        <f>IF($H503="","",IF(COUNTIF(People!$U$5:$U$604,$B503)+COUNTIF(People!$U$5:$U$604,$B503&amp;"")&gt;0,"✓ logged","→ add"))</f>
        <v/>
      </c>
      <c r="H503">
        <f>IFERROR(IF(INDEX(FormData,500,f_Id)&amp;""="","",500),"")</f>
        <v/>
      </c>
      <c r="I503" s="16">
        <f>IF($H503="","",IFERROR(INDEX(FormData,$H503,f_Need)&amp;"",""))</f>
        <v/>
      </c>
    </row>
    <row r="504">
      <c r="A504" s="14" t="n">
        <v>500</v>
      </c>
      <c r="B504" s="14">
        <f>IF($H504="","",INDEX(FormData,$H504,f_Id))</f>
        <v/>
      </c>
      <c r="C504" s="15">
        <f>IF($H504="","",IFERROR(INDEX(FormData,$H504,f_Time),""))</f>
        <v/>
      </c>
      <c r="D504" s="14">
        <f>IF($H504="","",IFERROR(UPPER(LEFT(TRIM(INDEX(FormData,$H504,f_Name)),1)&amp;IFERROR(MID(TRIM(INDEX(FormData,$H504,f_Name)),FIND("^",SUBSTITUTE(TRIM(INDEX(FormData,$H504,f_Name))," ","^",LEN(TRIM(INDEX(FormData,$H504,f_Name)))-LEN(SUBSTITUTE(TRIM(INDEX(FormData,$H504,f_Name))," ",""))))+1,1),"")),""))</f>
        <v/>
      </c>
      <c r="E504" s="16">
        <f>IF($H504="","",IFERROR(INDEX(EvID,MATCH(INDEX(FormData,$H504,f_Event),EvID,0)),IFERROR(INDEX(EvID,MATCH(INDEX(FormData,$H504,f_Event),EvName,0)),IFERROR(INDEX(EvID,MATCH(INT($C504),EvDate,0)),"(no event that day)"))))</f>
        <v/>
      </c>
      <c r="F504" s="16">
        <f>IF($H504="","",IFERROR(IF(SUMPRODUCT(MAX((WhoKW&lt;&gt;"")*ISNUMBER(SEARCH(WhoKW,INDEX(FormData,$H504,f_Who)&amp;""))*(ROW(WhoKW)-MIN(ROW(WhoKW))+1)))=0,"",INDEX(WhoVal,SUMPRODUCT(MAX((WhoKW&lt;&gt;"")*ISNUMBER(SEARCH(WhoKW,INDEX(FormData,$H504,f_Who)&amp;""))*(ROW(WhoKW)-MIN(ROW(WhoKW))+1))))),""))</f>
        <v/>
      </c>
      <c r="G504" s="14">
        <f>IF($H504="","",IF(COUNTIF(People!$U$5:$U$604,$B504)+COUNTIF(People!$U$5:$U$604,$B504&amp;"")&gt;0,"✓ logged","→ add"))</f>
        <v/>
      </c>
      <c r="H504">
        <f>IFERROR(IF(INDEX(FormData,501,f_Id)&amp;""="","",501),"")</f>
        <v/>
      </c>
      <c r="I504" s="16">
        <f>IF($H504="","",IFERROR(INDEX(FormData,$H504,f_Need)&amp;"",""))</f>
        <v/>
      </c>
    </row>
    <row r="505">
      <c r="A505" s="14" t="n">
        <v>501</v>
      </c>
      <c r="B505" s="14">
        <f>IF($H505="","",INDEX(FormData,$H505,f_Id))</f>
        <v/>
      </c>
      <c r="C505" s="15">
        <f>IF($H505="","",IFERROR(INDEX(FormData,$H505,f_Time),""))</f>
        <v/>
      </c>
      <c r="D505" s="14">
        <f>IF($H505="","",IFERROR(UPPER(LEFT(TRIM(INDEX(FormData,$H505,f_Name)),1)&amp;IFERROR(MID(TRIM(INDEX(FormData,$H505,f_Name)),FIND("^",SUBSTITUTE(TRIM(INDEX(FormData,$H505,f_Name))," ","^",LEN(TRIM(INDEX(FormData,$H505,f_Name)))-LEN(SUBSTITUTE(TRIM(INDEX(FormData,$H505,f_Name))," ",""))))+1,1),"")),""))</f>
        <v/>
      </c>
      <c r="E505" s="16">
        <f>IF($H505="","",IFERROR(INDEX(EvID,MATCH(INDEX(FormData,$H505,f_Event),EvID,0)),IFERROR(INDEX(EvID,MATCH(INDEX(FormData,$H505,f_Event),EvName,0)),IFERROR(INDEX(EvID,MATCH(INT($C505),EvDate,0)),"(no event that day)"))))</f>
        <v/>
      </c>
      <c r="F505" s="16">
        <f>IF($H505="","",IFERROR(IF(SUMPRODUCT(MAX((WhoKW&lt;&gt;"")*ISNUMBER(SEARCH(WhoKW,INDEX(FormData,$H505,f_Who)&amp;""))*(ROW(WhoKW)-MIN(ROW(WhoKW))+1)))=0,"",INDEX(WhoVal,SUMPRODUCT(MAX((WhoKW&lt;&gt;"")*ISNUMBER(SEARCH(WhoKW,INDEX(FormData,$H505,f_Who)&amp;""))*(ROW(WhoKW)-MIN(ROW(WhoKW))+1))))),""))</f>
        <v/>
      </c>
      <c r="G505" s="14">
        <f>IF($H505="","",IF(COUNTIF(People!$U$5:$U$604,$B505)+COUNTIF(People!$U$5:$U$604,$B505&amp;"")&gt;0,"✓ logged","→ add"))</f>
        <v/>
      </c>
      <c r="H505">
        <f>IFERROR(IF(INDEX(FormData,502,f_Id)&amp;""="","",502),"")</f>
        <v/>
      </c>
      <c r="I505" s="16">
        <f>IF($H505="","",IFERROR(INDEX(FormData,$H505,f_Need)&amp;"",""))</f>
        <v/>
      </c>
    </row>
    <row r="506">
      <c r="A506" s="14" t="n">
        <v>502</v>
      </c>
      <c r="B506" s="14">
        <f>IF($H506="","",INDEX(FormData,$H506,f_Id))</f>
        <v/>
      </c>
      <c r="C506" s="15">
        <f>IF($H506="","",IFERROR(INDEX(FormData,$H506,f_Time),""))</f>
        <v/>
      </c>
      <c r="D506" s="14">
        <f>IF($H506="","",IFERROR(UPPER(LEFT(TRIM(INDEX(FormData,$H506,f_Name)),1)&amp;IFERROR(MID(TRIM(INDEX(FormData,$H506,f_Name)),FIND("^",SUBSTITUTE(TRIM(INDEX(FormData,$H506,f_Name))," ","^",LEN(TRIM(INDEX(FormData,$H506,f_Name)))-LEN(SUBSTITUTE(TRIM(INDEX(FormData,$H506,f_Name))," ",""))))+1,1),"")),""))</f>
        <v/>
      </c>
      <c r="E506" s="16">
        <f>IF($H506="","",IFERROR(INDEX(EvID,MATCH(INDEX(FormData,$H506,f_Event),EvID,0)),IFERROR(INDEX(EvID,MATCH(INDEX(FormData,$H506,f_Event),EvName,0)),IFERROR(INDEX(EvID,MATCH(INT($C506),EvDate,0)),"(no event that day)"))))</f>
        <v/>
      </c>
      <c r="F506" s="16">
        <f>IF($H506="","",IFERROR(IF(SUMPRODUCT(MAX((WhoKW&lt;&gt;"")*ISNUMBER(SEARCH(WhoKW,INDEX(FormData,$H506,f_Who)&amp;""))*(ROW(WhoKW)-MIN(ROW(WhoKW))+1)))=0,"",INDEX(WhoVal,SUMPRODUCT(MAX((WhoKW&lt;&gt;"")*ISNUMBER(SEARCH(WhoKW,INDEX(FormData,$H506,f_Who)&amp;""))*(ROW(WhoKW)-MIN(ROW(WhoKW))+1))))),""))</f>
        <v/>
      </c>
      <c r="G506" s="14">
        <f>IF($H506="","",IF(COUNTIF(People!$U$5:$U$604,$B506)+COUNTIF(People!$U$5:$U$604,$B506&amp;"")&gt;0,"✓ logged","→ add"))</f>
        <v/>
      </c>
      <c r="H506">
        <f>IFERROR(IF(INDEX(FormData,503,f_Id)&amp;""="","",503),"")</f>
        <v/>
      </c>
      <c r="I506" s="16">
        <f>IF($H506="","",IFERROR(INDEX(FormData,$H506,f_Need)&amp;"",""))</f>
        <v/>
      </c>
    </row>
    <row r="507">
      <c r="A507" s="14" t="n">
        <v>503</v>
      </c>
      <c r="B507" s="14">
        <f>IF($H507="","",INDEX(FormData,$H507,f_Id))</f>
        <v/>
      </c>
      <c r="C507" s="15">
        <f>IF($H507="","",IFERROR(INDEX(FormData,$H507,f_Time),""))</f>
        <v/>
      </c>
      <c r="D507" s="14">
        <f>IF($H507="","",IFERROR(UPPER(LEFT(TRIM(INDEX(FormData,$H507,f_Name)),1)&amp;IFERROR(MID(TRIM(INDEX(FormData,$H507,f_Name)),FIND("^",SUBSTITUTE(TRIM(INDEX(FormData,$H507,f_Name))," ","^",LEN(TRIM(INDEX(FormData,$H507,f_Name)))-LEN(SUBSTITUTE(TRIM(INDEX(FormData,$H507,f_Name))," ",""))))+1,1),"")),""))</f>
        <v/>
      </c>
      <c r="E507" s="16">
        <f>IF($H507="","",IFERROR(INDEX(EvID,MATCH(INDEX(FormData,$H507,f_Event),EvID,0)),IFERROR(INDEX(EvID,MATCH(INDEX(FormData,$H507,f_Event),EvName,0)),IFERROR(INDEX(EvID,MATCH(INT($C507),EvDate,0)),"(no event that day)"))))</f>
        <v/>
      </c>
      <c r="F507" s="16">
        <f>IF($H507="","",IFERROR(IF(SUMPRODUCT(MAX((WhoKW&lt;&gt;"")*ISNUMBER(SEARCH(WhoKW,INDEX(FormData,$H507,f_Who)&amp;""))*(ROW(WhoKW)-MIN(ROW(WhoKW))+1)))=0,"",INDEX(WhoVal,SUMPRODUCT(MAX((WhoKW&lt;&gt;"")*ISNUMBER(SEARCH(WhoKW,INDEX(FormData,$H507,f_Who)&amp;""))*(ROW(WhoKW)-MIN(ROW(WhoKW))+1))))),""))</f>
        <v/>
      </c>
      <c r="G507" s="14">
        <f>IF($H507="","",IF(COUNTIF(People!$U$5:$U$604,$B507)+COUNTIF(People!$U$5:$U$604,$B507&amp;"")&gt;0,"✓ logged","→ add"))</f>
        <v/>
      </c>
      <c r="H507">
        <f>IFERROR(IF(INDEX(FormData,504,f_Id)&amp;""="","",504),"")</f>
        <v/>
      </c>
      <c r="I507" s="16">
        <f>IF($H507="","",IFERROR(INDEX(FormData,$H507,f_Need)&amp;"",""))</f>
        <v/>
      </c>
    </row>
    <row r="508">
      <c r="A508" s="14" t="n">
        <v>504</v>
      </c>
      <c r="B508" s="14">
        <f>IF($H508="","",INDEX(FormData,$H508,f_Id))</f>
        <v/>
      </c>
      <c r="C508" s="15">
        <f>IF($H508="","",IFERROR(INDEX(FormData,$H508,f_Time),""))</f>
        <v/>
      </c>
      <c r="D508" s="14">
        <f>IF($H508="","",IFERROR(UPPER(LEFT(TRIM(INDEX(FormData,$H508,f_Name)),1)&amp;IFERROR(MID(TRIM(INDEX(FormData,$H508,f_Name)),FIND("^",SUBSTITUTE(TRIM(INDEX(FormData,$H508,f_Name))," ","^",LEN(TRIM(INDEX(FormData,$H508,f_Name)))-LEN(SUBSTITUTE(TRIM(INDEX(FormData,$H508,f_Name))," ",""))))+1,1),"")),""))</f>
        <v/>
      </c>
      <c r="E508" s="16">
        <f>IF($H508="","",IFERROR(INDEX(EvID,MATCH(INDEX(FormData,$H508,f_Event),EvID,0)),IFERROR(INDEX(EvID,MATCH(INDEX(FormData,$H508,f_Event),EvName,0)),IFERROR(INDEX(EvID,MATCH(INT($C508),EvDate,0)),"(no event that day)"))))</f>
        <v/>
      </c>
      <c r="F508" s="16">
        <f>IF($H508="","",IFERROR(IF(SUMPRODUCT(MAX((WhoKW&lt;&gt;"")*ISNUMBER(SEARCH(WhoKW,INDEX(FormData,$H508,f_Who)&amp;""))*(ROW(WhoKW)-MIN(ROW(WhoKW))+1)))=0,"",INDEX(WhoVal,SUMPRODUCT(MAX((WhoKW&lt;&gt;"")*ISNUMBER(SEARCH(WhoKW,INDEX(FormData,$H508,f_Who)&amp;""))*(ROW(WhoKW)-MIN(ROW(WhoKW))+1))))),""))</f>
        <v/>
      </c>
      <c r="G508" s="14">
        <f>IF($H508="","",IF(COUNTIF(People!$U$5:$U$604,$B508)+COUNTIF(People!$U$5:$U$604,$B508&amp;"")&gt;0,"✓ logged","→ add"))</f>
        <v/>
      </c>
      <c r="H508">
        <f>IFERROR(IF(INDEX(FormData,505,f_Id)&amp;""="","",505),"")</f>
        <v/>
      </c>
      <c r="I508" s="16">
        <f>IF($H508="","",IFERROR(INDEX(FormData,$H508,f_Need)&amp;"",""))</f>
        <v/>
      </c>
    </row>
    <row r="509">
      <c r="A509" s="14" t="n">
        <v>505</v>
      </c>
      <c r="B509" s="14">
        <f>IF($H509="","",INDEX(FormData,$H509,f_Id))</f>
        <v/>
      </c>
      <c r="C509" s="15">
        <f>IF($H509="","",IFERROR(INDEX(FormData,$H509,f_Time),""))</f>
        <v/>
      </c>
      <c r="D509" s="14">
        <f>IF($H509="","",IFERROR(UPPER(LEFT(TRIM(INDEX(FormData,$H509,f_Name)),1)&amp;IFERROR(MID(TRIM(INDEX(FormData,$H509,f_Name)),FIND("^",SUBSTITUTE(TRIM(INDEX(FormData,$H509,f_Name))," ","^",LEN(TRIM(INDEX(FormData,$H509,f_Name)))-LEN(SUBSTITUTE(TRIM(INDEX(FormData,$H509,f_Name))," ",""))))+1,1),"")),""))</f>
        <v/>
      </c>
      <c r="E509" s="16">
        <f>IF($H509="","",IFERROR(INDEX(EvID,MATCH(INDEX(FormData,$H509,f_Event),EvID,0)),IFERROR(INDEX(EvID,MATCH(INDEX(FormData,$H509,f_Event),EvName,0)),IFERROR(INDEX(EvID,MATCH(INT($C509),EvDate,0)),"(no event that day)"))))</f>
        <v/>
      </c>
      <c r="F509" s="16">
        <f>IF($H509="","",IFERROR(IF(SUMPRODUCT(MAX((WhoKW&lt;&gt;"")*ISNUMBER(SEARCH(WhoKW,INDEX(FormData,$H509,f_Who)&amp;""))*(ROW(WhoKW)-MIN(ROW(WhoKW))+1)))=0,"",INDEX(WhoVal,SUMPRODUCT(MAX((WhoKW&lt;&gt;"")*ISNUMBER(SEARCH(WhoKW,INDEX(FormData,$H509,f_Who)&amp;""))*(ROW(WhoKW)-MIN(ROW(WhoKW))+1))))),""))</f>
        <v/>
      </c>
      <c r="G509" s="14">
        <f>IF($H509="","",IF(COUNTIF(People!$U$5:$U$604,$B509)+COUNTIF(People!$U$5:$U$604,$B509&amp;"")&gt;0,"✓ logged","→ add"))</f>
        <v/>
      </c>
      <c r="H509">
        <f>IFERROR(IF(INDEX(FormData,506,f_Id)&amp;""="","",506),"")</f>
        <v/>
      </c>
      <c r="I509" s="16">
        <f>IF($H509="","",IFERROR(INDEX(FormData,$H509,f_Need)&amp;"",""))</f>
        <v/>
      </c>
    </row>
    <row r="510">
      <c r="A510" s="14" t="n">
        <v>506</v>
      </c>
      <c r="B510" s="14">
        <f>IF($H510="","",INDEX(FormData,$H510,f_Id))</f>
        <v/>
      </c>
      <c r="C510" s="15">
        <f>IF($H510="","",IFERROR(INDEX(FormData,$H510,f_Time),""))</f>
        <v/>
      </c>
      <c r="D510" s="14">
        <f>IF($H510="","",IFERROR(UPPER(LEFT(TRIM(INDEX(FormData,$H510,f_Name)),1)&amp;IFERROR(MID(TRIM(INDEX(FormData,$H510,f_Name)),FIND("^",SUBSTITUTE(TRIM(INDEX(FormData,$H510,f_Name))," ","^",LEN(TRIM(INDEX(FormData,$H510,f_Name)))-LEN(SUBSTITUTE(TRIM(INDEX(FormData,$H510,f_Name))," ",""))))+1,1),"")),""))</f>
        <v/>
      </c>
      <c r="E510" s="16">
        <f>IF($H510="","",IFERROR(INDEX(EvID,MATCH(INDEX(FormData,$H510,f_Event),EvID,0)),IFERROR(INDEX(EvID,MATCH(INDEX(FormData,$H510,f_Event),EvName,0)),IFERROR(INDEX(EvID,MATCH(INT($C510),EvDate,0)),"(no event that day)"))))</f>
        <v/>
      </c>
      <c r="F510" s="16">
        <f>IF($H510="","",IFERROR(IF(SUMPRODUCT(MAX((WhoKW&lt;&gt;"")*ISNUMBER(SEARCH(WhoKW,INDEX(FormData,$H510,f_Who)&amp;""))*(ROW(WhoKW)-MIN(ROW(WhoKW))+1)))=0,"",INDEX(WhoVal,SUMPRODUCT(MAX((WhoKW&lt;&gt;"")*ISNUMBER(SEARCH(WhoKW,INDEX(FormData,$H510,f_Who)&amp;""))*(ROW(WhoKW)-MIN(ROW(WhoKW))+1))))),""))</f>
        <v/>
      </c>
      <c r="G510" s="14">
        <f>IF($H510="","",IF(COUNTIF(People!$U$5:$U$604,$B510)+COUNTIF(People!$U$5:$U$604,$B510&amp;"")&gt;0,"✓ logged","→ add"))</f>
        <v/>
      </c>
      <c r="H510">
        <f>IFERROR(IF(INDEX(FormData,507,f_Id)&amp;""="","",507),"")</f>
        <v/>
      </c>
      <c r="I510" s="16">
        <f>IF($H510="","",IFERROR(INDEX(FormData,$H510,f_Need)&amp;"",""))</f>
        <v/>
      </c>
    </row>
    <row r="511">
      <c r="A511" s="14" t="n">
        <v>507</v>
      </c>
      <c r="B511" s="14">
        <f>IF($H511="","",INDEX(FormData,$H511,f_Id))</f>
        <v/>
      </c>
      <c r="C511" s="15">
        <f>IF($H511="","",IFERROR(INDEX(FormData,$H511,f_Time),""))</f>
        <v/>
      </c>
      <c r="D511" s="14">
        <f>IF($H511="","",IFERROR(UPPER(LEFT(TRIM(INDEX(FormData,$H511,f_Name)),1)&amp;IFERROR(MID(TRIM(INDEX(FormData,$H511,f_Name)),FIND("^",SUBSTITUTE(TRIM(INDEX(FormData,$H511,f_Name))," ","^",LEN(TRIM(INDEX(FormData,$H511,f_Name)))-LEN(SUBSTITUTE(TRIM(INDEX(FormData,$H511,f_Name))," ",""))))+1,1),"")),""))</f>
        <v/>
      </c>
      <c r="E511" s="16">
        <f>IF($H511="","",IFERROR(INDEX(EvID,MATCH(INDEX(FormData,$H511,f_Event),EvID,0)),IFERROR(INDEX(EvID,MATCH(INDEX(FormData,$H511,f_Event),EvName,0)),IFERROR(INDEX(EvID,MATCH(INT($C511),EvDate,0)),"(no event that day)"))))</f>
        <v/>
      </c>
      <c r="F511" s="16">
        <f>IF($H511="","",IFERROR(IF(SUMPRODUCT(MAX((WhoKW&lt;&gt;"")*ISNUMBER(SEARCH(WhoKW,INDEX(FormData,$H511,f_Who)&amp;""))*(ROW(WhoKW)-MIN(ROW(WhoKW))+1)))=0,"",INDEX(WhoVal,SUMPRODUCT(MAX((WhoKW&lt;&gt;"")*ISNUMBER(SEARCH(WhoKW,INDEX(FormData,$H511,f_Who)&amp;""))*(ROW(WhoKW)-MIN(ROW(WhoKW))+1))))),""))</f>
        <v/>
      </c>
      <c r="G511" s="14">
        <f>IF($H511="","",IF(COUNTIF(People!$U$5:$U$604,$B511)+COUNTIF(People!$U$5:$U$604,$B511&amp;"")&gt;0,"✓ logged","→ add"))</f>
        <v/>
      </c>
      <c r="H511">
        <f>IFERROR(IF(INDEX(FormData,508,f_Id)&amp;""="","",508),"")</f>
        <v/>
      </c>
      <c r="I511" s="16">
        <f>IF($H511="","",IFERROR(INDEX(FormData,$H511,f_Need)&amp;"",""))</f>
        <v/>
      </c>
    </row>
    <row r="512">
      <c r="A512" s="14" t="n">
        <v>508</v>
      </c>
      <c r="B512" s="14">
        <f>IF($H512="","",INDEX(FormData,$H512,f_Id))</f>
        <v/>
      </c>
      <c r="C512" s="15">
        <f>IF($H512="","",IFERROR(INDEX(FormData,$H512,f_Time),""))</f>
        <v/>
      </c>
      <c r="D512" s="14">
        <f>IF($H512="","",IFERROR(UPPER(LEFT(TRIM(INDEX(FormData,$H512,f_Name)),1)&amp;IFERROR(MID(TRIM(INDEX(FormData,$H512,f_Name)),FIND("^",SUBSTITUTE(TRIM(INDEX(FormData,$H512,f_Name))," ","^",LEN(TRIM(INDEX(FormData,$H512,f_Name)))-LEN(SUBSTITUTE(TRIM(INDEX(FormData,$H512,f_Name))," ",""))))+1,1),"")),""))</f>
        <v/>
      </c>
      <c r="E512" s="16">
        <f>IF($H512="","",IFERROR(INDEX(EvID,MATCH(INDEX(FormData,$H512,f_Event),EvID,0)),IFERROR(INDEX(EvID,MATCH(INDEX(FormData,$H512,f_Event),EvName,0)),IFERROR(INDEX(EvID,MATCH(INT($C512),EvDate,0)),"(no event that day)"))))</f>
        <v/>
      </c>
      <c r="F512" s="16">
        <f>IF($H512="","",IFERROR(IF(SUMPRODUCT(MAX((WhoKW&lt;&gt;"")*ISNUMBER(SEARCH(WhoKW,INDEX(FormData,$H512,f_Who)&amp;""))*(ROW(WhoKW)-MIN(ROW(WhoKW))+1)))=0,"",INDEX(WhoVal,SUMPRODUCT(MAX((WhoKW&lt;&gt;"")*ISNUMBER(SEARCH(WhoKW,INDEX(FormData,$H512,f_Who)&amp;""))*(ROW(WhoKW)-MIN(ROW(WhoKW))+1))))),""))</f>
        <v/>
      </c>
      <c r="G512" s="14">
        <f>IF($H512="","",IF(COUNTIF(People!$U$5:$U$604,$B512)+COUNTIF(People!$U$5:$U$604,$B512&amp;"")&gt;0,"✓ logged","→ add"))</f>
        <v/>
      </c>
      <c r="H512">
        <f>IFERROR(IF(INDEX(FormData,509,f_Id)&amp;""="","",509),"")</f>
        <v/>
      </c>
      <c r="I512" s="16">
        <f>IF($H512="","",IFERROR(INDEX(FormData,$H512,f_Need)&amp;"",""))</f>
        <v/>
      </c>
    </row>
    <row r="513">
      <c r="A513" s="14" t="n">
        <v>509</v>
      </c>
      <c r="B513" s="14">
        <f>IF($H513="","",INDEX(FormData,$H513,f_Id))</f>
        <v/>
      </c>
      <c r="C513" s="15">
        <f>IF($H513="","",IFERROR(INDEX(FormData,$H513,f_Time),""))</f>
        <v/>
      </c>
      <c r="D513" s="14">
        <f>IF($H513="","",IFERROR(UPPER(LEFT(TRIM(INDEX(FormData,$H513,f_Name)),1)&amp;IFERROR(MID(TRIM(INDEX(FormData,$H513,f_Name)),FIND("^",SUBSTITUTE(TRIM(INDEX(FormData,$H513,f_Name))," ","^",LEN(TRIM(INDEX(FormData,$H513,f_Name)))-LEN(SUBSTITUTE(TRIM(INDEX(FormData,$H513,f_Name))," ",""))))+1,1),"")),""))</f>
        <v/>
      </c>
      <c r="E513" s="16">
        <f>IF($H513="","",IFERROR(INDEX(EvID,MATCH(INDEX(FormData,$H513,f_Event),EvID,0)),IFERROR(INDEX(EvID,MATCH(INDEX(FormData,$H513,f_Event),EvName,0)),IFERROR(INDEX(EvID,MATCH(INT($C513),EvDate,0)),"(no event that day)"))))</f>
        <v/>
      </c>
      <c r="F513" s="16">
        <f>IF($H513="","",IFERROR(IF(SUMPRODUCT(MAX((WhoKW&lt;&gt;"")*ISNUMBER(SEARCH(WhoKW,INDEX(FormData,$H513,f_Who)&amp;""))*(ROW(WhoKW)-MIN(ROW(WhoKW))+1)))=0,"",INDEX(WhoVal,SUMPRODUCT(MAX((WhoKW&lt;&gt;"")*ISNUMBER(SEARCH(WhoKW,INDEX(FormData,$H513,f_Who)&amp;""))*(ROW(WhoKW)-MIN(ROW(WhoKW))+1))))),""))</f>
        <v/>
      </c>
      <c r="G513" s="14">
        <f>IF($H513="","",IF(COUNTIF(People!$U$5:$U$604,$B513)+COUNTIF(People!$U$5:$U$604,$B513&amp;"")&gt;0,"✓ logged","→ add"))</f>
        <v/>
      </c>
      <c r="H513">
        <f>IFERROR(IF(INDEX(FormData,510,f_Id)&amp;""="","",510),"")</f>
        <v/>
      </c>
      <c r="I513" s="16">
        <f>IF($H513="","",IFERROR(INDEX(FormData,$H513,f_Need)&amp;"",""))</f>
        <v/>
      </c>
    </row>
    <row r="514">
      <c r="A514" s="14" t="n">
        <v>510</v>
      </c>
      <c r="B514" s="14">
        <f>IF($H514="","",INDEX(FormData,$H514,f_Id))</f>
        <v/>
      </c>
      <c r="C514" s="15">
        <f>IF($H514="","",IFERROR(INDEX(FormData,$H514,f_Time),""))</f>
        <v/>
      </c>
      <c r="D514" s="14">
        <f>IF($H514="","",IFERROR(UPPER(LEFT(TRIM(INDEX(FormData,$H514,f_Name)),1)&amp;IFERROR(MID(TRIM(INDEX(FormData,$H514,f_Name)),FIND("^",SUBSTITUTE(TRIM(INDEX(FormData,$H514,f_Name))," ","^",LEN(TRIM(INDEX(FormData,$H514,f_Name)))-LEN(SUBSTITUTE(TRIM(INDEX(FormData,$H514,f_Name))," ",""))))+1,1),"")),""))</f>
        <v/>
      </c>
      <c r="E514" s="16">
        <f>IF($H514="","",IFERROR(INDEX(EvID,MATCH(INDEX(FormData,$H514,f_Event),EvID,0)),IFERROR(INDEX(EvID,MATCH(INDEX(FormData,$H514,f_Event),EvName,0)),IFERROR(INDEX(EvID,MATCH(INT($C514),EvDate,0)),"(no event that day)"))))</f>
        <v/>
      </c>
      <c r="F514" s="16">
        <f>IF($H514="","",IFERROR(IF(SUMPRODUCT(MAX((WhoKW&lt;&gt;"")*ISNUMBER(SEARCH(WhoKW,INDEX(FormData,$H514,f_Who)&amp;""))*(ROW(WhoKW)-MIN(ROW(WhoKW))+1)))=0,"",INDEX(WhoVal,SUMPRODUCT(MAX((WhoKW&lt;&gt;"")*ISNUMBER(SEARCH(WhoKW,INDEX(FormData,$H514,f_Who)&amp;""))*(ROW(WhoKW)-MIN(ROW(WhoKW))+1))))),""))</f>
        <v/>
      </c>
      <c r="G514" s="14">
        <f>IF($H514="","",IF(COUNTIF(People!$U$5:$U$604,$B514)+COUNTIF(People!$U$5:$U$604,$B514&amp;"")&gt;0,"✓ logged","→ add"))</f>
        <v/>
      </c>
      <c r="H514">
        <f>IFERROR(IF(INDEX(FormData,511,f_Id)&amp;""="","",511),"")</f>
        <v/>
      </c>
      <c r="I514" s="16">
        <f>IF($H514="","",IFERROR(INDEX(FormData,$H514,f_Need)&amp;"",""))</f>
        <v/>
      </c>
    </row>
    <row r="515">
      <c r="A515" s="14" t="n">
        <v>511</v>
      </c>
      <c r="B515" s="14">
        <f>IF($H515="","",INDEX(FormData,$H515,f_Id))</f>
        <v/>
      </c>
      <c r="C515" s="15">
        <f>IF($H515="","",IFERROR(INDEX(FormData,$H515,f_Time),""))</f>
        <v/>
      </c>
      <c r="D515" s="14">
        <f>IF($H515="","",IFERROR(UPPER(LEFT(TRIM(INDEX(FormData,$H515,f_Name)),1)&amp;IFERROR(MID(TRIM(INDEX(FormData,$H515,f_Name)),FIND("^",SUBSTITUTE(TRIM(INDEX(FormData,$H515,f_Name))," ","^",LEN(TRIM(INDEX(FormData,$H515,f_Name)))-LEN(SUBSTITUTE(TRIM(INDEX(FormData,$H515,f_Name))," ",""))))+1,1),"")),""))</f>
        <v/>
      </c>
      <c r="E515" s="16">
        <f>IF($H515="","",IFERROR(INDEX(EvID,MATCH(INDEX(FormData,$H515,f_Event),EvID,0)),IFERROR(INDEX(EvID,MATCH(INDEX(FormData,$H515,f_Event),EvName,0)),IFERROR(INDEX(EvID,MATCH(INT($C515),EvDate,0)),"(no event that day)"))))</f>
        <v/>
      </c>
      <c r="F515" s="16">
        <f>IF($H515="","",IFERROR(IF(SUMPRODUCT(MAX((WhoKW&lt;&gt;"")*ISNUMBER(SEARCH(WhoKW,INDEX(FormData,$H515,f_Who)&amp;""))*(ROW(WhoKW)-MIN(ROW(WhoKW))+1)))=0,"",INDEX(WhoVal,SUMPRODUCT(MAX((WhoKW&lt;&gt;"")*ISNUMBER(SEARCH(WhoKW,INDEX(FormData,$H515,f_Who)&amp;""))*(ROW(WhoKW)-MIN(ROW(WhoKW))+1))))),""))</f>
        <v/>
      </c>
      <c r="G515" s="14">
        <f>IF($H515="","",IF(COUNTIF(People!$U$5:$U$604,$B515)+COUNTIF(People!$U$5:$U$604,$B515&amp;"")&gt;0,"✓ logged","→ add"))</f>
        <v/>
      </c>
      <c r="H515">
        <f>IFERROR(IF(INDEX(FormData,512,f_Id)&amp;""="","",512),"")</f>
        <v/>
      </c>
      <c r="I515" s="16">
        <f>IF($H515="","",IFERROR(INDEX(FormData,$H515,f_Need)&amp;"",""))</f>
        <v/>
      </c>
    </row>
    <row r="516">
      <c r="A516" s="14" t="n">
        <v>512</v>
      </c>
      <c r="B516" s="14">
        <f>IF($H516="","",INDEX(FormData,$H516,f_Id))</f>
        <v/>
      </c>
      <c r="C516" s="15">
        <f>IF($H516="","",IFERROR(INDEX(FormData,$H516,f_Time),""))</f>
        <v/>
      </c>
      <c r="D516" s="14">
        <f>IF($H516="","",IFERROR(UPPER(LEFT(TRIM(INDEX(FormData,$H516,f_Name)),1)&amp;IFERROR(MID(TRIM(INDEX(FormData,$H516,f_Name)),FIND("^",SUBSTITUTE(TRIM(INDEX(FormData,$H516,f_Name))," ","^",LEN(TRIM(INDEX(FormData,$H516,f_Name)))-LEN(SUBSTITUTE(TRIM(INDEX(FormData,$H516,f_Name))," ",""))))+1,1),"")),""))</f>
        <v/>
      </c>
      <c r="E516" s="16">
        <f>IF($H516="","",IFERROR(INDEX(EvID,MATCH(INDEX(FormData,$H516,f_Event),EvID,0)),IFERROR(INDEX(EvID,MATCH(INDEX(FormData,$H516,f_Event),EvName,0)),IFERROR(INDEX(EvID,MATCH(INT($C516),EvDate,0)),"(no event that day)"))))</f>
        <v/>
      </c>
      <c r="F516" s="16">
        <f>IF($H516="","",IFERROR(IF(SUMPRODUCT(MAX((WhoKW&lt;&gt;"")*ISNUMBER(SEARCH(WhoKW,INDEX(FormData,$H516,f_Who)&amp;""))*(ROW(WhoKW)-MIN(ROW(WhoKW))+1)))=0,"",INDEX(WhoVal,SUMPRODUCT(MAX((WhoKW&lt;&gt;"")*ISNUMBER(SEARCH(WhoKW,INDEX(FormData,$H516,f_Who)&amp;""))*(ROW(WhoKW)-MIN(ROW(WhoKW))+1))))),""))</f>
        <v/>
      </c>
      <c r="G516" s="14">
        <f>IF($H516="","",IF(COUNTIF(People!$U$5:$U$604,$B516)+COUNTIF(People!$U$5:$U$604,$B516&amp;"")&gt;0,"✓ logged","→ add"))</f>
        <v/>
      </c>
      <c r="H516">
        <f>IFERROR(IF(INDEX(FormData,513,f_Id)&amp;""="","",513),"")</f>
        <v/>
      </c>
      <c r="I516" s="16">
        <f>IF($H516="","",IFERROR(INDEX(FormData,$H516,f_Need)&amp;"",""))</f>
        <v/>
      </c>
    </row>
    <row r="517">
      <c r="A517" s="14" t="n">
        <v>513</v>
      </c>
      <c r="B517" s="14">
        <f>IF($H517="","",INDEX(FormData,$H517,f_Id))</f>
        <v/>
      </c>
      <c r="C517" s="15">
        <f>IF($H517="","",IFERROR(INDEX(FormData,$H517,f_Time),""))</f>
        <v/>
      </c>
      <c r="D517" s="14">
        <f>IF($H517="","",IFERROR(UPPER(LEFT(TRIM(INDEX(FormData,$H517,f_Name)),1)&amp;IFERROR(MID(TRIM(INDEX(FormData,$H517,f_Name)),FIND("^",SUBSTITUTE(TRIM(INDEX(FormData,$H517,f_Name))," ","^",LEN(TRIM(INDEX(FormData,$H517,f_Name)))-LEN(SUBSTITUTE(TRIM(INDEX(FormData,$H517,f_Name))," ",""))))+1,1),"")),""))</f>
        <v/>
      </c>
      <c r="E517" s="16">
        <f>IF($H517="","",IFERROR(INDEX(EvID,MATCH(INDEX(FormData,$H517,f_Event),EvID,0)),IFERROR(INDEX(EvID,MATCH(INDEX(FormData,$H517,f_Event),EvName,0)),IFERROR(INDEX(EvID,MATCH(INT($C517),EvDate,0)),"(no event that day)"))))</f>
        <v/>
      </c>
      <c r="F517" s="16">
        <f>IF($H517="","",IFERROR(IF(SUMPRODUCT(MAX((WhoKW&lt;&gt;"")*ISNUMBER(SEARCH(WhoKW,INDEX(FormData,$H517,f_Who)&amp;""))*(ROW(WhoKW)-MIN(ROW(WhoKW))+1)))=0,"",INDEX(WhoVal,SUMPRODUCT(MAX((WhoKW&lt;&gt;"")*ISNUMBER(SEARCH(WhoKW,INDEX(FormData,$H517,f_Who)&amp;""))*(ROW(WhoKW)-MIN(ROW(WhoKW))+1))))),""))</f>
        <v/>
      </c>
      <c r="G517" s="14">
        <f>IF($H517="","",IF(COUNTIF(People!$U$5:$U$604,$B517)+COUNTIF(People!$U$5:$U$604,$B517&amp;"")&gt;0,"✓ logged","→ add"))</f>
        <v/>
      </c>
      <c r="H517">
        <f>IFERROR(IF(INDEX(FormData,514,f_Id)&amp;""="","",514),"")</f>
        <v/>
      </c>
      <c r="I517" s="16">
        <f>IF($H517="","",IFERROR(INDEX(FormData,$H517,f_Need)&amp;"",""))</f>
        <v/>
      </c>
    </row>
    <row r="518">
      <c r="A518" s="14" t="n">
        <v>514</v>
      </c>
      <c r="B518" s="14">
        <f>IF($H518="","",INDEX(FormData,$H518,f_Id))</f>
        <v/>
      </c>
      <c r="C518" s="15">
        <f>IF($H518="","",IFERROR(INDEX(FormData,$H518,f_Time),""))</f>
        <v/>
      </c>
      <c r="D518" s="14">
        <f>IF($H518="","",IFERROR(UPPER(LEFT(TRIM(INDEX(FormData,$H518,f_Name)),1)&amp;IFERROR(MID(TRIM(INDEX(FormData,$H518,f_Name)),FIND("^",SUBSTITUTE(TRIM(INDEX(FormData,$H518,f_Name))," ","^",LEN(TRIM(INDEX(FormData,$H518,f_Name)))-LEN(SUBSTITUTE(TRIM(INDEX(FormData,$H518,f_Name))," ",""))))+1,1),"")),""))</f>
        <v/>
      </c>
      <c r="E518" s="16">
        <f>IF($H518="","",IFERROR(INDEX(EvID,MATCH(INDEX(FormData,$H518,f_Event),EvID,0)),IFERROR(INDEX(EvID,MATCH(INDEX(FormData,$H518,f_Event),EvName,0)),IFERROR(INDEX(EvID,MATCH(INT($C518),EvDate,0)),"(no event that day)"))))</f>
        <v/>
      </c>
      <c r="F518" s="16">
        <f>IF($H518="","",IFERROR(IF(SUMPRODUCT(MAX((WhoKW&lt;&gt;"")*ISNUMBER(SEARCH(WhoKW,INDEX(FormData,$H518,f_Who)&amp;""))*(ROW(WhoKW)-MIN(ROW(WhoKW))+1)))=0,"",INDEX(WhoVal,SUMPRODUCT(MAX((WhoKW&lt;&gt;"")*ISNUMBER(SEARCH(WhoKW,INDEX(FormData,$H518,f_Who)&amp;""))*(ROW(WhoKW)-MIN(ROW(WhoKW))+1))))),""))</f>
        <v/>
      </c>
      <c r="G518" s="14">
        <f>IF($H518="","",IF(COUNTIF(People!$U$5:$U$604,$B518)+COUNTIF(People!$U$5:$U$604,$B518&amp;"")&gt;0,"✓ logged","→ add"))</f>
        <v/>
      </c>
      <c r="H518">
        <f>IFERROR(IF(INDEX(FormData,515,f_Id)&amp;""="","",515),"")</f>
        <v/>
      </c>
      <c r="I518" s="16">
        <f>IF($H518="","",IFERROR(INDEX(FormData,$H518,f_Need)&amp;"",""))</f>
        <v/>
      </c>
    </row>
    <row r="519">
      <c r="A519" s="14" t="n">
        <v>515</v>
      </c>
      <c r="B519" s="14">
        <f>IF($H519="","",INDEX(FormData,$H519,f_Id))</f>
        <v/>
      </c>
      <c r="C519" s="15">
        <f>IF($H519="","",IFERROR(INDEX(FormData,$H519,f_Time),""))</f>
        <v/>
      </c>
      <c r="D519" s="14">
        <f>IF($H519="","",IFERROR(UPPER(LEFT(TRIM(INDEX(FormData,$H519,f_Name)),1)&amp;IFERROR(MID(TRIM(INDEX(FormData,$H519,f_Name)),FIND("^",SUBSTITUTE(TRIM(INDEX(FormData,$H519,f_Name))," ","^",LEN(TRIM(INDEX(FormData,$H519,f_Name)))-LEN(SUBSTITUTE(TRIM(INDEX(FormData,$H519,f_Name))," ",""))))+1,1),"")),""))</f>
        <v/>
      </c>
      <c r="E519" s="16">
        <f>IF($H519="","",IFERROR(INDEX(EvID,MATCH(INDEX(FormData,$H519,f_Event),EvID,0)),IFERROR(INDEX(EvID,MATCH(INDEX(FormData,$H519,f_Event),EvName,0)),IFERROR(INDEX(EvID,MATCH(INT($C519),EvDate,0)),"(no event that day)"))))</f>
        <v/>
      </c>
      <c r="F519" s="16">
        <f>IF($H519="","",IFERROR(IF(SUMPRODUCT(MAX((WhoKW&lt;&gt;"")*ISNUMBER(SEARCH(WhoKW,INDEX(FormData,$H519,f_Who)&amp;""))*(ROW(WhoKW)-MIN(ROW(WhoKW))+1)))=0,"",INDEX(WhoVal,SUMPRODUCT(MAX((WhoKW&lt;&gt;"")*ISNUMBER(SEARCH(WhoKW,INDEX(FormData,$H519,f_Who)&amp;""))*(ROW(WhoKW)-MIN(ROW(WhoKW))+1))))),""))</f>
        <v/>
      </c>
      <c r="G519" s="14">
        <f>IF($H519="","",IF(COUNTIF(People!$U$5:$U$604,$B519)+COUNTIF(People!$U$5:$U$604,$B519&amp;"")&gt;0,"✓ logged","→ add"))</f>
        <v/>
      </c>
      <c r="H519">
        <f>IFERROR(IF(INDEX(FormData,516,f_Id)&amp;""="","",516),"")</f>
        <v/>
      </c>
      <c r="I519" s="16">
        <f>IF($H519="","",IFERROR(INDEX(FormData,$H519,f_Need)&amp;"",""))</f>
        <v/>
      </c>
    </row>
    <row r="520">
      <c r="A520" s="14" t="n">
        <v>516</v>
      </c>
      <c r="B520" s="14">
        <f>IF($H520="","",INDEX(FormData,$H520,f_Id))</f>
        <v/>
      </c>
      <c r="C520" s="15">
        <f>IF($H520="","",IFERROR(INDEX(FormData,$H520,f_Time),""))</f>
        <v/>
      </c>
      <c r="D520" s="14">
        <f>IF($H520="","",IFERROR(UPPER(LEFT(TRIM(INDEX(FormData,$H520,f_Name)),1)&amp;IFERROR(MID(TRIM(INDEX(FormData,$H520,f_Name)),FIND("^",SUBSTITUTE(TRIM(INDEX(FormData,$H520,f_Name))," ","^",LEN(TRIM(INDEX(FormData,$H520,f_Name)))-LEN(SUBSTITUTE(TRIM(INDEX(FormData,$H520,f_Name))," ",""))))+1,1),"")),""))</f>
        <v/>
      </c>
      <c r="E520" s="16">
        <f>IF($H520="","",IFERROR(INDEX(EvID,MATCH(INDEX(FormData,$H520,f_Event),EvID,0)),IFERROR(INDEX(EvID,MATCH(INDEX(FormData,$H520,f_Event),EvName,0)),IFERROR(INDEX(EvID,MATCH(INT($C520),EvDate,0)),"(no event that day)"))))</f>
        <v/>
      </c>
      <c r="F520" s="16">
        <f>IF($H520="","",IFERROR(IF(SUMPRODUCT(MAX((WhoKW&lt;&gt;"")*ISNUMBER(SEARCH(WhoKW,INDEX(FormData,$H520,f_Who)&amp;""))*(ROW(WhoKW)-MIN(ROW(WhoKW))+1)))=0,"",INDEX(WhoVal,SUMPRODUCT(MAX((WhoKW&lt;&gt;"")*ISNUMBER(SEARCH(WhoKW,INDEX(FormData,$H520,f_Who)&amp;""))*(ROW(WhoKW)-MIN(ROW(WhoKW))+1))))),""))</f>
        <v/>
      </c>
      <c r="G520" s="14">
        <f>IF($H520="","",IF(COUNTIF(People!$U$5:$U$604,$B520)+COUNTIF(People!$U$5:$U$604,$B520&amp;"")&gt;0,"✓ logged","→ add"))</f>
        <v/>
      </c>
      <c r="H520">
        <f>IFERROR(IF(INDEX(FormData,517,f_Id)&amp;""="","",517),"")</f>
        <v/>
      </c>
      <c r="I520" s="16">
        <f>IF($H520="","",IFERROR(INDEX(FormData,$H520,f_Need)&amp;"",""))</f>
        <v/>
      </c>
    </row>
    <row r="521">
      <c r="A521" s="14" t="n">
        <v>517</v>
      </c>
      <c r="B521" s="14">
        <f>IF($H521="","",INDEX(FormData,$H521,f_Id))</f>
        <v/>
      </c>
      <c r="C521" s="15">
        <f>IF($H521="","",IFERROR(INDEX(FormData,$H521,f_Time),""))</f>
        <v/>
      </c>
      <c r="D521" s="14">
        <f>IF($H521="","",IFERROR(UPPER(LEFT(TRIM(INDEX(FormData,$H521,f_Name)),1)&amp;IFERROR(MID(TRIM(INDEX(FormData,$H521,f_Name)),FIND("^",SUBSTITUTE(TRIM(INDEX(FormData,$H521,f_Name))," ","^",LEN(TRIM(INDEX(FormData,$H521,f_Name)))-LEN(SUBSTITUTE(TRIM(INDEX(FormData,$H521,f_Name))," ",""))))+1,1),"")),""))</f>
        <v/>
      </c>
      <c r="E521" s="16">
        <f>IF($H521="","",IFERROR(INDEX(EvID,MATCH(INDEX(FormData,$H521,f_Event),EvID,0)),IFERROR(INDEX(EvID,MATCH(INDEX(FormData,$H521,f_Event),EvName,0)),IFERROR(INDEX(EvID,MATCH(INT($C521),EvDate,0)),"(no event that day)"))))</f>
        <v/>
      </c>
      <c r="F521" s="16">
        <f>IF($H521="","",IFERROR(IF(SUMPRODUCT(MAX((WhoKW&lt;&gt;"")*ISNUMBER(SEARCH(WhoKW,INDEX(FormData,$H521,f_Who)&amp;""))*(ROW(WhoKW)-MIN(ROW(WhoKW))+1)))=0,"",INDEX(WhoVal,SUMPRODUCT(MAX((WhoKW&lt;&gt;"")*ISNUMBER(SEARCH(WhoKW,INDEX(FormData,$H521,f_Who)&amp;""))*(ROW(WhoKW)-MIN(ROW(WhoKW))+1))))),""))</f>
        <v/>
      </c>
      <c r="G521" s="14">
        <f>IF($H521="","",IF(COUNTIF(People!$U$5:$U$604,$B521)+COUNTIF(People!$U$5:$U$604,$B521&amp;"")&gt;0,"✓ logged","→ add"))</f>
        <v/>
      </c>
      <c r="H521">
        <f>IFERROR(IF(INDEX(FormData,518,f_Id)&amp;""="","",518),"")</f>
        <v/>
      </c>
      <c r="I521" s="16">
        <f>IF($H521="","",IFERROR(INDEX(FormData,$H521,f_Need)&amp;"",""))</f>
        <v/>
      </c>
    </row>
    <row r="522">
      <c r="A522" s="14" t="n">
        <v>518</v>
      </c>
      <c r="B522" s="14">
        <f>IF($H522="","",INDEX(FormData,$H522,f_Id))</f>
        <v/>
      </c>
      <c r="C522" s="15">
        <f>IF($H522="","",IFERROR(INDEX(FormData,$H522,f_Time),""))</f>
        <v/>
      </c>
      <c r="D522" s="14">
        <f>IF($H522="","",IFERROR(UPPER(LEFT(TRIM(INDEX(FormData,$H522,f_Name)),1)&amp;IFERROR(MID(TRIM(INDEX(FormData,$H522,f_Name)),FIND("^",SUBSTITUTE(TRIM(INDEX(FormData,$H522,f_Name))," ","^",LEN(TRIM(INDEX(FormData,$H522,f_Name)))-LEN(SUBSTITUTE(TRIM(INDEX(FormData,$H522,f_Name))," ",""))))+1,1),"")),""))</f>
        <v/>
      </c>
      <c r="E522" s="16">
        <f>IF($H522="","",IFERROR(INDEX(EvID,MATCH(INDEX(FormData,$H522,f_Event),EvID,0)),IFERROR(INDEX(EvID,MATCH(INDEX(FormData,$H522,f_Event),EvName,0)),IFERROR(INDEX(EvID,MATCH(INT($C522),EvDate,0)),"(no event that day)"))))</f>
        <v/>
      </c>
      <c r="F522" s="16">
        <f>IF($H522="","",IFERROR(IF(SUMPRODUCT(MAX((WhoKW&lt;&gt;"")*ISNUMBER(SEARCH(WhoKW,INDEX(FormData,$H522,f_Who)&amp;""))*(ROW(WhoKW)-MIN(ROW(WhoKW))+1)))=0,"",INDEX(WhoVal,SUMPRODUCT(MAX((WhoKW&lt;&gt;"")*ISNUMBER(SEARCH(WhoKW,INDEX(FormData,$H522,f_Who)&amp;""))*(ROW(WhoKW)-MIN(ROW(WhoKW))+1))))),""))</f>
        <v/>
      </c>
      <c r="G522" s="14">
        <f>IF($H522="","",IF(COUNTIF(People!$U$5:$U$604,$B522)+COUNTIF(People!$U$5:$U$604,$B522&amp;"")&gt;0,"✓ logged","→ add"))</f>
        <v/>
      </c>
      <c r="H522">
        <f>IFERROR(IF(INDEX(FormData,519,f_Id)&amp;""="","",519),"")</f>
        <v/>
      </c>
      <c r="I522" s="16">
        <f>IF($H522="","",IFERROR(INDEX(FormData,$H522,f_Need)&amp;"",""))</f>
        <v/>
      </c>
    </row>
    <row r="523">
      <c r="A523" s="14" t="n">
        <v>519</v>
      </c>
      <c r="B523" s="14">
        <f>IF($H523="","",INDEX(FormData,$H523,f_Id))</f>
        <v/>
      </c>
      <c r="C523" s="15">
        <f>IF($H523="","",IFERROR(INDEX(FormData,$H523,f_Time),""))</f>
        <v/>
      </c>
      <c r="D523" s="14">
        <f>IF($H523="","",IFERROR(UPPER(LEFT(TRIM(INDEX(FormData,$H523,f_Name)),1)&amp;IFERROR(MID(TRIM(INDEX(FormData,$H523,f_Name)),FIND("^",SUBSTITUTE(TRIM(INDEX(FormData,$H523,f_Name))," ","^",LEN(TRIM(INDEX(FormData,$H523,f_Name)))-LEN(SUBSTITUTE(TRIM(INDEX(FormData,$H523,f_Name))," ",""))))+1,1),"")),""))</f>
        <v/>
      </c>
      <c r="E523" s="16">
        <f>IF($H523="","",IFERROR(INDEX(EvID,MATCH(INDEX(FormData,$H523,f_Event),EvID,0)),IFERROR(INDEX(EvID,MATCH(INDEX(FormData,$H523,f_Event),EvName,0)),IFERROR(INDEX(EvID,MATCH(INT($C523),EvDate,0)),"(no event that day)"))))</f>
        <v/>
      </c>
      <c r="F523" s="16">
        <f>IF($H523="","",IFERROR(IF(SUMPRODUCT(MAX((WhoKW&lt;&gt;"")*ISNUMBER(SEARCH(WhoKW,INDEX(FormData,$H523,f_Who)&amp;""))*(ROW(WhoKW)-MIN(ROW(WhoKW))+1)))=0,"",INDEX(WhoVal,SUMPRODUCT(MAX((WhoKW&lt;&gt;"")*ISNUMBER(SEARCH(WhoKW,INDEX(FormData,$H523,f_Who)&amp;""))*(ROW(WhoKW)-MIN(ROW(WhoKW))+1))))),""))</f>
        <v/>
      </c>
      <c r="G523" s="14">
        <f>IF($H523="","",IF(COUNTIF(People!$U$5:$U$604,$B523)+COUNTIF(People!$U$5:$U$604,$B523&amp;"")&gt;0,"✓ logged","→ add"))</f>
        <v/>
      </c>
      <c r="H523">
        <f>IFERROR(IF(INDEX(FormData,520,f_Id)&amp;""="","",520),"")</f>
        <v/>
      </c>
      <c r="I523" s="16">
        <f>IF($H523="","",IFERROR(INDEX(FormData,$H523,f_Need)&amp;"",""))</f>
        <v/>
      </c>
    </row>
    <row r="524">
      <c r="A524" s="14" t="n">
        <v>520</v>
      </c>
      <c r="B524" s="14">
        <f>IF($H524="","",INDEX(FormData,$H524,f_Id))</f>
        <v/>
      </c>
      <c r="C524" s="15">
        <f>IF($H524="","",IFERROR(INDEX(FormData,$H524,f_Time),""))</f>
        <v/>
      </c>
      <c r="D524" s="14">
        <f>IF($H524="","",IFERROR(UPPER(LEFT(TRIM(INDEX(FormData,$H524,f_Name)),1)&amp;IFERROR(MID(TRIM(INDEX(FormData,$H524,f_Name)),FIND("^",SUBSTITUTE(TRIM(INDEX(FormData,$H524,f_Name))," ","^",LEN(TRIM(INDEX(FormData,$H524,f_Name)))-LEN(SUBSTITUTE(TRIM(INDEX(FormData,$H524,f_Name))," ",""))))+1,1),"")),""))</f>
        <v/>
      </c>
      <c r="E524" s="16">
        <f>IF($H524="","",IFERROR(INDEX(EvID,MATCH(INDEX(FormData,$H524,f_Event),EvID,0)),IFERROR(INDEX(EvID,MATCH(INDEX(FormData,$H524,f_Event),EvName,0)),IFERROR(INDEX(EvID,MATCH(INT($C524),EvDate,0)),"(no event that day)"))))</f>
        <v/>
      </c>
      <c r="F524" s="16">
        <f>IF($H524="","",IFERROR(IF(SUMPRODUCT(MAX((WhoKW&lt;&gt;"")*ISNUMBER(SEARCH(WhoKW,INDEX(FormData,$H524,f_Who)&amp;""))*(ROW(WhoKW)-MIN(ROW(WhoKW))+1)))=0,"",INDEX(WhoVal,SUMPRODUCT(MAX((WhoKW&lt;&gt;"")*ISNUMBER(SEARCH(WhoKW,INDEX(FormData,$H524,f_Who)&amp;""))*(ROW(WhoKW)-MIN(ROW(WhoKW))+1))))),""))</f>
        <v/>
      </c>
      <c r="G524" s="14">
        <f>IF($H524="","",IF(COUNTIF(People!$U$5:$U$604,$B524)+COUNTIF(People!$U$5:$U$604,$B524&amp;"")&gt;0,"✓ logged","→ add"))</f>
        <v/>
      </c>
      <c r="H524">
        <f>IFERROR(IF(INDEX(FormData,521,f_Id)&amp;""="","",521),"")</f>
        <v/>
      </c>
      <c r="I524" s="16">
        <f>IF($H524="","",IFERROR(INDEX(FormData,$H524,f_Need)&amp;"",""))</f>
        <v/>
      </c>
    </row>
    <row r="525">
      <c r="A525" s="14" t="n">
        <v>521</v>
      </c>
      <c r="B525" s="14">
        <f>IF($H525="","",INDEX(FormData,$H525,f_Id))</f>
        <v/>
      </c>
      <c r="C525" s="15">
        <f>IF($H525="","",IFERROR(INDEX(FormData,$H525,f_Time),""))</f>
        <v/>
      </c>
      <c r="D525" s="14">
        <f>IF($H525="","",IFERROR(UPPER(LEFT(TRIM(INDEX(FormData,$H525,f_Name)),1)&amp;IFERROR(MID(TRIM(INDEX(FormData,$H525,f_Name)),FIND("^",SUBSTITUTE(TRIM(INDEX(FormData,$H525,f_Name))," ","^",LEN(TRIM(INDEX(FormData,$H525,f_Name)))-LEN(SUBSTITUTE(TRIM(INDEX(FormData,$H525,f_Name))," ",""))))+1,1),"")),""))</f>
        <v/>
      </c>
      <c r="E525" s="16">
        <f>IF($H525="","",IFERROR(INDEX(EvID,MATCH(INDEX(FormData,$H525,f_Event),EvID,0)),IFERROR(INDEX(EvID,MATCH(INDEX(FormData,$H525,f_Event),EvName,0)),IFERROR(INDEX(EvID,MATCH(INT($C525),EvDate,0)),"(no event that day)"))))</f>
        <v/>
      </c>
      <c r="F525" s="16">
        <f>IF($H525="","",IFERROR(IF(SUMPRODUCT(MAX((WhoKW&lt;&gt;"")*ISNUMBER(SEARCH(WhoKW,INDEX(FormData,$H525,f_Who)&amp;""))*(ROW(WhoKW)-MIN(ROW(WhoKW))+1)))=0,"",INDEX(WhoVal,SUMPRODUCT(MAX((WhoKW&lt;&gt;"")*ISNUMBER(SEARCH(WhoKW,INDEX(FormData,$H525,f_Who)&amp;""))*(ROW(WhoKW)-MIN(ROW(WhoKW))+1))))),""))</f>
        <v/>
      </c>
      <c r="G525" s="14">
        <f>IF($H525="","",IF(COUNTIF(People!$U$5:$U$604,$B525)+COUNTIF(People!$U$5:$U$604,$B525&amp;"")&gt;0,"✓ logged","→ add"))</f>
        <v/>
      </c>
      <c r="H525">
        <f>IFERROR(IF(INDEX(FormData,522,f_Id)&amp;""="","",522),"")</f>
        <v/>
      </c>
      <c r="I525" s="16">
        <f>IF($H525="","",IFERROR(INDEX(FormData,$H525,f_Need)&amp;"",""))</f>
        <v/>
      </c>
    </row>
    <row r="526">
      <c r="A526" s="14" t="n">
        <v>522</v>
      </c>
      <c r="B526" s="14">
        <f>IF($H526="","",INDEX(FormData,$H526,f_Id))</f>
        <v/>
      </c>
      <c r="C526" s="15">
        <f>IF($H526="","",IFERROR(INDEX(FormData,$H526,f_Time),""))</f>
        <v/>
      </c>
      <c r="D526" s="14">
        <f>IF($H526="","",IFERROR(UPPER(LEFT(TRIM(INDEX(FormData,$H526,f_Name)),1)&amp;IFERROR(MID(TRIM(INDEX(FormData,$H526,f_Name)),FIND("^",SUBSTITUTE(TRIM(INDEX(FormData,$H526,f_Name))," ","^",LEN(TRIM(INDEX(FormData,$H526,f_Name)))-LEN(SUBSTITUTE(TRIM(INDEX(FormData,$H526,f_Name))," ",""))))+1,1),"")),""))</f>
        <v/>
      </c>
      <c r="E526" s="16">
        <f>IF($H526="","",IFERROR(INDEX(EvID,MATCH(INDEX(FormData,$H526,f_Event),EvID,0)),IFERROR(INDEX(EvID,MATCH(INDEX(FormData,$H526,f_Event),EvName,0)),IFERROR(INDEX(EvID,MATCH(INT($C526),EvDate,0)),"(no event that day)"))))</f>
        <v/>
      </c>
      <c r="F526" s="16">
        <f>IF($H526="","",IFERROR(IF(SUMPRODUCT(MAX((WhoKW&lt;&gt;"")*ISNUMBER(SEARCH(WhoKW,INDEX(FormData,$H526,f_Who)&amp;""))*(ROW(WhoKW)-MIN(ROW(WhoKW))+1)))=0,"",INDEX(WhoVal,SUMPRODUCT(MAX((WhoKW&lt;&gt;"")*ISNUMBER(SEARCH(WhoKW,INDEX(FormData,$H526,f_Who)&amp;""))*(ROW(WhoKW)-MIN(ROW(WhoKW))+1))))),""))</f>
        <v/>
      </c>
      <c r="G526" s="14">
        <f>IF($H526="","",IF(COUNTIF(People!$U$5:$U$604,$B526)+COUNTIF(People!$U$5:$U$604,$B526&amp;"")&gt;0,"✓ logged","→ add"))</f>
        <v/>
      </c>
      <c r="H526">
        <f>IFERROR(IF(INDEX(FormData,523,f_Id)&amp;""="","",523),"")</f>
        <v/>
      </c>
      <c r="I526" s="16">
        <f>IF($H526="","",IFERROR(INDEX(FormData,$H526,f_Need)&amp;"",""))</f>
        <v/>
      </c>
    </row>
    <row r="527">
      <c r="A527" s="14" t="n">
        <v>523</v>
      </c>
      <c r="B527" s="14">
        <f>IF($H527="","",INDEX(FormData,$H527,f_Id))</f>
        <v/>
      </c>
      <c r="C527" s="15">
        <f>IF($H527="","",IFERROR(INDEX(FormData,$H527,f_Time),""))</f>
        <v/>
      </c>
      <c r="D527" s="14">
        <f>IF($H527="","",IFERROR(UPPER(LEFT(TRIM(INDEX(FormData,$H527,f_Name)),1)&amp;IFERROR(MID(TRIM(INDEX(FormData,$H527,f_Name)),FIND("^",SUBSTITUTE(TRIM(INDEX(FormData,$H527,f_Name))," ","^",LEN(TRIM(INDEX(FormData,$H527,f_Name)))-LEN(SUBSTITUTE(TRIM(INDEX(FormData,$H527,f_Name))," ",""))))+1,1),"")),""))</f>
        <v/>
      </c>
      <c r="E527" s="16">
        <f>IF($H527="","",IFERROR(INDEX(EvID,MATCH(INDEX(FormData,$H527,f_Event),EvID,0)),IFERROR(INDEX(EvID,MATCH(INDEX(FormData,$H527,f_Event),EvName,0)),IFERROR(INDEX(EvID,MATCH(INT($C527),EvDate,0)),"(no event that day)"))))</f>
        <v/>
      </c>
      <c r="F527" s="16">
        <f>IF($H527="","",IFERROR(IF(SUMPRODUCT(MAX((WhoKW&lt;&gt;"")*ISNUMBER(SEARCH(WhoKW,INDEX(FormData,$H527,f_Who)&amp;""))*(ROW(WhoKW)-MIN(ROW(WhoKW))+1)))=0,"",INDEX(WhoVal,SUMPRODUCT(MAX((WhoKW&lt;&gt;"")*ISNUMBER(SEARCH(WhoKW,INDEX(FormData,$H527,f_Who)&amp;""))*(ROW(WhoKW)-MIN(ROW(WhoKW))+1))))),""))</f>
        <v/>
      </c>
      <c r="G527" s="14">
        <f>IF($H527="","",IF(COUNTIF(People!$U$5:$U$604,$B527)+COUNTIF(People!$U$5:$U$604,$B527&amp;"")&gt;0,"✓ logged","→ add"))</f>
        <v/>
      </c>
      <c r="H527">
        <f>IFERROR(IF(INDEX(FormData,524,f_Id)&amp;""="","",524),"")</f>
        <v/>
      </c>
      <c r="I527" s="16">
        <f>IF($H527="","",IFERROR(INDEX(FormData,$H527,f_Need)&amp;"",""))</f>
        <v/>
      </c>
    </row>
    <row r="528">
      <c r="A528" s="14" t="n">
        <v>524</v>
      </c>
      <c r="B528" s="14">
        <f>IF($H528="","",INDEX(FormData,$H528,f_Id))</f>
        <v/>
      </c>
      <c r="C528" s="15">
        <f>IF($H528="","",IFERROR(INDEX(FormData,$H528,f_Time),""))</f>
        <v/>
      </c>
      <c r="D528" s="14">
        <f>IF($H528="","",IFERROR(UPPER(LEFT(TRIM(INDEX(FormData,$H528,f_Name)),1)&amp;IFERROR(MID(TRIM(INDEX(FormData,$H528,f_Name)),FIND("^",SUBSTITUTE(TRIM(INDEX(FormData,$H528,f_Name))," ","^",LEN(TRIM(INDEX(FormData,$H528,f_Name)))-LEN(SUBSTITUTE(TRIM(INDEX(FormData,$H528,f_Name))," ",""))))+1,1),"")),""))</f>
        <v/>
      </c>
      <c r="E528" s="16">
        <f>IF($H528="","",IFERROR(INDEX(EvID,MATCH(INDEX(FormData,$H528,f_Event),EvID,0)),IFERROR(INDEX(EvID,MATCH(INDEX(FormData,$H528,f_Event),EvName,0)),IFERROR(INDEX(EvID,MATCH(INT($C528),EvDate,0)),"(no event that day)"))))</f>
        <v/>
      </c>
      <c r="F528" s="16">
        <f>IF($H528="","",IFERROR(IF(SUMPRODUCT(MAX((WhoKW&lt;&gt;"")*ISNUMBER(SEARCH(WhoKW,INDEX(FormData,$H528,f_Who)&amp;""))*(ROW(WhoKW)-MIN(ROW(WhoKW))+1)))=0,"",INDEX(WhoVal,SUMPRODUCT(MAX((WhoKW&lt;&gt;"")*ISNUMBER(SEARCH(WhoKW,INDEX(FormData,$H528,f_Who)&amp;""))*(ROW(WhoKW)-MIN(ROW(WhoKW))+1))))),""))</f>
        <v/>
      </c>
      <c r="G528" s="14">
        <f>IF($H528="","",IF(COUNTIF(People!$U$5:$U$604,$B528)+COUNTIF(People!$U$5:$U$604,$B528&amp;"")&gt;0,"✓ logged","→ add"))</f>
        <v/>
      </c>
      <c r="H528">
        <f>IFERROR(IF(INDEX(FormData,525,f_Id)&amp;""="","",525),"")</f>
        <v/>
      </c>
      <c r="I528" s="16">
        <f>IF($H528="","",IFERROR(INDEX(FormData,$H528,f_Need)&amp;"",""))</f>
        <v/>
      </c>
    </row>
    <row r="529">
      <c r="A529" s="14" t="n">
        <v>525</v>
      </c>
      <c r="B529" s="14">
        <f>IF($H529="","",INDEX(FormData,$H529,f_Id))</f>
        <v/>
      </c>
      <c r="C529" s="15">
        <f>IF($H529="","",IFERROR(INDEX(FormData,$H529,f_Time),""))</f>
        <v/>
      </c>
      <c r="D529" s="14">
        <f>IF($H529="","",IFERROR(UPPER(LEFT(TRIM(INDEX(FormData,$H529,f_Name)),1)&amp;IFERROR(MID(TRIM(INDEX(FormData,$H529,f_Name)),FIND("^",SUBSTITUTE(TRIM(INDEX(FormData,$H529,f_Name))," ","^",LEN(TRIM(INDEX(FormData,$H529,f_Name)))-LEN(SUBSTITUTE(TRIM(INDEX(FormData,$H529,f_Name))," ",""))))+1,1),"")),""))</f>
        <v/>
      </c>
      <c r="E529" s="16">
        <f>IF($H529="","",IFERROR(INDEX(EvID,MATCH(INDEX(FormData,$H529,f_Event),EvID,0)),IFERROR(INDEX(EvID,MATCH(INDEX(FormData,$H529,f_Event),EvName,0)),IFERROR(INDEX(EvID,MATCH(INT($C529),EvDate,0)),"(no event that day)"))))</f>
        <v/>
      </c>
      <c r="F529" s="16">
        <f>IF($H529="","",IFERROR(IF(SUMPRODUCT(MAX((WhoKW&lt;&gt;"")*ISNUMBER(SEARCH(WhoKW,INDEX(FormData,$H529,f_Who)&amp;""))*(ROW(WhoKW)-MIN(ROW(WhoKW))+1)))=0,"",INDEX(WhoVal,SUMPRODUCT(MAX((WhoKW&lt;&gt;"")*ISNUMBER(SEARCH(WhoKW,INDEX(FormData,$H529,f_Who)&amp;""))*(ROW(WhoKW)-MIN(ROW(WhoKW))+1))))),""))</f>
        <v/>
      </c>
      <c r="G529" s="14">
        <f>IF($H529="","",IF(COUNTIF(People!$U$5:$U$604,$B529)+COUNTIF(People!$U$5:$U$604,$B529&amp;"")&gt;0,"✓ logged","→ add"))</f>
        <v/>
      </c>
      <c r="H529">
        <f>IFERROR(IF(INDEX(FormData,526,f_Id)&amp;""="","",526),"")</f>
        <v/>
      </c>
      <c r="I529" s="16">
        <f>IF($H529="","",IFERROR(INDEX(FormData,$H529,f_Need)&amp;"",""))</f>
        <v/>
      </c>
    </row>
    <row r="530">
      <c r="A530" s="14" t="n">
        <v>526</v>
      </c>
      <c r="B530" s="14">
        <f>IF($H530="","",INDEX(FormData,$H530,f_Id))</f>
        <v/>
      </c>
      <c r="C530" s="15">
        <f>IF($H530="","",IFERROR(INDEX(FormData,$H530,f_Time),""))</f>
        <v/>
      </c>
      <c r="D530" s="14">
        <f>IF($H530="","",IFERROR(UPPER(LEFT(TRIM(INDEX(FormData,$H530,f_Name)),1)&amp;IFERROR(MID(TRIM(INDEX(FormData,$H530,f_Name)),FIND("^",SUBSTITUTE(TRIM(INDEX(FormData,$H530,f_Name))," ","^",LEN(TRIM(INDEX(FormData,$H530,f_Name)))-LEN(SUBSTITUTE(TRIM(INDEX(FormData,$H530,f_Name))," ",""))))+1,1),"")),""))</f>
        <v/>
      </c>
      <c r="E530" s="16">
        <f>IF($H530="","",IFERROR(INDEX(EvID,MATCH(INDEX(FormData,$H530,f_Event),EvID,0)),IFERROR(INDEX(EvID,MATCH(INDEX(FormData,$H530,f_Event),EvName,0)),IFERROR(INDEX(EvID,MATCH(INT($C530),EvDate,0)),"(no event that day)"))))</f>
        <v/>
      </c>
      <c r="F530" s="16">
        <f>IF($H530="","",IFERROR(IF(SUMPRODUCT(MAX((WhoKW&lt;&gt;"")*ISNUMBER(SEARCH(WhoKW,INDEX(FormData,$H530,f_Who)&amp;""))*(ROW(WhoKW)-MIN(ROW(WhoKW))+1)))=0,"",INDEX(WhoVal,SUMPRODUCT(MAX((WhoKW&lt;&gt;"")*ISNUMBER(SEARCH(WhoKW,INDEX(FormData,$H530,f_Who)&amp;""))*(ROW(WhoKW)-MIN(ROW(WhoKW))+1))))),""))</f>
        <v/>
      </c>
      <c r="G530" s="14">
        <f>IF($H530="","",IF(COUNTIF(People!$U$5:$U$604,$B530)+COUNTIF(People!$U$5:$U$604,$B530&amp;"")&gt;0,"✓ logged","→ add"))</f>
        <v/>
      </c>
      <c r="H530">
        <f>IFERROR(IF(INDEX(FormData,527,f_Id)&amp;""="","",527),"")</f>
        <v/>
      </c>
      <c r="I530" s="16">
        <f>IF($H530="","",IFERROR(INDEX(FormData,$H530,f_Need)&amp;"",""))</f>
        <v/>
      </c>
    </row>
    <row r="531">
      <c r="A531" s="14" t="n">
        <v>527</v>
      </c>
      <c r="B531" s="14">
        <f>IF($H531="","",INDEX(FormData,$H531,f_Id))</f>
        <v/>
      </c>
      <c r="C531" s="15">
        <f>IF($H531="","",IFERROR(INDEX(FormData,$H531,f_Time),""))</f>
        <v/>
      </c>
      <c r="D531" s="14">
        <f>IF($H531="","",IFERROR(UPPER(LEFT(TRIM(INDEX(FormData,$H531,f_Name)),1)&amp;IFERROR(MID(TRIM(INDEX(FormData,$H531,f_Name)),FIND("^",SUBSTITUTE(TRIM(INDEX(FormData,$H531,f_Name))," ","^",LEN(TRIM(INDEX(FormData,$H531,f_Name)))-LEN(SUBSTITUTE(TRIM(INDEX(FormData,$H531,f_Name))," ",""))))+1,1),"")),""))</f>
        <v/>
      </c>
      <c r="E531" s="16">
        <f>IF($H531="","",IFERROR(INDEX(EvID,MATCH(INDEX(FormData,$H531,f_Event),EvID,0)),IFERROR(INDEX(EvID,MATCH(INDEX(FormData,$H531,f_Event),EvName,0)),IFERROR(INDEX(EvID,MATCH(INT($C531),EvDate,0)),"(no event that day)"))))</f>
        <v/>
      </c>
      <c r="F531" s="16">
        <f>IF($H531="","",IFERROR(IF(SUMPRODUCT(MAX((WhoKW&lt;&gt;"")*ISNUMBER(SEARCH(WhoKW,INDEX(FormData,$H531,f_Who)&amp;""))*(ROW(WhoKW)-MIN(ROW(WhoKW))+1)))=0,"",INDEX(WhoVal,SUMPRODUCT(MAX((WhoKW&lt;&gt;"")*ISNUMBER(SEARCH(WhoKW,INDEX(FormData,$H531,f_Who)&amp;""))*(ROW(WhoKW)-MIN(ROW(WhoKW))+1))))),""))</f>
        <v/>
      </c>
      <c r="G531" s="14">
        <f>IF($H531="","",IF(COUNTIF(People!$U$5:$U$604,$B531)+COUNTIF(People!$U$5:$U$604,$B531&amp;"")&gt;0,"✓ logged","→ add"))</f>
        <v/>
      </c>
      <c r="H531">
        <f>IFERROR(IF(INDEX(FormData,528,f_Id)&amp;""="","",528),"")</f>
        <v/>
      </c>
      <c r="I531" s="16">
        <f>IF($H531="","",IFERROR(INDEX(FormData,$H531,f_Need)&amp;"",""))</f>
        <v/>
      </c>
    </row>
    <row r="532">
      <c r="A532" s="14" t="n">
        <v>528</v>
      </c>
      <c r="B532" s="14">
        <f>IF($H532="","",INDEX(FormData,$H532,f_Id))</f>
        <v/>
      </c>
      <c r="C532" s="15">
        <f>IF($H532="","",IFERROR(INDEX(FormData,$H532,f_Time),""))</f>
        <v/>
      </c>
      <c r="D532" s="14">
        <f>IF($H532="","",IFERROR(UPPER(LEFT(TRIM(INDEX(FormData,$H532,f_Name)),1)&amp;IFERROR(MID(TRIM(INDEX(FormData,$H532,f_Name)),FIND("^",SUBSTITUTE(TRIM(INDEX(FormData,$H532,f_Name))," ","^",LEN(TRIM(INDEX(FormData,$H532,f_Name)))-LEN(SUBSTITUTE(TRIM(INDEX(FormData,$H532,f_Name))," ",""))))+1,1),"")),""))</f>
        <v/>
      </c>
      <c r="E532" s="16">
        <f>IF($H532="","",IFERROR(INDEX(EvID,MATCH(INDEX(FormData,$H532,f_Event),EvID,0)),IFERROR(INDEX(EvID,MATCH(INDEX(FormData,$H532,f_Event),EvName,0)),IFERROR(INDEX(EvID,MATCH(INT($C532),EvDate,0)),"(no event that day)"))))</f>
        <v/>
      </c>
      <c r="F532" s="16">
        <f>IF($H532="","",IFERROR(IF(SUMPRODUCT(MAX((WhoKW&lt;&gt;"")*ISNUMBER(SEARCH(WhoKW,INDEX(FormData,$H532,f_Who)&amp;""))*(ROW(WhoKW)-MIN(ROW(WhoKW))+1)))=0,"",INDEX(WhoVal,SUMPRODUCT(MAX((WhoKW&lt;&gt;"")*ISNUMBER(SEARCH(WhoKW,INDEX(FormData,$H532,f_Who)&amp;""))*(ROW(WhoKW)-MIN(ROW(WhoKW))+1))))),""))</f>
        <v/>
      </c>
      <c r="G532" s="14">
        <f>IF($H532="","",IF(COUNTIF(People!$U$5:$U$604,$B532)+COUNTIF(People!$U$5:$U$604,$B532&amp;"")&gt;0,"✓ logged","→ add"))</f>
        <v/>
      </c>
      <c r="H532">
        <f>IFERROR(IF(INDEX(FormData,529,f_Id)&amp;""="","",529),"")</f>
        <v/>
      </c>
      <c r="I532" s="16">
        <f>IF($H532="","",IFERROR(INDEX(FormData,$H532,f_Need)&amp;"",""))</f>
        <v/>
      </c>
    </row>
    <row r="533">
      <c r="A533" s="14" t="n">
        <v>529</v>
      </c>
      <c r="B533" s="14">
        <f>IF($H533="","",INDEX(FormData,$H533,f_Id))</f>
        <v/>
      </c>
      <c r="C533" s="15">
        <f>IF($H533="","",IFERROR(INDEX(FormData,$H533,f_Time),""))</f>
        <v/>
      </c>
      <c r="D533" s="14">
        <f>IF($H533="","",IFERROR(UPPER(LEFT(TRIM(INDEX(FormData,$H533,f_Name)),1)&amp;IFERROR(MID(TRIM(INDEX(FormData,$H533,f_Name)),FIND("^",SUBSTITUTE(TRIM(INDEX(FormData,$H533,f_Name))," ","^",LEN(TRIM(INDEX(FormData,$H533,f_Name)))-LEN(SUBSTITUTE(TRIM(INDEX(FormData,$H533,f_Name))," ",""))))+1,1),"")),""))</f>
        <v/>
      </c>
      <c r="E533" s="16">
        <f>IF($H533="","",IFERROR(INDEX(EvID,MATCH(INDEX(FormData,$H533,f_Event),EvID,0)),IFERROR(INDEX(EvID,MATCH(INDEX(FormData,$H533,f_Event),EvName,0)),IFERROR(INDEX(EvID,MATCH(INT($C533),EvDate,0)),"(no event that day)"))))</f>
        <v/>
      </c>
      <c r="F533" s="16">
        <f>IF($H533="","",IFERROR(IF(SUMPRODUCT(MAX((WhoKW&lt;&gt;"")*ISNUMBER(SEARCH(WhoKW,INDEX(FormData,$H533,f_Who)&amp;""))*(ROW(WhoKW)-MIN(ROW(WhoKW))+1)))=0,"",INDEX(WhoVal,SUMPRODUCT(MAX((WhoKW&lt;&gt;"")*ISNUMBER(SEARCH(WhoKW,INDEX(FormData,$H533,f_Who)&amp;""))*(ROW(WhoKW)-MIN(ROW(WhoKW))+1))))),""))</f>
        <v/>
      </c>
      <c r="G533" s="14">
        <f>IF($H533="","",IF(COUNTIF(People!$U$5:$U$604,$B533)+COUNTIF(People!$U$5:$U$604,$B533&amp;"")&gt;0,"✓ logged","→ add"))</f>
        <v/>
      </c>
      <c r="H533">
        <f>IFERROR(IF(INDEX(FormData,530,f_Id)&amp;""="","",530),"")</f>
        <v/>
      </c>
      <c r="I533" s="16">
        <f>IF($H533="","",IFERROR(INDEX(FormData,$H533,f_Need)&amp;"",""))</f>
        <v/>
      </c>
    </row>
    <row r="534">
      <c r="A534" s="14" t="n">
        <v>530</v>
      </c>
      <c r="B534" s="14">
        <f>IF($H534="","",INDEX(FormData,$H534,f_Id))</f>
        <v/>
      </c>
      <c r="C534" s="15">
        <f>IF($H534="","",IFERROR(INDEX(FormData,$H534,f_Time),""))</f>
        <v/>
      </c>
      <c r="D534" s="14">
        <f>IF($H534="","",IFERROR(UPPER(LEFT(TRIM(INDEX(FormData,$H534,f_Name)),1)&amp;IFERROR(MID(TRIM(INDEX(FormData,$H534,f_Name)),FIND("^",SUBSTITUTE(TRIM(INDEX(FormData,$H534,f_Name))," ","^",LEN(TRIM(INDEX(FormData,$H534,f_Name)))-LEN(SUBSTITUTE(TRIM(INDEX(FormData,$H534,f_Name))," ",""))))+1,1),"")),""))</f>
        <v/>
      </c>
      <c r="E534" s="16">
        <f>IF($H534="","",IFERROR(INDEX(EvID,MATCH(INDEX(FormData,$H534,f_Event),EvID,0)),IFERROR(INDEX(EvID,MATCH(INDEX(FormData,$H534,f_Event),EvName,0)),IFERROR(INDEX(EvID,MATCH(INT($C534),EvDate,0)),"(no event that day)"))))</f>
        <v/>
      </c>
      <c r="F534" s="16">
        <f>IF($H534="","",IFERROR(IF(SUMPRODUCT(MAX((WhoKW&lt;&gt;"")*ISNUMBER(SEARCH(WhoKW,INDEX(FormData,$H534,f_Who)&amp;""))*(ROW(WhoKW)-MIN(ROW(WhoKW))+1)))=0,"",INDEX(WhoVal,SUMPRODUCT(MAX((WhoKW&lt;&gt;"")*ISNUMBER(SEARCH(WhoKW,INDEX(FormData,$H534,f_Who)&amp;""))*(ROW(WhoKW)-MIN(ROW(WhoKW))+1))))),""))</f>
        <v/>
      </c>
      <c r="G534" s="14">
        <f>IF($H534="","",IF(COUNTIF(People!$U$5:$U$604,$B534)+COUNTIF(People!$U$5:$U$604,$B534&amp;"")&gt;0,"✓ logged","→ add"))</f>
        <v/>
      </c>
      <c r="H534">
        <f>IFERROR(IF(INDEX(FormData,531,f_Id)&amp;""="","",531),"")</f>
        <v/>
      </c>
      <c r="I534" s="16">
        <f>IF($H534="","",IFERROR(INDEX(FormData,$H534,f_Need)&amp;"",""))</f>
        <v/>
      </c>
    </row>
    <row r="535">
      <c r="A535" s="14" t="n">
        <v>531</v>
      </c>
      <c r="B535" s="14">
        <f>IF($H535="","",INDEX(FormData,$H535,f_Id))</f>
        <v/>
      </c>
      <c r="C535" s="15">
        <f>IF($H535="","",IFERROR(INDEX(FormData,$H535,f_Time),""))</f>
        <v/>
      </c>
      <c r="D535" s="14">
        <f>IF($H535="","",IFERROR(UPPER(LEFT(TRIM(INDEX(FormData,$H535,f_Name)),1)&amp;IFERROR(MID(TRIM(INDEX(FormData,$H535,f_Name)),FIND("^",SUBSTITUTE(TRIM(INDEX(FormData,$H535,f_Name))," ","^",LEN(TRIM(INDEX(FormData,$H535,f_Name)))-LEN(SUBSTITUTE(TRIM(INDEX(FormData,$H535,f_Name))," ",""))))+1,1),"")),""))</f>
        <v/>
      </c>
      <c r="E535" s="16">
        <f>IF($H535="","",IFERROR(INDEX(EvID,MATCH(INDEX(FormData,$H535,f_Event),EvID,0)),IFERROR(INDEX(EvID,MATCH(INDEX(FormData,$H535,f_Event),EvName,0)),IFERROR(INDEX(EvID,MATCH(INT($C535),EvDate,0)),"(no event that day)"))))</f>
        <v/>
      </c>
      <c r="F535" s="16">
        <f>IF($H535="","",IFERROR(IF(SUMPRODUCT(MAX((WhoKW&lt;&gt;"")*ISNUMBER(SEARCH(WhoKW,INDEX(FormData,$H535,f_Who)&amp;""))*(ROW(WhoKW)-MIN(ROW(WhoKW))+1)))=0,"",INDEX(WhoVal,SUMPRODUCT(MAX((WhoKW&lt;&gt;"")*ISNUMBER(SEARCH(WhoKW,INDEX(FormData,$H535,f_Who)&amp;""))*(ROW(WhoKW)-MIN(ROW(WhoKW))+1))))),""))</f>
        <v/>
      </c>
      <c r="G535" s="14">
        <f>IF($H535="","",IF(COUNTIF(People!$U$5:$U$604,$B535)+COUNTIF(People!$U$5:$U$604,$B535&amp;"")&gt;0,"✓ logged","→ add"))</f>
        <v/>
      </c>
      <c r="H535">
        <f>IFERROR(IF(INDEX(FormData,532,f_Id)&amp;""="","",532),"")</f>
        <v/>
      </c>
      <c r="I535" s="16">
        <f>IF($H535="","",IFERROR(INDEX(FormData,$H535,f_Need)&amp;"",""))</f>
        <v/>
      </c>
    </row>
    <row r="536">
      <c r="A536" s="14" t="n">
        <v>532</v>
      </c>
      <c r="B536" s="14">
        <f>IF($H536="","",INDEX(FormData,$H536,f_Id))</f>
        <v/>
      </c>
      <c r="C536" s="15">
        <f>IF($H536="","",IFERROR(INDEX(FormData,$H536,f_Time),""))</f>
        <v/>
      </c>
      <c r="D536" s="14">
        <f>IF($H536="","",IFERROR(UPPER(LEFT(TRIM(INDEX(FormData,$H536,f_Name)),1)&amp;IFERROR(MID(TRIM(INDEX(FormData,$H536,f_Name)),FIND("^",SUBSTITUTE(TRIM(INDEX(FormData,$H536,f_Name))," ","^",LEN(TRIM(INDEX(FormData,$H536,f_Name)))-LEN(SUBSTITUTE(TRIM(INDEX(FormData,$H536,f_Name))," ",""))))+1,1),"")),""))</f>
        <v/>
      </c>
      <c r="E536" s="16">
        <f>IF($H536="","",IFERROR(INDEX(EvID,MATCH(INDEX(FormData,$H536,f_Event),EvID,0)),IFERROR(INDEX(EvID,MATCH(INDEX(FormData,$H536,f_Event),EvName,0)),IFERROR(INDEX(EvID,MATCH(INT($C536),EvDate,0)),"(no event that day)"))))</f>
        <v/>
      </c>
      <c r="F536" s="16">
        <f>IF($H536="","",IFERROR(IF(SUMPRODUCT(MAX((WhoKW&lt;&gt;"")*ISNUMBER(SEARCH(WhoKW,INDEX(FormData,$H536,f_Who)&amp;""))*(ROW(WhoKW)-MIN(ROW(WhoKW))+1)))=0,"",INDEX(WhoVal,SUMPRODUCT(MAX((WhoKW&lt;&gt;"")*ISNUMBER(SEARCH(WhoKW,INDEX(FormData,$H536,f_Who)&amp;""))*(ROW(WhoKW)-MIN(ROW(WhoKW))+1))))),""))</f>
        <v/>
      </c>
      <c r="G536" s="14">
        <f>IF($H536="","",IF(COUNTIF(People!$U$5:$U$604,$B536)+COUNTIF(People!$U$5:$U$604,$B536&amp;"")&gt;0,"✓ logged","→ add"))</f>
        <v/>
      </c>
      <c r="H536">
        <f>IFERROR(IF(INDEX(FormData,533,f_Id)&amp;""="","",533),"")</f>
        <v/>
      </c>
      <c r="I536" s="16">
        <f>IF($H536="","",IFERROR(INDEX(FormData,$H536,f_Need)&amp;"",""))</f>
        <v/>
      </c>
    </row>
    <row r="537">
      <c r="A537" s="14" t="n">
        <v>533</v>
      </c>
      <c r="B537" s="14">
        <f>IF($H537="","",INDEX(FormData,$H537,f_Id))</f>
        <v/>
      </c>
      <c r="C537" s="15">
        <f>IF($H537="","",IFERROR(INDEX(FormData,$H537,f_Time),""))</f>
        <v/>
      </c>
      <c r="D537" s="14">
        <f>IF($H537="","",IFERROR(UPPER(LEFT(TRIM(INDEX(FormData,$H537,f_Name)),1)&amp;IFERROR(MID(TRIM(INDEX(FormData,$H537,f_Name)),FIND("^",SUBSTITUTE(TRIM(INDEX(FormData,$H537,f_Name))," ","^",LEN(TRIM(INDEX(FormData,$H537,f_Name)))-LEN(SUBSTITUTE(TRIM(INDEX(FormData,$H537,f_Name))," ",""))))+1,1),"")),""))</f>
        <v/>
      </c>
      <c r="E537" s="16">
        <f>IF($H537="","",IFERROR(INDEX(EvID,MATCH(INDEX(FormData,$H537,f_Event),EvID,0)),IFERROR(INDEX(EvID,MATCH(INDEX(FormData,$H537,f_Event),EvName,0)),IFERROR(INDEX(EvID,MATCH(INT($C537),EvDate,0)),"(no event that day)"))))</f>
        <v/>
      </c>
      <c r="F537" s="16">
        <f>IF($H537="","",IFERROR(IF(SUMPRODUCT(MAX((WhoKW&lt;&gt;"")*ISNUMBER(SEARCH(WhoKW,INDEX(FormData,$H537,f_Who)&amp;""))*(ROW(WhoKW)-MIN(ROW(WhoKW))+1)))=0,"",INDEX(WhoVal,SUMPRODUCT(MAX((WhoKW&lt;&gt;"")*ISNUMBER(SEARCH(WhoKW,INDEX(FormData,$H537,f_Who)&amp;""))*(ROW(WhoKW)-MIN(ROW(WhoKW))+1))))),""))</f>
        <v/>
      </c>
      <c r="G537" s="14">
        <f>IF($H537="","",IF(COUNTIF(People!$U$5:$U$604,$B537)+COUNTIF(People!$U$5:$U$604,$B537&amp;"")&gt;0,"✓ logged","→ add"))</f>
        <v/>
      </c>
      <c r="H537">
        <f>IFERROR(IF(INDEX(FormData,534,f_Id)&amp;""="","",534),"")</f>
        <v/>
      </c>
      <c r="I537" s="16">
        <f>IF($H537="","",IFERROR(INDEX(FormData,$H537,f_Need)&amp;"",""))</f>
        <v/>
      </c>
    </row>
    <row r="538">
      <c r="A538" s="14" t="n">
        <v>534</v>
      </c>
      <c r="B538" s="14">
        <f>IF($H538="","",INDEX(FormData,$H538,f_Id))</f>
        <v/>
      </c>
      <c r="C538" s="15">
        <f>IF($H538="","",IFERROR(INDEX(FormData,$H538,f_Time),""))</f>
        <v/>
      </c>
      <c r="D538" s="14">
        <f>IF($H538="","",IFERROR(UPPER(LEFT(TRIM(INDEX(FormData,$H538,f_Name)),1)&amp;IFERROR(MID(TRIM(INDEX(FormData,$H538,f_Name)),FIND("^",SUBSTITUTE(TRIM(INDEX(FormData,$H538,f_Name))," ","^",LEN(TRIM(INDEX(FormData,$H538,f_Name)))-LEN(SUBSTITUTE(TRIM(INDEX(FormData,$H538,f_Name))," ",""))))+1,1),"")),""))</f>
        <v/>
      </c>
      <c r="E538" s="16">
        <f>IF($H538="","",IFERROR(INDEX(EvID,MATCH(INDEX(FormData,$H538,f_Event),EvID,0)),IFERROR(INDEX(EvID,MATCH(INDEX(FormData,$H538,f_Event),EvName,0)),IFERROR(INDEX(EvID,MATCH(INT($C538),EvDate,0)),"(no event that day)"))))</f>
        <v/>
      </c>
      <c r="F538" s="16">
        <f>IF($H538="","",IFERROR(IF(SUMPRODUCT(MAX((WhoKW&lt;&gt;"")*ISNUMBER(SEARCH(WhoKW,INDEX(FormData,$H538,f_Who)&amp;""))*(ROW(WhoKW)-MIN(ROW(WhoKW))+1)))=0,"",INDEX(WhoVal,SUMPRODUCT(MAX((WhoKW&lt;&gt;"")*ISNUMBER(SEARCH(WhoKW,INDEX(FormData,$H538,f_Who)&amp;""))*(ROW(WhoKW)-MIN(ROW(WhoKW))+1))))),""))</f>
        <v/>
      </c>
      <c r="G538" s="14">
        <f>IF($H538="","",IF(COUNTIF(People!$U$5:$U$604,$B538)+COUNTIF(People!$U$5:$U$604,$B538&amp;"")&gt;0,"✓ logged","→ add"))</f>
        <v/>
      </c>
      <c r="H538">
        <f>IFERROR(IF(INDEX(FormData,535,f_Id)&amp;""="","",535),"")</f>
        <v/>
      </c>
      <c r="I538" s="16">
        <f>IF($H538="","",IFERROR(INDEX(FormData,$H538,f_Need)&amp;"",""))</f>
        <v/>
      </c>
    </row>
    <row r="539">
      <c r="A539" s="14" t="n">
        <v>535</v>
      </c>
      <c r="B539" s="14">
        <f>IF($H539="","",INDEX(FormData,$H539,f_Id))</f>
        <v/>
      </c>
      <c r="C539" s="15">
        <f>IF($H539="","",IFERROR(INDEX(FormData,$H539,f_Time),""))</f>
        <v/>
      </c>
      <c r="D539" s="14">
        <f>IF($H539="","",IFERROR(UPPER(LEFT(TRIM(INDEX(FormData,$H539,f_Name)),1)&amp;IFERROR(MID(TRIM(INDEX(FormData,$H539,f_Name)),FIND("^",SUBSTITUTE(TRIM(INDEX(FormData,$H539,f_Name))," ","^",LEN(TRIM(INDEX(FormData,$H539,f_Name)))-LEN(SUBSTITUTE(TRIM(INDEX(FormData,$H539,f_Name))," ",""))))+1,1),"")),""))</f>
        <v/>
      </c>
      <c r="E539" s="16">
        <f>IF($H539="","",IFERROR(INDEX(EvID,MATCH(INDEX(FormData,$H539,f_Event),EvID,0)),IFERROR(INDEX(EvID,MATCH(INDEX(FormData,$H539,f_Event),EvName,0)),IFERROR(INDEX(EvID,MATCH(INT($C539),EvDate,0)),"(no event that day)"))))</f>
        <v/>
      </c>
      <c r="F539" s="16">
        <f>IF($H539="","",IFERROR(IF(SUMPRODUCT(MAX((WhoKW&lt;&gt;"")*ISNUMBER(SEARCH(WhoKW,INDEX(FormData,$H539,f_Who)&amp;""))*(ROW(WhoKW)-MIN(ROW(WhoKW))+1)))=0,"",INDEX(WhoVal,SUMPRODUCT(MAX((WhoKW&lt;&gt;"")*ISNUMBER(SEARCH(WhoKW,INDEX(FormData,$H539,f_Who)&amp;""))*(ROW(WhoKW)-MIN(ROW(WhoKW))+1))))),""))</f>
        <v/>
      </c>
      <c r="G539" s="14">
        <f>IF($H539="","",IF(COUNTIF(People!$U$5:$U$604,$B539)+COUNTIF(People!$U$5:$U$604,$B539&amp;"")&gt;0,"✓ logged","→ add"))</f>
        <v/>
      </c>
      <c r="H539">
        <f>IFERROR(IF(INDEX(FormData,536,f_Id)&amp;""="","",536),"")</f>
        <v/>
      </c>
      <c r="I539" s="16">
        <f>IF($H539="","",IFERROR(INDEX(FormData,$H539,f_Need)&amp;"",""))</f>
        <v/>
      </c>
    </row>
    <row r="540">
      <c r="A540" s="14" t="n">
        <v>536</v>
      </c>
      <c r="B540" s="14">
        <f>IF($H540="","",INDEX(FormData,$H540,f_Id))</f>
        <v/>
      </c>
      <c r="C540" s="15">
        <f>IF($H540="","",IFERROR(INDEX(FormData,$H540,f_Time),""))</f>
        <v/>
      </c>
      <c r="D540" s="14">
        <f>IF($H540="","",IFERROR(UPPER(LEFT(TRIM(INDEX(FormData,$H540,f_Name)),1)&amp;IFERROR(MID(TRIM(INDEX(FormData,$H540,f_Name)),FIND("^",SUBSTITUTE(TRIM(INDEX(FormData,$H540,f_Name))," ","^",LEN(TRIM(INDEX(FormData,$H540,f_Name)))-LEN(SUBSTITUTE(TRIM(INDEX(FormData,$H540,f_Name))," ",""))))+1,1),"")),""))</f>
        <v/>
      </c>
      <c r="E540" s="16">
        <f>IF($H540="","",IFERROR(INDEX(EvID,MATCH(INDEX(FormData,$H540,f_Event),EvID,0)),IFERROR(INDEX(EvID,MATCH(INDEX(FormData,$H540,f_Event),EvName,0)),IFERROR(INDEX(EvID,MATCH(INT($C540),EvDate,0)),"(no event that day)"))))</f>
        <v/>
      </c>
      <c r="F540" s="16">
        <f>IF($H540="","",IFERROR(IF(SUMPRODUCT(MAX((WhoKW&lt;&gt;"")*ISNUMBER(SEARCH(WhoKW,INDEX(FormData,$H540,f_Who)&amp;""))*(ROW(WhoKW)-MIN(ROW(WhoKW))+1)))=0,"",INDEX(WhoVal,SUMPRODUCT(MAX((WhoKW&lt;&gt;"")*ISNUMBER(SEARCH(WhoKW,INDEX(FormData,$H540,f_Who)&amp;""))*(ROW(WhoKW)-MIN(ROW(WhoKW))+1))))),""))</f>
        <v/>
      </c>
      <c r="G540" s="14">
        <f>IF($H540="","",IF(COUNTIF(People!$U$5:$U$604,$B540)+COUNTIF(People!$U$5:$U$604,$B540&amp;"")&gt;0,"✓ logged","→ add"))</f>
        <v/>
      </c>
      <c r="H540">
        <f>IFERROR(IF(INDEX(FormData,537,f_Id)&amp;""="","",537),"")</f>
        <v/>
      </c>
      <c r="I540" s="16">
        <f>IF($H540="","",IFERROR(INDEX(FormData,$H540,f_Need)&amp;"",""))</f>
        <v/>
      </c>
    </row>
    <row r="541">
      <c r="A541" s="14" t="n">
        <v>537</v>
      </c>
      <c r="B541" s="14">
        <f>IF($H541="","",INDEX(FormData,$H541,f_Id))</f>
        <v/>
      </c>
      <c r="C541" s="15">
        <f>IF($H541="","",IFERROR(INDEX(FormData,$H541,f_Time),""))</f>
        <v/>
      </c>
      <c r="D541" s="14">
        <f>IF($H541="","",IFERROR(UPPER(LEFT(TRIM(INDEX(FormData,$H541,f_Name)),1)&amp;IFERROR(MID(TRIM(INDEX(FormData,$H541,f_Name)),FIND("^",SUBSTITUTE(TRIM(INDEX(FormData,$H541,f_Name))," ","^",LEN(TRIM(INDEX(FormData,$H541,f_Name)))-LEN(SUBSTITUTE(TRIM(INDEX(FormData,$H541,f_Name))," ",""))))+1,1),"")),""))</f>
        <v/>
      </c>
      <c r="E541" s="16">
        <f>IF($H541="","",IFERROR(INDEX(EvID,MATCH(INDEX(FormData,$H541,f_Event),EvID,0)),IFERROR(INDEX(EvID,MATCH(INDEX(FormData,$H541,f_Event),EvName,0)),IFERROR(INDEX(EvID,MATCH(INT($C541),EvDate,0)),"(no event that day)"))))</f>
        <v/>
      </c>
      <c r="F541" s="16">
        <f>IF($H541="","",IFERROR(IF(SUMPRODUCT(MAX((WhoKW&lt;&gt;"")*ISNUMBER(SEARCH(WhoKW,INDEX(FormData,$H541,f_Who)&amp;""))*(ROW(WhoKW)-MIN(ROW(WhoKW))+1)))=0,"",INDEX(WhoVal,SUMPRODUCT(MAX((WhoKW&lt;&gt;"")*ISNUMBER(SEARCH(WhoKW,INDEX(FormData,$H541,f_Who)&amp;""))*(ROW(WhoKW)-MIN(ROW(WhoKW))+1))))),""))</f>
        <v/>
      </c>
      <c r="G541" s="14">
        <f>IF($H541="","",IF(COUNTIF(People!$U$5:$U$604,$B541)+COUNTIF(People!$U$5:$U$604,$B541&amp;"")&gt;0,"✓ logged","→ add"))</f>
        <v/>
      </c>
      <c r="H541">
        <f>IFERROR(IF(INDEX(FormData,538,f_Id)&amp;""="","",538),"")</f>
        <v/>
      </c>
      <c r="I541" s="16">
        <f>IF($H541="","",IFERROR(INDEX(FormData,$H541,f_Need)&amp;"",""))</f>
        <v/>
      </c>
    </row>
    <row r="542">
      <c r="A542" s="14" t="n">
        <v>538</v>
      </c>
      <c r="B542" s="14">
        <f>IF($H542="","",INDEX(FormData,$H542,f_Id))</f>
        <v/>
      </c>
      <c r="C542" s="15">
        <f>IF($H542="","",IFERROR(INDEX(FormData,$H542,f_Time),""))</f>
        <v/>
      </c>
      <c r="D542" s="14">
        <f>IF($H542="","",IFERROR(UPPER(LEFT(TRIM(INDEX(FormData,$H542,f_Name)),1)&amp;IFERROR(MID(TRIM(INDEX(FormData,$H542,f_Name)),FIND("^",SUBSTITUTE(TRIM(INDEX(FormData,$H542,f_Name))," ","^",LEN(TRIM(INDEX(FormData,$H542,f_Name)))-LEN(SUBSTITUTE(TRIM(INDEX(FormData,$H542,f_Name))," ",""))))+1,1),"")),""))</f>
        <v/>
      </c>
      <c r="E542" s="16">
        <f>IF($H542="","",IFERROR(INDEX(EvID,MATCH(INDEX(FormData,$H542,f_Event),EvID,0)),IFERROR(INDEX(EvID,MATCH(INDEX(FormData,$H542,f_Event),EvName,0)),IFERROR(INDEX(EvID,MATCH(INT($C542),EvDate,0)),"(no event that day)"))))</f>
        <v/>
      </c>
      <c r="F542" s="16">
        <f>IF($H542="","",IFERROR(IF(SUMPRODUCT(MAX((WhoKW&lt;&gt;"")*ISNUMBER(SEARCH(WhoKW,INDEX(FormData,$H542,f_Who)&amp;""))*(ROW(WhoKW)-MIN(ROW(WhoKW))+1)))=0,"",INDEX(WhoVal,SUMPRODUCT(MAX((WhoKW&lt;&gt;"")*ISNUMBER(SEARCH(WhoKW,INDEX(FormData,$H542,f_Who)&amp;""))*(ROW(WhoKW)-MIN(ROW(WhoKW))+1))))),""))</f>
        <v/>
      </c>
      <c r="G542" s="14">
        <f>IF($H542="","",IF(COUNTIF(People!$U$5:$U$604,$B542)+COUNTIF(People!$U$5:$U$604,$B542&amp;"")&gt;0,"✓ logged","→ add"))</f>
        <v/>
      </c>
      <c r="H542">
        <f>IFERROR(IF(INDEX(FormData,539,f_Id)&amp;""="","",539),"")</f>
        <v/>
      </c>
      <c r="I542" s="16">
        <f>IF($H542="","",IFERROR(INDEX(FormData,$H542,f_Need)&amp;"",""))</f>
        <v/>
      </c>
    </row>
    <row r="543">
      <c r="A543" s="14" t="n">
        <v>539</v>
      </c>
      <c r="B543" s="14">
        <f>IF($H543="","",INDEX(FormData,$H543,f_Id))</f>
        <v/>
      </c>
      <c r="C543" s="15">
        <f>IF($H543="","",IFERROR(INDEX(FormData,$H543,f_Time),""))</f>
        <v/>
      </c>
      <c r="D543" s="14">
        <f>IF($H543="","",IFERROR(UPPER(LEFT(TRIM(INDEX(FormData,$H543,f_Name)),1)&amp;IFERROR(MID(TRIM(INDEX(FormData,$H543,f_Name)),FIND("^",SUBSTITUTE(TRIM(INDEX(FormData,$H543,f_Name))," ","^",LEN(TRIM(INDEX(FormData,$H543,f_Name)))-LEN(SUBSTITUTE(TRIM(INDEX(FormData,$H543,f_Name))," ",""))))+1,1),"")),""))</f>
        <v/>
      </c>
      <c r="E543" s="16">
        <f>IF($H543="","",IFERROR(INDEX(EvID,MATCH(INDEX(FormData,$H543,f_Event),EvID,0)),IFERROR(INDEX(EvID,MATCH(INDEX(FormData,$H543,f_Event),EvName,0)),IFERROR(INDEX(EvID,MATCH(INT($C543),EvDate,0)),"(no event that day)"))))</f>
        <v/>
      </c>
      <c r="F543" s="16">
        <f>IF($H543="","",IFERROR(IF(SUMPRODUCT(MAX((WhoKW&lt;&gt;"")*ISNUMBER(SEARCH(WhoKW,INDEX(FormData,$H543,f_Who)&amp;""))*(ROW(WhoKW)-MIN(ROW(WhoKW))+1)))=0,"",INDEX(WhoVal,SUMPRODUCT(MAX((WhoKW&lt;&gt;"")*ISNUMBER(SEARCH(WhoKW,INDEX(FormData,$H543,f_Who)&amp;""))*(ROW(WhoKW)-MIN(ROW(WhoKW))+1))))),""))</f>
        <v/>
      </c>
      <c r="G543" s="14">
        <f>IF($H543="","",IF(COUNTIF(People!$U$5:$U$604,$B543)+COUNTIF(People!$U$5:$U$604,$B543&amp;"")&gt;0,"✓ logged","→ add"))</f>
        <v/>
      </c>
      <c r="H543">
        <f>IFERROR(IF(INDEX(FormData,540,f_Id)&amp;""="","",540),"")</f>
        <v/>
      </c>
      <c r="I543" s="16">
        <f>IF($H543="","",IFERROR(INDEX(FormData,$H543,f_Need)&amp;"",""))</f>
        <v/>
      </c>
    </row>
    <row r="544">
      <c r="A544" s="14" t="n">
        <v>540</v>
      </c>
      <c r="B544" s="14">
        <f>IF($H544="","",INDEX(FormData,$H544,f_Id))</f>
        <v/>
      </c>
      <c r="C544" s="15">
        <f>IF($H544="","",IFERROR(INDEX(FormData,$H544,f_Time),""))</f>
        <v/>
      </c>
      <c r="D544" s="14">
        <f>IF($H544="","",IFERROR(UPPER(LEFT(TRIM(INDEX(FormData,$H544,f_Name)),1)&amp;IFERROR(MID(TRIM(INDEX(FormData,$H544,f_Name)),FIND("^",SUBSTITUTE(TRIM(INDEX(FormData,$H544,f_Name))," ","^",LEN(TRIM(INDEX(FormData,$H544,f_Name)))-LEN(SUBSTITUTE(TRIM(INDEX(FormData,$H544,f_Name))," ",""))))+1,1),"")),""))</f>
        <v/>
      </c>
      <c r="E544" s="16">
        <f>IF($H544="","",IFERROR(INDEX(EvID,MATCH(INDEX(FormData,$H544,f_Event),EvID,0)),IFERROR(INDEX(EvID,MATCH(INDEX(FormData,$H544,f_Event),EvName,0)),IFERROR(INDEX(EvID,MATCH(INT($C544),EvDate,0)),"(no event that day)"))))</f>
        <v/>
      </c>
      <c r="F544" s="16">
        <f>IF($H544="","",IFERROR(IF(SUMPRODUCT(MAX((WhoKW&lt;&gt;"")*ISNUMBER(SEARCH(WhoKW,INDEX(FormData,$H544,f_Who)&amp;""))*(ROW(WhoKW)-MIN(ROW(WhoKW))+1)))=0,"",INDEX(WhoVal,SUMPRODUCT(MAX((WhoKW&lt;&gt;"")*ISNUMBER(SEARCH(WhoKW,INDEX(FormData,$H544,f_Who)&amp;""))*(ROW(WhoKW)-MIN(ROW(WhoKW))+1))))),""))</f>
        <v/>
      </c>
      <c r="G544" s="14">
        <f>IF($H544="","",IF(COUNTIF(People!$U$5:$U$604,$B544)+COUNTIF(People!$U$5:$U$604,$B544&amp;"")&gt;0,"✓ logged","→ add"))</f>
        <v/>
      </c>
      <c r="H544">
        <f>IFERROR(IF(INDEX(FormData,541,f_Id)&amp;""="","",541),"")</f>
        <v/>
      </c>
      <c r="I544" s="16">
        <f>IF($H544="","",IFERROR(INDEX(FormData,$H544,f_Need)&amp;"",""))</f>
        <v/>
      </c>
    </row>
    <row r="545">
      <c r="A545" s="14" t="n">
        <v>541</v>
      </c>
      <c r="B545" s="14">
        <f>IF($H545="","",INDEX(FormData,$H545,f_Id))</f>
        <v/>
      </c>
      <c r="C545" s="15">
        <f>IF($H545="","",IFERROR(INDEX(FormData,$H545,f_Time),""))</f>
        <v/>
      </c>
      <c r="D545" s="14">
        <f>IF($H545="","",IFERROR(UPPER(LEFT(TRIM(INDEX(FormData,$H545,f_Name)),1)&amp;IFERROR(MID(TRIM(INDEX(FormData,$H545,f_Name)),FIND("^",SUBSTITUTE(TRIM(INDEX(FormData,$H545,f_Name))," ","^",LEN(TRIM(INDEX(FormData,$H545,f_Name)))-LEN(SUBSTITUTE(TRIM(INDEX(FormData,$H545,f_Name))," ",""))))+1,1),"")),""))</f>
        <v/>
      </c>
      <c r="E545" s="16">
        <f>IF($H545="","",IFERROR(INDEX(EvID,MATCH(INDEX(FormData,$H545,f_Event),EvID,0)),IFERROR(INDEX(EvID,MATCH(INDEX(FormData,$H545,f_Event),EvName,0)),IFERROR(INDEX(EvID,MATCH(INT($C545),EvDate,0)),"(no event that day)"))))</f>
        <v/>
      </c>
      <c r="F545" s="16">
        <f>IF($H545="","",IFERROR(IF(SUMPRODUCT(MAX((WhoKW&lt;&gt;"")*ISNUMBER(SEARCH(WhoKW,INDEX(FormData,$H545,f_Who)&amp;""))*(ROW(WhoKW)-MIN(ROW(WhoKW))+1)))=0,"",INDEX(WhoVal,SUMPRODUCT(MAX((WhoKW&lt;&gt;"")*ISNUMBER(SEARCH(WhoKW,INDEX(FormData,$H545,f_Who)&amp;""))*(ROW(WhoKW)-MIN(ROW(WhoKW))+1))))),""))</f>
        <v/>
      </c>
      <c r="G545" s="14">
        <f>IF($H545="","",IF(COUNTIF(People!$U$5:$U$604,$B545)+COUNTIF(People!$U$5:$U$604,$B545&amp;"")&gt;0,"✓ logged","→ add"))</f>
        <v/>
      </c>
      <c r="H545">
        <f>IFERROR(IF(INDEX(FormData,542,f_Id)&amp;""="","",542),"")</f>
        <v/>
      </c>
      <c r="I545" s="16">
        <f>IF($H545="","",IFERROR(INDEX(FormData,$H545,f_Need)&amp;"",""))</f>
        <v/>
      </c>
    </row>
    <row r="546">
      <c r="A546" s="14" t="n">
        <v>542</v>
      </c>
      <c r="B546" s="14">
        <f>IF($H546="","",INDEX(FormData,$H546,f_Id))</f>
        <v/>
      </c>
      <c r="C546" s="15">
        <f>IF($H546="","",IFERROR(INDEX(FormData,$H546,f_Time),""))</f>
        <v/>
      </c>
      <c r="D546" s="14">
        <f>IF($H546="","",IFERROR(UPPER(LEFT(TRIM(INDEX(FormData,$H546,f_Name)),1)&amp;IFERROR(MID(TRIM(INDEX(FormData,$H546,f_Name)),FIND("^",SUBSTITUTE(TRIM(INDEX(FormData,$H546,f_Name))," ","^",LEN(TRIM(INDEX(FormData,$H546,f_Name)))-LEN(SUBSTITUTE(TRIM(INDEX(FormData,$H546,f_Name))," ",""))))+1,1),"")),""))</f>
        <v/>
      </c>
      <c r="E546" s="16">
        <f>IF($H546="","",IFERROR(INDEX(EvID,MATCH(INDEX(FormData,$H546,f_Event),EvID,0)),IFERROR(INDEX(EvID,MATCH(INDEX(FormData,$H546,f_Event),EvName,0)),IFERROR(INDEX(EvID,MATCH(INT($C546),EvDate,0)),"(no event that day)"))))</f>
        <v/>
      </c>
      <c r="F546" s="16">
        <f>IF($H546="","",IFERROR(IF(SUMPRODUCT(MAX((WhoKW&lt;&gt;"")*ISNUMBER(SEARCH(WhoKW,INDEX(FormData,$H546,f_Who)&amp;""))*(ROW(WhoKW)-MIN(ROW(WhoKW))+1)))=0,"",INDEX(WhoVal,SUMPRODUCT(MAX((WhoKW&lt;&gt;"")*ISNUMBER(SEARCH(WhoKW,INDEX(FormData,$H546,f_Who)&amp;""))*(ROW(WhoKW)-MIN(ROW(WhoKW))+1))))),""))</f>
        <v/>
      </c>
      <c r="G546" s="14">
        <f>IF($H546="","",IF(COUNTIF(People!$U$5:$U$604,$B546)+COUNTIF(People!$U$5:$U$604,$B546&amp;"")&gt;0,"✓ logged","→ add"))</f>
        <v/>
      </c>
      <c r="H546">
        <f>IFERROR(IF(INDEX(FormData,543,f_Id)&amp;""="","",543),"")</f>
        <v/>
      </c>
      <c r="I546" s="16">
        <f>IF($H546="","",IFERROR(INDEX(FormData,$H546,f_Need)&amp;"",""))</f>
        <v/>
      </c>
    </row>
    <row r="547">
      <c r="A547" s="14" t="n">
        <v>543</v>
      </c>
      <c r="B547" s="14">
        <f>IF($H547="","",INDEX(FormData,$H547,f_Id))</f>
        <v/>
      </c>
      <c r="C547" s="15">
        <f>IF($H547="","",IFERROR(INDEX(FormData,$H547,f_Time),""))</f>
        <v/>
      </c>
      <c r="D547" s="14">
        <f>IF($H547="","",IFERROR(UPPER(LEFT(TRIM(INDEX(FormData,$H547,f_Name)),1)&amp;IFERROR(MID(TRIM(INDEX(FormData,$H547,f_Name)),FIND("^",SUBSTITUTE(TRIM(INDEX(FormData,$H547,f_Name))," ","^",LEN(TRIM(INDEX(FormData,$H547,f_Name)))-LEN(SUBSTITUTE(TRIM(INDEX(FormData,$H547,f_Name))," ",""))))+1,1),"")),""))</f>
        <v/>
      </c>
      <c r="E547" s="16">
        <f>IF($H547="","",IFERROR(INDEX(EvID,MATCH(INDEX(FormData,$H547,f_Event),EvID,0)),IFERROR(INDEX(EvID,MATCH(INDEX(FormData,$H547,f_Event),EvName,0)),IFERROR(INDEX(EvID,MATCH(INT($C547),EvDate,0)),"(no event that day)"))))</f>
        <v/>
      </c>
      <c r="F547" s="16">
        <f>IF($H547="","",IFERROR(IF(SUMPRODUCT(MAX((WhoKW&lt;&gt;"")*ISNUMBER(SEARCH(WhoKW,INDEX(FormData,$H547,f_Who)&amp;""))*(ROW(WhoKW)-MIN(ROW(WhoKW))+1)))=0,"",INDEX(WhoVal,SUMPRODUCT(MAX((WhoKW&lt;&gt;"")*ISNUMBER(SEARCH(WhoKW,INDEX(FormData,$H547,f_Who)&amp;""))*(ROW(WhoKW)-MIN(ROW(WhoKW))+1))))),""))</f>
        <v/>
      </c>
      <c r="G547" s="14">
        <f>IF($H547="","",IF(COUNTIF(People!$U$5:$U$604,$B547)+COUNTIF(People!$U$5:$U$604,$B547&amp;"")&gt;0,"✓ logged","→ add"))</f>
        <v/>
      </c>
      <c r="H547">
        <f>IFERROR(IF(INDEX(FormData,544,f_Id)&amp;""="","",544),"")</f>
        <v/>
      </c>
      <c r="I547" s="16">
        <f>IF($H547="","",IFERROR(INDEX(FormData,$H547,f_Need)&amp;"",""))</f>
        <v/>
      </c>
    </row>
    <row r="548">
      <c r="A548" s="14" t="n">
        <v>544</v>
      </c>
      <c r="B548" s="14">
        <f>IF($H548="","",INDEX(FormData,$H548,f_Id))</f>
        <v/>
      </c>
      <c r="C548" s="15">
        <f>IF($H548="","",IFERROR(INDEX(FormData,$H548,f_Time),""))</f>
        <v/>
      </c>
      <c r="D548" s="14">
        <f>IF($H548="","",IFERROR(UPPER(LEFT(TRIM(INDEX(FormData,$H548,f_Name)),1)&amp;IFERROR(MID(TRIM(INDEX(FormData,$H548,f_Name)),FIND("^",SUBSTITUTE(TRIM(INDEX(FormData,$H548,f_Name))," ","^",LEN(TRIM(INDEX(FormData,$H548,f_Name)))-LEN(SUBSTITUTE(TRIM(INDEX(FormData,$H548,f_Name))," ",""))))+1,1),"")),""))</f>
        <v/>
      </c>
      <c r="E548" s="16">
        <f>IF($H548="","",IFERROR(INDEX(EvID,MATCH(INDEX(FormData,$H548,f_Event),EvID,0)),IFERROR(INDEX(EvID,MATCH(INDEX(FormData,$H548,f_Event),EvName,0)),IFERROR(INDEX(EvID,MATCH(INT($C548),EvDate,0)),"(no event that day)"))))</f>
        <v/>
      </c>
      <c r="F548" s="16">
        <f>IF($H548="","",IFERROR(IF(SUMPRODUCT(MAX((WhoKW&lt;&gt;"")*ISNUMBER(SEARCH(WhoKW,INDEX(FormData,$H548,f_Who)&amp;""))*(ROW(WhoKW)-MIN(ROW(WhoKW))+1)))=0,"",INDEX(WhoVal,SUMPRODUCT(MAX((WhoKW&lt;&gt;"")*ISNUMBER(SEARCH(WhoKW,INDEX(FormData,$H548,f_Who)&amp;""))*(ROW(WhoKW)-MIN(ROW(WhoKW))+1))))),""))</f>
        <v/>
      </c>
      <c r="G548" s="14">
        <f>IF($H548="","",IF(COUNTIF(People!$U$5:$U$604,$B548)+COUNTIF(People!$U$5:$U$604,$B548&amp;"")&gt;0,"✓ logged","→ add"))</f>
        <v/>
      </c>
      <c r="H548">
        <f>IFERROR(IF(INDEX(FormData,545,f_Id)&amp;""="","",545),"")</f>
        <v/>
      </c>
      <c r="I548" s="16">
        <f>IF($H548="","",IFERROR(INDEX(FormData,$H548,f_Need)&amp;"",""))</f>
        <v/>
      </c>
    </row>
    <row r="549">
      <c r="A549" s="14" t="n">
        <v>545</v>
      </c>
      <c r="B549" s="14">
        <f>IF($H549="","",INDEX(FormData,$H549,f_Id))</f>
        <v/>
      </c>
      <c r="C549" s="15">
        <f>IF($H549="","",IFERROR(INDEX(FormData,$H549,f_Time),""))</f>
        <v/>
      </c>
      <c r="D549" s="14">
        <f>IF($H549="","",IFERROR(UPPER(LEFT(TRIM(INDEX(FormData,$H549,f_Name)),1)&amp;IFERROR(MID(TRIM(INDEX(FormData,$H549,f_Name)),FIND("^",SUBSTITUTE(TRIM(INDEX(FormData,$H549,f_Name))," ","^",LEN(TRIM(INDEX(FormData,$H549,f_Name)))-LEN(SUBSTITUTE(TRIM(INDEX(FormData,$H549,f_Name))," ",""))))+1,1),"")),""))</f>
        <v/>
      </c>
      <c r="E549" s="16">
        <f>IF($H549="","",IFERROR(INDEX(EvID,MATCH(INDEX(FormData,$H549,f_Event),EvID,0)),IFERROR(INDEX(EvID,MATCH(INDEX(FormData,$H549,f_Event),EvName,0)),IFERROR(INDEX(EvID,MATCH(INT($C549),EvDate,0)),"(no event that day)"))))</f>
        <v/>
      </c>
      <c r="F549" s="16">
        <f>IF($H549="","",IFERROR(IF(SUMPRODUCT(MAX((WhoKW&lt;&gt;"")*ISNUMBER(SEARCH(WhoKW,INDEX(FormData,$H549,f_Who)&amp;""))*(ROW(WhoKW)-MIN(ROW(WhoKW))+1)))=0,"",INDEX(WhoVal,SUMPRODUCT(MAX((WhoKW&lt;&gt;"")*ISNUMBER(SEARCH(WhoKW,INDEX(FormData,$H549,f_Who)&amp;""))*(ROW(WhoKW)-MIN(ROW(WhoKW))+1))))),""))</f>
        <v/>
      </c>
      <c r="G549" s="14">
        <f>IF($H549="","",IF(COUNTIF(People!$U$5:$U$604,$B549)+COUNTIF(People!$U$5:$U$604,$B549&amp;"")&gt;0,"✓ logged","→ add"))</f>
        <v/>
      </c>
      <c r="H549">
        <f>IFERROR(IF(INDEX(FormData,546,f_Id)&amp;""="","",546),"")</f>
        <v/>
      </c>
      <c r="I549" s="16">
        <f>IF($H549="","",IFERROR(INDEX(FormData,$H549,f_Need)&amp;"",""))</f>
        <v/>
      </c>
    </row>
    <row r="550">
      <c r="A550" s="14" t="n">
        <v>546</v>
      </c>
      <c r="B550" s="14">
        <f>IF($H550="","",INDEX(FormData,$H550,f_Id))</f>
        <v/>
      </c>
      <c r="C550" s="15">
        <f>IF($H550="","",IFERROR(INDEX(FormData,$H550,f_Time),""))</f>
        <v/>
      </c>
      <c r="D550" s="14">
        <f>IF($H550="","",IFERROR(UPPER(LEFT(TRIM(INDEX(FormData,$H550,f_Name)),1)&amp;IFERROR(MID(TRIM(INDEX(FormData,$H550,f_Name)),FIND("^",SUBSTITUTE(TRIM(INDEX(FormData,$H550,f_Name))," ","^",LEN(TRIM(INDEX(FormData,$H550,f_Name)))-LEN(SUBSTITUTE(TRIM(INDEX(FormData,$H550,f_Name))," ",""))))+1,1),"")),""))</f>
        <v/>
      </c>
      <c r="E550" s="16">
        <f>IF($H550="","",IFERROR(INDEX(EvID,MATCH(INDEX(FormData,$H550,f_Event),EvID,0)),IFERROR(INDEX(EvID,MATCH(INDEX(FormData,$H550,f_Event),EvName,0)),IFERROR(INDEX(EvID,MATCH(INT($C550),EvDate,0)),"(no event that day)"))))</f>
        <v/>
      </c>
      <c r="F550" s="16">
        <f>IF($H550="","",IFERROR(IF(SUMPRODUCT(MAX((WhoKW&lt;&gt;"")*ISNUMBER(SEARCH(WhoKW,INDEX(FormData,$H550,f_Who)&amp;""))*(ROW(WhoKW)-MIN(ROW(WhoKW))+1)))=0,"",INDEX(WhoVal,SUMPRODUCT(MAX((WhoKW&lt;&gt;"")*ISNUMBER(SEARCH(WhoKW,INDEX(FormData,$H550,f_Who)&amp;""))*(ROW(WhoKW)-MIN(ROW(WhoKW))+1))))),""))</f>
        <v/>
      </c>
      <c r="G550" s="14">
        <f>IF($H550="","",IF(COUNTIF(People!$U$5:$U$604,$B550)+COUNTIF(People!$U$5:$U$604,$B550&amp;"")&gt;0,"✓ logged","→ add"))</f>
        <v/>
      </c>
      <c r="H550">
        <f>IFERROR(IF(INDEX(FormData,547,f_Id)&amp;""="","",547),"")</f>
        <v/>
      </c>
      <c r="I550" s="16">
        <f>IF($H550="","",IFERROR(INDEX(FormData,$H550,f_Need)&amp;"",""))</f>
        <v/>
      </c>
    </row>
    <row r="551">
      <c r="A551" s="14" t="n">
        <v>547</v>
      </c>
      <c r="B551" s="14">
        <f>IF($H551="","",INDEX(FormData,$H551,f_Id))</f>
        <v/>
      </c>
      <c r="C551" s="15">
        <f>IF($H551="","",IFERROR(INDEX(FormData,$H551,f_Time),""))</f>
        <v/>
      </c>
      <c r="D551" s="14">
        <f>IF($H551="","",IFERROR(UPPER(LEFT(TRIM(INDEX(FormData,$H551,f_Name)),1)&amp;IFERROR(MID(TRIM(INDEX(FormData,$H551,f_Name)),FIND("^",SUBSTITUTE(TRIM(INDEX(FormData,$H551,f_Name))," ","^",LEN(TRIM(INDEX(FormData,$H551,f_Name)))-LEN(SUBSTITUTE(TRIM(INDEX(FormData,$H551,f_Name))," ",""))))+1,1),"")),""))</f>
        <v/>
      </c>
      <c r="E551" s="16">
        <f>IF($H551="","",IFERROR(INDEX(EvID,MATCH(INDEX(FormData,$H551,f_Event),EvID,0)),IFERROR(INDEX(EvID,MATCH(INDEX(FormData,$H551,f_Event),EvName,0)),IFERROR(INDEX(EvID,MATCH(INT($C551),EvDate,0)),"(no event that day)"))))</f>
        <v/>
      </c>
      <c r="F551" s="16">
        <f>IF($H551="","",IFERROR(IF(SUMPRODUCT(MAX((WhoKW&lt;&gt;"")*ISNUMBER(SEARCH(WhoKW,INDEX(FormData,$H551,f_Who)&amp;""))*(ROW(WhoKW)-MIN(ROW(WhoKW))+1)))=0,"",INDEX(WhoVal,SUMPRODUCT(MAX((WhoKW&lt;&gt;"")*ISNUMBER(SEARCH(WhoKW,INDEX(FormData,$H551,f_Who)&amp;""))*(ROW(WhoKW)-MIN(ROW(WhoKW))+1))))),""))</f>
        <v/>
      </c>
      <c r="G551" s="14">
        <f>IF($H551="","",IF(COUNTIF(People!$U$5:$U$604,$B551)+COUNTIF(People!$U$5:$U$604,$B551&amp;"")&gt;0,"✓ logged","→ add"))</f>
        <v/>
      </c>
      <c r="H551">
        <f>IFERROR(IF(INDEX(FormData,548,f_Id)&amp;""="","",548),"")</f>
        <v/>
      </c>
      <c r="I551" s="16">
        <f>IF($H551="","",IFERROR(INDEX(FormData,$H551,f_Need)&amp;"",""))</f>
        <v/>
      </c>
    </row>
    <row r="552">
      <c r="A552" s="14" t="n">
        <v>548</v>
      </c>
      <c r="B552" s="14">
        <f>IF($H552="","",INDEX(FormData,$H552,f_Id))</f>
        <v/>
      </c>
      <c r="C552" s="15">
        <f>IF($H552="","",IFERROR(INDEX(FormData,$H552,f_Time),""))</f>
        <v/>
      </c>
      <c r="D552" s="14">
        <f>IF($H552="","",IFERROR(UPPER(LEFT(TRIM(INDEX(FormData,$H552,f_Name)),1)&amp;IFERROR(MID(TRIM(INDEX(FormData,$H552,f_Name)),FIND("^",SUBSTITUTE(TRIM(INDEX(FormData,$H552,f_Name))," ","^",LEN(TRIM(INDEX(FormData,$H552,f_Name)))-LEN(SUBSTITUTE(TRIM(INDEX(FormData,$H552,f_Name))," ",""))))+1,1),"")),""))</f>
        <v/>
      </c>
      <c r="E552" s="16">
        <f>IF($H552="","",IFERROR(INDEX(EvID,MATCH(INDEX(FormData,$H552,f_Event),EvID,0)),IFERROR(INDEX(EvID,MATCH(INDEX(FormData,$H552,f_Event),EvName,0)),IFERROR(INDEX(EvID,MATCH(INT($C552),EvDate,0)),"(no event that day)"))))</f>
        <v/>
      </c>
      <c r="F552" s="16">
        <f>IF($H552="","",IFERROR(IF(SUMPRODUCT(MAX((WhoKW&lt;&gt;"")*ISNUMBER(SEARCH(WhoKW,INDEX(FormData,$H552,f_Who)&amp;""))*(ROW(WhoKW)-MIN(ROW(WhoKW))+1)))=0,"",INDEX(WhoVal,SUMPRODUCT(MAX((WhoKW&lt;&gt;"")*ISNUMBER(SEARCH(WhoKW,INDEX(FormData,$H552,f_Who)&amp;""))*(ROW(WhoKW)-MIN(ROW(WhoKW))+1))))),""))</f>
        <v/>
      </c>
      <c r="G552" s="14">
        <f>IF($H552="","",IF(COUNTIF(People!$U$5:$U$604,$B552)+COUNTIF(People!$U$5:$U$604,$B552&amp;"")&gt;0,"✓ logged","→ add"))</f>
        <v/>
      </c>
      <c r="H552">
        <f>IFERROR(IF(INDEX(FormData,549,f_Id)&amp;""="","",549),"")</f>
        <v/>
      </c>
      <c r="I552" s="16">
        <f>IF($H552="","",IFERROR(INDEX(FormData,$H552,f_Need)&amp;"",""))</f>
        <v/>
      </c>
    </row>
    <row r="553">
      <c r="A553" s="14" t="n">
        <v>549</v>
      </c>
      <c r="B553" s="14">
        <f>IF($H553="","",INDEX(FormData,$H553,f_Id))</f>
        <v/>
      </c>
      <c r="C553" s="15">
        <f>IF($H553="","",IFERROR(INDEX(FormData,$H553,f_Time),""))</f>
        <v/>
      </c>
      <c r="D553" s="14">
        <f>IF($H553="","",IFERROR(UPPER(LEFT(TRIM(INDEX(FormData,$H553,f_Name)),1)&amp;IFERROR(MID(TRIM(INDEX(FormData,$H553,f_Name)),FIND("^",SUBSTITUTE(TRIM(INDEX(FormData,$H553,f_Name))," ","^",LEN(TRIM(INDEX(FormData,$H553,f_Name)))-LEN(SUBSTITUTE(TRIM(INDEX(FormData,$H553,f_Name))," ",""))))+1,1),"")),""))</f>
        <v/>
      </c>
      <c r="E553" s="16">
        <f>IF($H553="","",IFERROR(INDEX(EvID,MATCH(INDEX(FormData,$H553,f_Event),EvID,0)),IFERROR(INDEX(EvID,MATCH(INDEX(FormData,$H553,f_Event),EvName,0)),IFERROR(INDEX(EvID,MATCH(INT($C553),EvDate,0)),"(no event that day)"))))</f>
        <v/>
      </c>
      <c r="F553" s="16">
        <f>IF($H553="","",IFERROR(IF(SUMPRODUCT(MAX((WhoKW&lt;&gt;"")*ISNUMBER(SEARCH(WhoKW,INDEX(FormData,$H553,f_Who)&amp;""))*(ROW(WhoKW)-MIN(ROW(WhoKW))+1)))=0,"",INDEX(WhoVal,SUMPRODUCT(MAX((WhoKW&lt;&gt;"")*ISNUMBER(SEARCH(WhoKW,INDEX(FormData,$H553,f_Who)&amp;""))*(ROW(WhoKW)-MIN(ROW(WhoKW))+1))))),""))</f>
        <v/>
      </c>
      <c r="G553" s="14">
        <f>IF($H553="","",IF(COUNTIF(People!$U$5:$U$604,$B553)+COUNTIF(People!$U$5:$U$604,$B553&amp;"")&gt;0,"✓ logged","→ add"))</f>
        <v/>
      </c>
      <c r="H553">
        <f>IFERROR(IF(INDEX(FormData,550,f_Id)&amp;""="","",550),"")</f>
        <v/>
      </c>
      <c r="I553" s="16">
        <f>IF($H553="","",IFERROR(INDEX(FormData,$H553,f_Need)&amp;"",""))</f>
        <v/>
      </c>
    </row>
    <row r="554">
      <c r="A554" s="14" t="n">
        <v>550</v>
      </c>
      <c r="B554" s="14">
        <f>IF($H554="","",INDEX(FormData,$H554,f_Id))</f>
        <v/>
      </c>
      <c r="C554" s="15">
        <f>IF($H554="","",IFERROR(INDEX(FormData,$H554,f_Time),""))</f>
        <v/>
      </c>
      <c r="D554" s="14">
        <f>IF($H554="","",IFERROR(UPPER(LEFT(TRIM(INDEX(FormData,$H554,f_Name)),1)&amp;IFERROR(MID(TRIM(INDEX(FormData,$H554,f_Name)),FIND("^",SUBSTITUTE(TRIM(INDEX(FormData,$H554,f_Name))," ","^",LEN(TRIM(INDEX(FormData,$H554,f_Name)))-LEN(SUBSTITUTE(TRIM(INDEX(FormData,$H554,f_Name))," ",""))))+1,1),"")),""))</f>
        <v/>
      </c>
      <c r="E554" s="16">
        <f>IF($H554="","",IFERROR(INDEX(EvID,MATCH(INDEX(FormData,$H554,f_Event),EvID,0)),IFERROR(INDEX(EvID,MATCH(INDEX(FormData,$H554,f_Event),EvName,0)),IFERROR(INDEX(EvID,MATCH(INT($C554),EvDate,0)),"(no event that day)"))))</f>
        <v/>
      </c>
      <c r="F554" s="16">
        <f>IF($H554="","",IFERROR(IF(SUMPRODUCT(MAX((WhoKW&lt;&gt;"")*ISNUMBER(SEARCH(WhoKW,INDEX(FormData,$H554,f_Who)&amp;""))*(ROW(WhoKW)-MIN(ROW(WhoKW))+1)))=0,"",INDEX(WhoVal,SUMPRODUCT(MAX((WhoKW&lt;&gt;"")*ISNUMBER(SEARCH(WhoKW,INDEX(FormData,$H554,f_Who)&amp;""))*(ROW(WhoKW)-MIN(ROW(WhoKW))+1))))),""))</f>
        <v/>
      </c>
      <c r="G554" s="14">
        <f>IF($H554="","",IF(COUNTIF(People!$U$5:$U$604,$B554)+COUNTIF(People!$U$5:$U$604,$B554&amp;"")&gt;0,"✓ logged","→ add"))</f>
        <v/>
      </c>
      <c r="H554">
        <f>IFERROR(IF(INDEX(FormData,551,f_Id)&amp;""="","",551),"")</f>
        <v/>
      </c>
      <c r="I554" s="16">
        <f>IF($H554="","",IFERROR(INDEX(FormData,$H554,f_Need)&amp;"",""))</f>
        <v/>
      </c>
    </row>
    <row r="555">
      <c r="A555" s="14" t="n">
        <v>551</v>
      </c>
      <c r="B555" s="14">
        <f>IF($H555="","",INDEX(FormData,$H555,f_Id))</f>
        <v/>
      </c>
      <c r="C555" s="15">
        <f>IF($H555="","",IFERROR(INDEX(FormData,$H555,f_Time),""))</f>
        <v/>
      </c>
      <c r="D555" s="14">
        <f>IF($H555="","",IFERROR(UPPER(LEFT(TRIM(INDEX(FormData,$H555,f_Name)),1)&amp;IFERROR(MID(TRIM(INDEX(FormData,$H555,f_Name)),FIND("^",SUBSTITUTE(TRIM(INDEX(FormData,$H555,f_Name))," ","^",LEN(TRIM(INDEX(FormData,$H555,f_Name)))-LEN(SUBSTITUTE(TRIM(INDEX(FormData,$H555,f_Name))," ",""))))+1,1),"")),""))</f>
        <v/>
      </c>
      <c r="E555" s="16">
        <f>IF($H555="","",IFERROR(INDEX(EvID,MATCH(INDEX(FormData,$H555,f_Event),EvID,0)),IFERROR(INDEX(EvID,MATCH(INDEX(FormData,$H555,f_Event),EvName,0)),IFERROR(INDEX(EvID,MATCH(INT($C555),EvDate,0)),"(no event that day)"))))</f>
        <v/>
      </c>
      <c r="F555" s="16">
        <f>IF($H555="","",IFERROR(IF(SUMPRODUCT(MAX((WhoKW&lt;&gt;"")*ISNUMBER(SEARCH(WhoKW,INDEX(FormData,$H555,f_Who)&amp;""))*(ROW(WhoKW)-MIN(ROW(WhoKW))+1)))=0,"",INDEX(WhoVal,SUMPRODUCT(MAX((WhoKW&lt;&gt;"")*ISNUMBER(SEARCH(WhoKW,INDEX(FormData,$H555,f_Who)&amp;""))*(ROW(WhoKW)-MIN(ROW(WhoKW))+1))))),""))</f>
        <v/>
      </c>
      <c r="G555" s="14">
        <f>IF($H555="","",IF(COUNTIF(People!$U$5:$U$604,$B555)+COUNTIF(People!$U$5:$U$604,$B555&amp;"")&gt;0,"✓ logged","→ add"))</f>
        <v/>
      </c>
      <c r="H555">
        <f>IFERROR(IF(INDEX(FormData,552,f_Id)&amp;""="","",552),"")</f>
        <v/>
      </c>
      <c r="I555" s="16">
        <f>IF($H555="","",IFERROR(INDEX(FormData,$H555,f_Need)&amp;"",""))</f>
        <v/>
      </c>
    </row>
    <row r="556">
      <c r="A556" s="14" t="n">
        <v>552</v>
      </c>
      <c r="B556" s="14">
        <f>IF($H556="","",INDEX(FormData,$H556,f_Id))</f>
        <v/>
      </c>
      <c r="C556" s="15">
        <f>IF($H556="","",IFERROR(INDEX(FormData,$H556,f_Time),""))</f>
        <v/>
      </c>
      <c r="D556" s="14">
        <f>IF($H556="","",IFERROR(UPPER(LEFT(TRIM(INDEX(FormData,$H556,f_Name)),1)&amp;IFERROR(MID(TRIM(INDEX(FormData,$H556,f_Name)),FIND("^",SUBSTITUTE(TRIM(INDEX(FormData,$H556,f_Name))," ","^",LEN(TRIM(INDEX(FormData,$H556,f_Name)))-LEN(SUBSTITUTE(TRIM(INDEX(FormData,$H556,f_Name))," ",""))))+1,1),"")),""))</f>
        <v/>
      </c>
      <c r="E556" s="16">
        <f>IF($H556="","",IFERROR(INDEX(EvID,MATCH(INDEX(FormData,$H556,f_Event),EvID,0)),IFERROR(INDEX(EvID,MATCH(INDEX(FormData,$H556,f_Event),EvName,0)),IFERROR(INDEX(EvID,MATCH(INT($C556),EvDate,0)),"(no event that day)"))))</f>
        <v/>
      </c>
      <c r="F556" s="16">
        <f>IF($H556="","",IFERROR(IF(SUMPRODUCT(MAX((WhoKW&lt;&gt;"")*ISNUMBER(SEARCH(WhoKW,INDEX(FormData,$H556,f_Who)&amp;""))*(ROW(WhoKW)-MIN(ROW(WhoKW))+1)))=0,"",INDEX(WhoVal,SUMPRODUCT(MAX((WhoKW&lt;&gt;"")*ISNUMBER(SEARCH(WhoKW,INDEX(FormData,$H556,f_Who)&amp;""))*(ROW(WhoKW)-MIN(ROW(WhoKW))+1))))),""))</f>
        <v/>
      </c>
      <c r="G556" s="14">
        <f>IF($H556="","",IF(COUNTIF(People!$U$5:$U$604,$B556)+COUNTIF(People!$U$5:$U$604,$B556&amp;"")&gt;0,"✓ logged","→ add"))</f>
        <v/>
      </c>
      <c r="H556">
        <f>IFERROR(IF(INDEX(FormData,553,f_Id)&amp;""="","",553),"")</f>
        <v/>
      </c>
      <c r="I556" s="16">
        <f>IF($H556="","",IFERROR(INDEX(FormData,$H556,f_Need)&amp;"",""))</f>
        <v/>
      </c>
    </row>
    <row r="557">
      <c r="A557" s="14" t="n">
        <v>553</v>
      </c>
      <c r="B557" s="14">
        <f>IF($H557="","",INDEX(FormData,$H557,f_Id))</f>
        <v/>
      </c>
      <c r="C557" s="15">
        <f>IF($H557="","",IFERROR(INDEX(FormData,$H557,f_Time),""))</f>
        <v/>
      </c>
      <c r="D557" s="14">
        <f>IF($H557="","",IFERROR(UPPER(LEFT(TRIM(INDEX(FormData,$H557,f_Name)),1)&amp;IFERROR(MID(TRIM(INDEX(FormData,$H557,f_Name)),FIND("^",SUBSTITUTE(TRIM(INDEX(FormData,$H557,f_Name))," ","^",LEN(TRIM(INDEX(FormData,$H557,f_Name)))-LEN(SUBSTITUTE(TRIM(INDEX(FormData,$H557,f_Name))," ",""))))+1,1),"")),""))</f>
        <v/>
      </c>
      <c r="E557" s="16">
        <f>IF($H557="","",IFERROR(INDEX(EvID,MATCH(INDEX(FormData,$H557,f_Event),EvID,0)),IFERROR(INDEX(EvID,MATCH(INDEX(FormData,$H557,f_Event),EvName,0)),IFERROR(INDEX(EvID,MATCH(INT($C557),EvDate,0)),"(no event that day)"))))</f>
        <v/>
      </c>
      <c r="F557" s="16">
        <f>IF($H557="","",IFERROR(IF(SUMPRODUCT(MAX((WhoKW&lt;&gt;"")*ISNUMBER(SEARCH(WhoKW,INDEX(FormData,$H557,f_Who)&amp;""))*(ROW(WhoKW)-MIN(ROW(WhoKW))+1)))=0,"",INDEX(WhoVal,SUMPRODUCT(MAX((WhoKW&lt;&gt;"")*ISNUMBER(SEARCH(WhoKW,INDEX(FormData,$H557,f_Who)&amp;""))*(ROW(WhoKW)-MIN(ROW(WhoKW))+1))))),""))</f>
        <v/>
      </c>
      <c r="G557" s="14">
        <f>IF($H557="","",IF(COUNTIF(People!$U$5:$U$604,$B557)+COUNTIF(People!$U$5:$U$604,$B557&amp;"")&gt;0,"✓ logged","→ add"))</f>
        <v/>
      </c>
      <c r="H557">
        <f>IFERROR(IF(INDEX(FormData,554,f_Id)&amp;""="","",554),"")</f>
        <v/>
      </c>
      <c r="I557" s="16">
        <f>IF($H557="","",IFERROR(INDEX(FormData,$H557,f_Need)&amp;"",""))</f>
        <v/>
      </c>
    </row>
    <row r="558">
      <c r="A558" s="14" t="n">
        <v>554</v>
      </c>
      <c r="B558" s="14">
        <f>IF($H558="","",INDEX(FormData,$H558,f_Id))</f>
        <v/>
      </c>
      <c r="C558" s="15">
        <f>IF($H558="","",IFERROR(INDEX(FormData,$H558,f_Time),""))</f>
        <v/>
      </c>
      <c r="D558" s="14">
        <f>IF($H558="","",IFERROR(UPPER(LEFT(TRIM(INDEX(FormData,$H558,f_Name)),1)&amp;IFERROR(MID(TRIM(INDEX(FormData,$H558,f_Name)),FIND("^",SUBSTITUTE(TRIM(INDEX(FormData,$H558,f_Name))," ","^",LEN(TRIM(INDEX(FormData,$H558,f_Name)))-LEN(SUBSTITUTE(TRIM(INDEX(FormData,$H558,f_Name))," ",""))))+1,1),"")),""))</f>
        <v/>
      </c>
      <c r="E558" s="16">
        <f>IF($H558="","",IFERROR(INDEX(EvID,MATCH(INDEX(FormData,$H558,f_Event),EvID,0)),IFERROR(INDEX(EvID,MATCH(INDEX(FormData,$H558,f_Event),EvName,0)),IFERROR(INDEX(EvID,MATCH(INT($C558),EvDate,0)),"(no event that day)"))))</f>
        <v/>
      </c>
      <c r="F558" s="16">
        <f>IF($H558="","",IFERROR(IF(SUMPRODUCT(MAX((WhoKW&lt;&gt;"")*ISNUMBER(SEARCH(WhoKW,INDEX(FormData,$H558,f_Who)&amp;""))*(ROW(WhoKW)-MIN(ROW(WhoKW))+1)))=0,"",INDEX(WhoVal,SUMPRODUCT(MAX((WhoKW&lt;&gt;"")*ISNUMBER(SEARCH(WhoKW,INDEX(FormData,$H558,f_Who)&amp;""))*(ROW(WhoKW)-MIN(ROW(WhoKW))+1))))),""))</f>
        <v/>
      </c>
      <c r="G558" s="14">
        <f>IF($H558="","",IF(COUNTIF(People!$U$5:$U$604,$B558)+COUNTIF(People!$U$5:$U$604,$B558&amp;"")&gt;0,"✓ logged","→ add"))</f>
        <v/>
      </c>
      <c r="H558">
        <f>IFERROR(IF(INDEX(FormData,555,f_Id)&amp;""="","",555),"")</f>
        <v/>
      </c>
      <c r="I558" s="16">
        <f>IF($H558="","",IFERROR(INDEX(FormData,$H558,f_Need)&amp;"",""))</f>
        <v/>
      </c>
    </row>
    <row r="559">
      <c r="A559" s="14" t="n">
        <v>555</v>
      </c>
      <c r="B559" s="14">
        <f>IF($H559="","",INDEX(FormData,$H559,f_Id))</f>
        <v/>
      </c>
      <c r="C559" s="15">
        <f>IF($H559="","",IFERROR(INDEX(FormData,$H559,f_Time),""))</f>
        <v/>
      </c>
      <c r="D559" s="14">
        <f>IF($H559="","",IFERROR(UPPER(LEFT(TRIM(INDEX(FormData,$H559,f_Name)),1)&amp;IFERROR(MID(TRIM(INDEX(FormData,$H559,f_Name)),FIND("^",SUBSTITUTE(TRIM(INDEX(FormData,$H559,f_Name))," ","^",LEN(TRIM(INDEX(FormData,$H559,f_Name)))-LEN(SUBSTITUTE(TRIM(INDEX(FormData,$H559,f_Name))," ",""))))+1,1),"")),""))</f>
        <v/>
      </c>
      <c r="E559" s="16">
        <f>IF($H559="","",IFERROR(INDEX(EvID,MATCH(INDEX(FormData,$H559,f_Event),EvID,0)),IFERROR(INDEX(EvID,MATCH(INDEX(FormData,$H559,f_Event),EvName,0)),IFERROR(INDEX(EvID,MATCH(INT($C559),EvDate,0)),"(no event that day)"))))</f>
        <v/>
      </c>
      <c r="F559" s="16">
        <f>IF($H559="","",IFERROR(IF(SUMPRODUCT(MAX((WhoKW&lt;&gt;"")*ISNUMBER(SEARCH(WhoKW,INDEX(FormData,$H559,f_Who)&amp;""))*(ROW(WhoKW)-MIN(ROW(WhoKW))+1)))=0,"",INDEX(WhoVal,SUMPRODUCT(MAX((WhoKW&lt;&gt;"")*ISNUMBER(SEARCH(WhoKW,INDEX(FormData,$H559,f_Who)&amp;""))*(ROW(WhoKW)-MIN(ROW(WhoKW))+1))))),""))</f>
        <v/>
      </c>
      <c r="G559" s="14">
        <f>IF($H559="","",IF(COUNTIF(People!$U$5:$U$604,$B559)+COUNTIF(People!$U$5:$U$604,$B559&amp;"")&gt;0,"✓ logged","→ add"))</f>
        <v/>
      </c>
      <c r="H559">
        <f>IFERROR(IF(INDEX(FormData,556,f_Id)&amp;""="","",556),"")</f>
        <v/>
      </c>
      <c r="I559" s="16">
        <f>IF($H559="","",IFERROR(INDEX(FormData,$H559,f_Need)&amp;"",""))</f>
        <v/>
      </c>
    </row>
    <row r="560">
      <c r="A560" s="14" t="n">
        <v>556</v>
      </c>
      <c r="B560" s="14">
        <f>IF($H560="","",INDEX(FormData,$H560,f_Id))</f>
        <v/>
      </c>
      <c r="C560" s="15">
        <f>IF($H560="","",IFERROR(INDEX(FormData,$H560,f_Time),""))</f>
        <v/>
      </c>
      <c r="D560" s="14">
        <f>IF($H560="","",IFERROR(UPPER(LEFT(TRIM(INDEX(FormData,$H560,f_Name)),1)&amp;IFERROR(MID(TRIM(INDEX(FormData,$H560,f_Name)),FIND("^",SUBSTITUTE(TRIM(INDEX(FormData,$H560,f_Name))," ","^",LEN(TRIM(INDEX(FormData,$H560,f_Name)))-LEN(SUBSTITUTE(TRIM(INDEX(FormData,$H560,f_Name))," ",""))))+1,1),"")),""))</f>
        <v/>
      </c>
      <c r="E560" s="16">
        <f>IF($H560="","",IFERROR(INDEX(EvID,MATCH(INDEX(FormData,$H560,f_Event),EvID,0)),IFERROR(INDEX(EvID,MATCH(INDEX(FormData,$H560,f_Event),EvName,0)),IFERROR(INDEX(EvID,MATCH(INT($C560),EvDate,0)),"(no event that day)"))))</f>
        <v/>
      </c>
      <c r="F560" s="16">
        <f>IF($H560="","",IFERROR(IF(SUMPRODUCT(MAX((WhoKW&lt;&gt;"")*ISNUMBER(SEARCH(WhoKW,INDEX(FormData,$H560,f_Who)&amp;""))*(ROW(WhoKW)-MIN(ROW(WhoKW))+1)))=0,"",INDEX(WhoVal,SUMPRODUCT(MAX((WhoKW&lt;&gt;"")*ISNUMBER(SEARCH(WhoKW,INDEX(FormData,$H560,f_Who)&amp;""))*(ROW(WhoKW)-MIN(ROW(WhoKW))+1))))),""))</f>
        <v/>
      </c>
      <c r="G560" s="14">
        <f>IF($H560="","",IF(COUNTIF(People!$U$5:$U$604,$B560)+COUNTIF(People!$U$5:$U$604,$B560&amp;"")&gt;0,"✓ logged","→ add"))</f>
        <v/>
      </c>
      <c r="H560">
        <f>IFERROR(IF(INDEX(FormData,557,f_Id)&amp;""="","",557),"")</f>
        <v/>
      </c>
      <c r="I560" s="16">
        <f>IF($H560="","",IFERROR(INDEX(FormData,$H560,f_Need)&amp;"",""))</f>
        <v/>
      </c>
    </row>
    <row r="561">
      <c r="A561" s="14" t="n">
        <v>557</v>
      </c>
      <c r="B561" s="14">
        <f>IF($H561="","",INDEX(FormData,$H561,f_Id))</f>
        <v/>
      </c>
      <c r="C561" s="15">
        <f>IF($H561="","",IFERROR(INDEX(FormData,$H561,f_Time),""))</f>
        <v/>
      </c>
      <c r="D561" s="14">
        <f>IF($H561="","",IFERROR(UPPER(LEFT(TRIM(INDEX(FormData,$H561,f_Name)),1)&amp;IFERROR(MID(TRIM(INDEX(FormData,$H561,f_Name)),FIND("^",SUBSTITUTE(TRIM(INDEX(FormData,$H561,f_Name))," ","^",LEN(TRIM(INDEX(FormData,$H561,f_Name)))-LEN(SUBSTITUTE(TRIM(INDEX(FormData,$H561,f_Name))," ",""))))+1,1),"")),""))</f>
        <v/>
      </c>
      <c r="E561" s="16">
        <f>IF($H561="","",IFERROR(INDEX(EvID,MATCH(INDEX(FormData,$H561,f_Event),EvID,0)),IFERROR(INDEX(EvID,MATCH(INDEX(FormData,$H561,f_Event),EvName,0)),IFERROR(INDEX(EvID,MATCH(INT($C561),EvDate,0)),"(no event that day)"))))</f>
        <v/>
      </c>
      <c r="F561" s="16">
        <f>IF($H561="","",IFERROR(IF(SUMPRODUCT(MAX((WhoKW&lt;&gt;"")*ISNUMBER(SEARCH(WhoKW,INDEX(FormData,$H561,f_Who)&amp;""))*(ROW(WhoKW)-MIN(ROW(WhoKW))+1)))=0,"",INDEX(WhoVal,SUMPRODUCT(MAX((WhoKW&lt;&gt;"")*ISNUMBER(SEARCH(WhoKW,INDEX(FormData,$H561,f_Who)&amp;""))*(ROW(WhoKW)-MIN(ROW(WhoKW))+1))))),""))</f>
        <v/>
      </c>
      <c r="G561" s="14">
        <f>IF($H561="","",IF(COUNTIF(People!$U$5:$U$604,$B561)+COUNTIF(People!$U$5:$U$604,$B561&amp;"")&gt;0,"✓ logged","→ add"))</f>
        <v/>
      </c>
      <c r="H561">
        <f>IFERROR(IF(INDEX(FormData,558,f_Id)&amp;""="","",558),"")</f>
        <v/>
      </c>
      <c r="I561" s="16">
        <f>IF($H561="","",IFERROR(INDEX(FormData,$H561,f_Need)&amp;"",""))</f>
        <v/>
      </c>
    </row>
    <row r="562">
      <c r="A562" s="14" t="n">
        <v>558</v>
      </c>
      <c r="B562" s="14">
        <f>IF($H562="","",INDEX(FormData,$H562,f_Id))</f>
        <v/>
      </c>
      <c r="C562" s="15">
        <f>IF($H562="","",IFERROR(INDEX(FormData,$H562,f_Time),""))</f>
        <v/>
      </c>
      <c r="D562" s="14">
        <f>IF($H562="","",IFERROR(UPPER(LEFT(TRIM(INDEX(FormData,$H562,f_Name)),1)&amp;IFERROR(MID(TRIM(INDEX(FormData,$H562,f_Name)),FIND("^",SUBSTITUTE(TRIM(INDEX(FormData,$H562,f_Name))," ","^",LEN(TRIM(INDEX(FormData,$H562,f_Name)))-LEN(SUBSTITUTE(TRIM(INDEX(FormData,$H562,f_Name))," ",""))))+1,1),"")),""))</f>
        <v/>
      </c>
      <c r="E562" s="16">
        <f>IF($H562="","",IFERROR(INDEX(EvID,MATCH(INDEX(FormData,$H562,f_Event),EvID,0)),IFERROR(INDEX(EvID,MATCH(INDEX(FormData,$H562,f_Event),EvName,0)),IFERROR(INDEX(EvID,MATCH(INT($C562),EvDate,0)),"(no event that day)"))))</f>
        <v/>
      </c>
      <c r="F562" s="16">
        <f>IF($H562="","",IFERROR(IF(SUMPRODUCT(MAX((WhoKW&lt;&gt;"")*ISNUMBER(SEARCH(WhoKW,INDEX(FormData,$H562,f_Who)&amp;""))*(ROW(WhoKW)-MIN(ROW(WhoKW))+1)))=0,"",INDEX(WhoVal,SUMPRODUCT(MAX((WhoKW&lt;&gt;"")*ISNUMBER(SEARCH(WhoKW,INDEX(FormData,$H562,f_Who)&amp;""))*(ROW(WhoKW)-MIN(ROW(WhoKW))+1))))),""))</f>
        <v/>
      </c>
      <c r="G562" s="14">
        <f>IF($H562="","",IF(COUNTIF(People!$U$5:$U$604,$B562)+COUNTIF(People!$U$5:$U$604,$B562&amp;"")&gt;0,"✓ logged","→ add"))</f>
        <v/>
      </c>
      <c r="H562">
        <f>IFERROR(IF(INDEX(FormData,559,f_Id)&amp;""="","",559),"")</f>
        <v/>
      </c>
      <c r="I562" s="16">
        <f>IF($H562="","",IFERROR(INDEX(FormData,$H562,f_Need)&amp;"",""))</f>
        <v/>
      </c>
    </row>
    <row r="563">
      <c r="A563" s="14" t="n">
        <v>559</v>
      </c>
      <c r="B563" s="14">
        <f>IF($H563="","",INDEX(FormData,$H563,f_Id))</f>
        <v/>
      </c>
      <c r="C563" s="15">
        <f>IF($H563="","",IFERROR(INDEX(FormData,$H563,f_Time),""))</f>
        <v/>
      </c>
      <c r="D563" s="14">
        <f>IF($H563="","",IFERROR(UPPER(LEFT(TRIM(INDEX(FormData,$H563,f_Name)),1)&amp;IFERROR(MID(TRIM(INDEX(FormData,$H563,f_Name)),FIND("^",SUBSTITUTE(TRIM(INDEX(FormData,$H563,f_Name))," ","^",LEN(TRIM(INDEX(FormData,$H563,f_Name)))-LEN(SUBSTITUTE(TRIM(INDEX(FormData,$H563,f_Name))," ",""))))+1,1),"")),""))</f>
        <v/>
      </c>
      <c r="E563" s="16">
        <f>IF($H563="","",IFERROR(INDEX(EvID,MATCH(INDEX(FormData,$H563,f_Event),EvID,0)),IFERROR(INDEX(EvID,MATCH(INDEX(FormData,$H563,f_Event),EvName,0)),IFERROR(INDEX(EvID,MATCH(INT($C563),EvDate,0)),"(no event that day)"))))</f>
        <v/>
      </c>
      <c r="F563" s="16">
        <f>IF($H563="","",IFERROR(IF(SUMPRODUCT(MAX((WhoKW&lt;&gt;"")*ISNUMBER(SEARCH(WhoKW,INDEX(FormData,$H563,f_Who)&amp;""))*(ROW(WhoKW)-MIN(ROW(WhoKW))+1)))=0,"",INDEX(WhoVal,SUMPRODUCT(MAX((WhoKW&lt;&gt;"")*ISNUMBER(SEARCH(WhoKW,INDEX(FormData,$H563,f_Who)&amp;""))*(ROW(WhoKW)-MIN(ROW(WhoKW))+1))))),""))</f>
        <v/>
      </c>
      <c r="G563" s="14">
        <f>IF($H563="","",IF(COUNTIF(People!$U$5:$U$604,$B563)+COUNTIF(People!$U$5:$U$604,$B563&amp;"")&gt;0,"✓ logged","→ add"))</f>
        <v/>
      </c>
      <c r="H563">
        <f>IFERROR(IF(INDEX(FormData,560,f_Id)&amp;""="","",560),"")</f>
        <v/>
      </c>
      <c r="I563" s="16">
        <f>IF($H563="","",IFERROR(INDEX(FormData,$H563,f_Need)&amp;"",""))</f>
        <v/>
      </c>
    </row>
    <row r="564">
      <c r="A564" s="14" t="n">
        <v>560</v>
      </c>
      <c r="B564" s="14">
        <f>IF($H564="","",INDEX(FormData,$H564,f_Id))</f>
        <v/>
      </c>
      <c r="C564" s="15">
        <f>IF($H564="","",IFERROR(INDEX(FormData,$H564,f_Time),""))</f>
        <v/>
      </c>
      <c r="D564" s="14">
        <f>IF($H564="","",IFERROR(UPPER(LEFT(TRIM(INDEX(FormData,$H564,f_Name)),1)&amp;IFERROR(MID(TRIM(INDEX(FormData,$H564,f_Name)),FIND("^",SUBSTITUTE(TRIM(INDEX(FormData,$H564,f_Name))," ","^",LEN(TRIM(INDEX(FormData,$H564,f_Name)))-LEN(SUBSTITUTE(TRIM(INDEX(FormData,$H564,f_Name))," ",""))))+1,1),"")),""))</f>
        <v/>
      </c>
      <c r="E564" s="16">
        <f>IF($H564="","",IFERROR(INDEX(EvID,MATCH(INDEX(FormData,$H564,f_Event),EvID,0)),IFERROR(INDEX(EvID,MATCH(INDEX(FormData,$H564,f_Event),EvName,0)),IFERROR(INDEX(EvID,MATCH(INT($C564),EvDate,0)),"(no event that day)"))))</f>
        <v/>
      </c>
      <c r="F564" s="16">
        <f>IF($H564="","",IFERROR(IF(SUMPRODUCT(MAX((WhoKW&lt;&gt;"")*ISNUMBER(SEARCH(WhoKW,INDEX(FormData,$H564,f_Who)&amp;""))*(ROW(WhoKW)-MIN(ROW(WhoKW))+1)))=0,"",INDEX(WhoVal,SUMPRODUCT(MAX((WhoKW&lt;&gt;"")*ISNUMBER(SEARCH(WhoKW,INDEX(FormData,$H564,f_Who)&amp;""))*(ROW(WhoKW)-MIN(ROW(WhoKW))+1))))),""))</f>
        <v/>
      </c>
      <c r="G564" s="14">
        <f>IF($H564="","",IF(COUNTIF(People!$U$5:$U$604,$B564)+COUNTIF(People!$U$5:$U$604,$B564&amp;"")&gt;0,"✓ logged","→ add"))</f>
        <v/>
      </c>
      <c r="H564">
        <f>IFERROR(IF(INDEX(FormData,561,f_Id)&amp;""="","",561),"")</f>
        <v/>
      </c>
      <c r="I564" s="16">
        <f>IF($H564="","",IFERROR(INDEX(FormData,$H564,f_Need)&amp;"",""))</f>
        <v/>
      </c>
    </row>
    <row r="565">
      <c r="A565" s="14" t="n">
        <v>561</v>
      </c>
      <c r="B565" s="14">
        <f>IF($H565="","",INDEX(FormData,$H565,f_Id))</f>
        <v/>
      </c>
      <c r="C565" s="15">
        <f>IF($H565="","",IFERROR(INDEX(FormData,$H565,f_Time),""))</f>
        <v/>
      </c>
      <c r="D565" s="14">
        <f>IF($H565="","",IFERROR(UPPER(LEFT(TRIM(INDEX(FormData,$H565,f_Name)),1)&amp;IFERROR(MID(TRIM(INDEX(FormData,$H565,f_Name)),FIND("^",SUBSTITUTE(TRIM(INDEX(FormData,$H565,f_Name))," ","^",LEN(TRIM(INDEX(FormData,$H565,f_Name)))-LEN(SUBSTITUTE(TRIM(INDEX(FormData,$H565,f_Name))," ",""))))+1,1),"")),""))</f>
        <v/>
      </c>
      <c r="E565" s="16">
        <f>IF($H565="","",IFERROR(INDEX(EvID,MATCH(INDEX(FormData,$H565,f_Event),EvID,0)),IFERROR(INDEX(EvID,MATCH(INDEX(FormData,$H565,f_Event),EvName,0)),IFERROR(INDEX(EvID,MATCH(INT($C565),EvDate,0)),"(no event that day)"))))</f>
        <v/>
      </c>
      <c r="F565" s="16">
        <f>IF($H565="","",IFERROR(IF(SUMPRODUCT(MAX((WhoKW&lt;&gt;"")*ISNUMBER(SEARCH(WhoKW,INDEX(FormData,$H565,f_Who)&amp;""))*(ROW(WhoKW)-MIN(ROW(WhoKW))+1)))=0,"",INDEX(WhoVal,SUMPRODUCT(MAX((WhoKW&lt;&gt;"")*ISNUMBER(SEARCH(WhoKW,INDEX(FormData,$H565,f_Who)&amp;""))*(ROW(WhoKW)-MIN(ROW(WhoKW))+1))))),""))</f>
        <v/>
      </c>
      <c r="G565" s="14">
        <f>IF($H565="","",IF(COUNTIF(People!$U$5:$U$604,$B565)+COUNTIF(People!$U$5:$U$604,$B565&amp;"")&gt;0,"✓ logged","→ add"))</f>
        <v/>
      </c>
      <c r="H565">
        <f>IFERROR(IF(INDEX(FormData,562,f_Id)&amp;""="","",562),"")</f>
        <v/>
      </c>
      <c r="I565" s="16">
        <f>IF($H565="","",IFERROR(INDEX(FormData,$H565,f_Need)&amp;"",""))</f>
        <v/>
      </c>
    </row>
    <row r="566">
      <c r="A566" s="14" t="n">
        <v>562</v>
      </c>
      <c r="B566" s="14">
        <f>IF($H566="","",INDEX(FormData,$H566,f_Id))</f>
        <v/>
      </c>
      <c r="C566" s="15">
        <f>IF($H566="","",IFERROR(INDEX(FormData,$H566,f_Time),""))</f>
        <v/>
      </c>
      <c r="D566" s="14">
        <f>IF($H566="","",IFERROR(UPPER(LEFT(TRIM(INDEX(FormData,$H566,f_Name)),1)&amp;IFERROR(MID(TRIM(INDEX(FormData,$H566,f_Name)),FIND("^",SUBSTITUTE(TRIM(INDEX(FormData,$H566,f_Name))," ","^",LEN(TRIM(INDEX(FormData,$H566,f_Name)))-LEN(SUBSTITUTE(TRIM(INDEX(FormData,$H566,f_Name))," ",""))))+1,1),"")),""))</f>
        <v/>
      </c>
      <c r="E566" s="16">
        <f>IF($H566="","",IFERROR(INDEX(EvID,MATCH(INDEX(FormData,$H566,f_Event),EvID,0)),IFERROR(INDEX(EvID,MATCH(INDEX(FormData,$H566,f_Event),EvName,0)),IFERROR(INDEX(EvID,MATCH(INT($C566),EvDate,0)),"(no event that day)"))))</f>
        <v/>
      </c>
      <c r="F566" s="16">
        <f>IF($H566="","",IFERROR(IF(SUMPRODUCT(MAX((WhoKW&lt;&gt;"")*ISNUMBER(SEARCH(WhoKW,INDEX(FormData,$H566,f_Who)&amp;""))*(ROW(WhoKW)-MIN(ROW(WhoKW))+1)))=0,"",INDEX(WhoVal,SUMPRODUCT(MAX((WhoKW&lt;&gt;"")*ISNUMBER(SEARCH(WhoKW,INDEX(FormData,$H566,f_Who)&amp;""))*(ROW(WhoKW)-MIN(ROW(WhoKW))+1))))),""))</f>
        <v/>
      </c>
      <c r="G566" s="14">
        <f>IF($H566="","",IF(COUNTIF(People!$U$5:$U$604,$B566)+COUNTIF(People!$U$5:$U$604,$B566&amp;"")&gt;0,"✓ logged","→ add"))</f>
        <v/>
      </c>
      <c r="H566">
        <f>IFERROR(IF(INDEX(FormData,563,f_Id)&amp;""="","",563),"")</f>
        <v/>
      </c>
      <c r="I566" s="16">
        <f>IF($H566="","",IFERROR(INDEX(FormData,$H566,f_Need)&amp;"",""))</f>
        <v/>
      </c>
    </row>
    <row r="567">
      <c r="A567" s="14" t="n">
        <v>563</v>
      </c>
      <c r="B567" s="14">
        <f>IF($H567="","",INDEX(FormData,$H567,f_Id))</f>
        <v/>
      </c>
      <c r="C567" s="15">
        <f>IF($H567="","",IFERROR(INDEX(FormData,$H567,f_Time),""))</f>
        <v/>
      </c>
      <c r="D567" s="14">
        <f>IF($H567="","",IFERROR(UPPER(LEFT(TRIM(INDEX(FormData,$H567,f_Name)),1)&amp;IFERROR(MID(TRIM(INDEX(FormData,$H567,f_Name)),FIND("^",SUBSTITUTE(TRIM(INDEX(FormData,$H567,f_Name))," ","^",LEN(TRIM(INDEX(FormData,$H567,f_Name)))-LEN(SUBSTITUTE(TRIM(INDEX(FormData,$H567,f_Name))," ",""))))+1,1),"")),""))</f>
        <v/>
      </c>
      <c r="E567" s="16">
        <f>IF($H567="","",IFERROR(INDEX(EvID,MATCH(INDEX(FormData,$H567,f_Event),EvID,0)),IFERROR(INDEX(EvID,MATCH(INDEX(FormData,$H567,f_Event),EvName,0)),IFERROR(INDEX(EvID,MATCH(INT($C567),EvDate,0)),"(no event that day)"))))</f>
        <v/>
      </c>
      <c r="F567" s="16">
        <f>IF($H567="","",IFERROR(IF(SUMPRODUCT(MAX((WhoKW&lt;&gt;"")*ISNUMBER(SEARCH(WhoKW,INDEX(FormData,$H567,f_Who)&amp;""))*(ROW(WhoKW)-MIN(ROW(WhoKW))+1)))=0,"",INDEX(WhoVal,SUMPRODUCT(MAX((WhoKW&lt;&gt;"")*ISNUMBER(SEARCH(WhoKW,INDEX(FormData,$H567,f_Who)&amp;""))*(ROW(WhoKW)-MIN(ROW(WhoKW))+1))))),""))</f>
        <v/>
      </c>
      <c r="G567" s="14">
        <f>IF($H567="","",IF(COUNTIF(People!$U$5:$U$604,$B567)+COUNTIF(People!$U$5:$U$604,$B567&amp;"")&gt;0,"✓ logged","→ add"))</f>
        <v/>
      </c>
      <c r="H567">
        <f>IFERROR(IF(INDEX(FormData,564,f_Id)&amp;""="","",564),"")</f>
        <v/>
      </c>
      <c r="I567" s="16">
        <f>IF($H567="","",IFERROR(INDEX(FormData,$H567,f_Need)&amp;"",""))</f>
        <v/>
      </c>
    </row>
    <row r="568">
      <c r="A568" s="14" t="n">
        <v>564</v>
      </c>
      <c r="B568" s="14">
        <f>IF($H568="","",INDEX(FormData,$H568,f_Id))</f>
        <v/>
      </c>
      <c r="C568" s="15">
        <f>IF($H568="","",IFERROR(INDEX(FormData,$H568,f_Time),""))</f>
        <v/>
      </c>
      <c r="D568" s="14">
        <f>IF($H568="","",IFERROR(UPPER(LEFT(TRIM(INDEX(FormData,$H568,f_Name)),1)&amp;IFERROR(MID(TRIM(INDEX(FormData,$H568,f_Name)),FIND("^",SUBSTITUTE(TRIM(INDEX(FormData,$H568,f_Name))," ","^",LEN(TRIM(INDEX(FormData,$H568,f_Name)))-LEN(SUBSTITUTE(TRIM(INDEX(FormData,$H568,f_Name))," ",""))))+1,1),"")),""))</f>
        <v/>
      </c>
      <c r="E568" s="16">
        <f>IF($H568="","",IFERROR(INDEX(EvID,MATCH(INDEX(FormData,$H568,f_Event),EvID,0)),IFERROR(INDEX(EvID,MATCH(INDEX(FormData,$H568,f_Event),EvName,0)),IFERROR(INDEX(EvID,MATCH(INT($C568),EvDate,0)),"(no event that day)"))))</f>
        <v/>
      </c>
      <c r="F568" s="16">
        <f>IF($H568="","",IFERROR(IF(SUMPRODUCT(MAX((WhoKW&lt;&gt;"")*ISNUMBER(SEARCH(WhoKW,INDEX(FormData,$H568,f_Who)&amp;""))*(ROW(WhoKW)-MIN(ROW(WhoKW))+1)))=0,"",INDEX(WhoVal,SUMPRODUCT(MAX((WhoKW&lt;&gt;"")*ISNUMBER(SEARCH(WhoKW,INDEX(FormData,$H568,f_Who)&amp;""))*(ROW(WhoKW)-MIN(ROW(WhoKW))+1))))),""))</f>
        <v/>
      </c>
      <c r="G568" s="14">
        <f>IF($H568="","",IF(COUNTIF(People!$U$5:$U$604,$B568)+COUNTIF(People!$U$5:$U$604,$B568&amp;"")&gt;0,"✓ logged","→ add"))</f>
        <v/>
      </c>
      <c r="H568">
        <f>IFERROR(IF(INDEX(FormData,565,f_Id)&amp;""="","",565),"")</f>
        <v/>
      </c>
      <c r="I568" s="16">
        <f>IF($H568="","",IFERROR(INDEX(FormData,$H568,f_Need)&amp;"",""))</f>
        <v/>
      </c>
    </row>
    <row r="569">
      <c r="A569" s="14" t="n">
        <v>565</v>
      </c>
      <c r="B569" s="14">
        <f>IF($H569="","",INDEX(FormData,$H569,f_Id))</f>
        <v/>
      </c>
      <c r="C569" s="15">
        <f>IF($H569="","",IFERROR(INDEX(FormData,$H569,f_Time),""))</f>
        <v/>
      </c>
      <c r="D569" s="14">
        <f>IF($H569="","",IFERROR(UPPER(LEFT(TRIM(INDEX(FormData,$H569,f_Name)),1)&amp;IFERROR(MID(TRIM(INDEX(FormData,$H569,f_Name)),FIND("^",SUBSTITUTE(TRIM(INDEX(FormData,$H569,f_Name))," ","^",LEN(TRIM(INDEX(FormData,$H569,f_Name)))-LEN(SUBSTITUTE(TRIM(INDEX(FormData,$H569,f_Name))," ",""))))+1,1),"")),""))</f>
        <v/>
      </c>
      <c r="E569" s="16">
        <f>IF($H569="","",IFERROR(INDEX(EvID,MATCH(INDEX(FormData,$H569,f_Event),EvID,0)),IFERROR(INDEX(EvID,MATCH(INDEX(FormData,$H569,f_Event),EvName,0)),IFERROR(INDEX(EvID,MATCH(INT($C569),EvDate,0)),"(no event that day)"))))</f>
        <v/>
      </c>
      <c r="F569" s="16">
        <f>IF($H569="","",IFERROR(IF(SUMPRODUCT(MAX((WhoKW&lt;&gt;"")*ISNUMBER(SEARCH(WhoKW,INDEX(FormData,$H569,f_Who)&amp;""))*(ROW(WhoKW)-MIN(ROW(WhoKW))+1)))=0,"",INDEX(WhoVal,SUMPRODUCT(MAX((WhoKW&lt;&gt;"")*ISNUMBER(SEARCH(WhoKW,INDEX(FormData,$H569,f_Who)&amp;""))*(ROW(WhoKW)-MIN(ROW(WhoKW))+1))))),""))</f>
        <v/>
      </c>
      <c r="G569" s="14">
        <f>IF($H569="","",IF(COUNTIF(People!$U$5:$U$604,$B569)+COUNTIF(People!$U$5:$U$604,$B569&amp;"")&gt;0,"✓ logged","→ add"))</f>
        <v/>
      </c>
      <c r="H569">
        <f>IFERROR(IF(INDEX(FormData,566,f_Id)&amp;""="","",566),"")</f>
        <v/>
      </c>
      <c r="I569" s="16">
        <f>IF($H569="","",IFERROR(INDEX(FormData,$H569,f_Need)&amp;"",""))</f>
        <v/>
      </c>
    </row>
    <row r="570">
      <c r="A570" s="14" t="n">
        <v>566</v>
      </c>
      <c r="B570" s="14">
        <f>IF($H570="","",INDEX(FormData,$H570,f_Id))</f>
        <v/>
      </c>
      <c r="C570" s="15">
        <f>IF($H570="","",IFERROR(INDEX(FormData,$H570,f_Time),""))</f>
        <v/>
      </c>
      <c r="D570" s="14">
        <f>IF($H570="","",IFERROR(UPPER(LEFT(TRIM(INDEX(FormData,$H570,f_Name)),1)&amp;IFERROR(MID(TRIM(INDEX(FormData,$H570,f_Name)),FIND("^",SUBSTITUTE(TRIM(INDEX(FormData,$H570,f_Name))," ","^",LEN(TRIM(INDEX(FormData,$H570,f_Name)))-LEN(SUBSTITUTE(TRIM(INDEX(FormData,$H570,f_Name))," ",""))))+1,1),"")),""))</f>
        <v/>
      </c>
      <c r="E570" s="16">
        <f>IF($H570="","",IFERROR(INDEX(EvID,MATCH(INDEX(FormData,$H570,f_Event),EvID,0)),IFERROR(INDEX(EvID,MATCH(INDEX(FormData,$H570,f_Event),EvName,0)),IFERROR(INDEX(EvID,MATCH(INT($C570),EvDate,0)),"(no event that day)"))))</f>
        <v/>
      </c>
      <c r="F570" s="16">
        <f>IF($H570="","",IFERROR(IF(SUMPRODUCT(MAX((WhoKW&lt;&gt;"")*ISNUMBER(SEARCH(WhoKW,INDEX(FormData,$H570,f_Who)&amp;""))*(ROW(WhoKW)-MIN(ROW(WhoKW))+1)))=0,"",INDEX(WhoVal,SUMPRODUCT(MAX((WhoKW&lt;&gt;"")*ISNUMBER(SEARCH(WhoKW,INDEX(FormData,$H570,f_Who)&amp;""))*(ROW(WhoKW)-MIN(ROW(WhoKW))+1))))),""))</f>
        <v/>
      </c>
      <c r="G570" s="14">
        <f>IF($H570="","",IF(COUNTIF(People!$U$5:$U$604,$B570)+COUNTIF(People!$U$5:$U$604,$B570&amp;"")&gt;0,"✓ logged","→ add"))</f>
        <v/>
      </c>
      <c r="H570">
        <f>IFERROR(IF(INDEX(FormData,567,f_Id)&amp;""="","",567),"")</f>
        <v/>
      </c>
      <c r="I570" s="16">
        <f>IF($H570="","",IFERROR(INDEX(FormData,$H570,f_Need)&amp;"",""))</f>
        <v/>
      </c>
    </row>
    <row r="571">
      <c r="A571" s="14" t="n">
        <v>567</v>
      </c>
      <c r="B571" s="14">
        <f>IF($H571="","",INDEX(FormData,$H571,f_Id))</f>
        <v/>
      </c>
      <c r="C571" s="15">
        <f>IF($H571="","",IFERROR(INDEX(FormData,$H571,f_Time),""))</f>
        <v/>
      </c>
      <c r="D571" s="14">
        <f>IF($H571="","",IFERROR(UPPER(LEFT(TRIM(INDEX(FormData,$H571,f_Name)),1)&amp;IFERROR(MID(TRIM(INDEX(FormData,$H571,f_Name)),FIND("^",SUBSTITUTE(TRIM(INDEX(FormData,$H571,f_Name))," ","^",LEN(TRIM(INDEX(FormData,$H571,f_Name)))-LEN(SUBSTITUTE(TRIM(INDEX(FormData,$H571,f_Name))," ",""))))+1,1),"")),""))</f>
        <v/>
      </c>
      <c r="E571" s="16">
        <f>IF($H571="","",IFERROR(INDEX(EvID,MATCH(INDEX(FormData,$H571,f_Event),EvID,0)),IFERROR(INDEX(EvID,MATCH(INDEX(FormData,$H571,f_Event),EvName,0)),IFERROR(INDEX(EvID,MATCH(INT($C571),EvDate,0)),"(no event that day)"))))</f>
        <v/>
      </c>
      <c r="F571" s="16">
        <f>IF($H571="","",IFERROR(IF(SUMPRODUCT(MAX((WhoKW&lt;&gt;"")*ISNUMBER(SEARCH(WhoKW,INDEX(FormData,$H571,f_Who)&amp;""))*(ROW(WhoKW)-MIN(ROW(WhoKW))+1)))=0,"",INDEX(WhoVal,SUMPRODUCT(MAX((WhoKW&lt;&gt;"")*ISNUMBER(SEARCH(WhoKW,INDEX(FormData,$H571,f_Who)&amp;""))*(ROW(WhoKW)-MIN(ROW(WhoKW))+1))))),""))</f>
        <v/>
      </c>
      <c r="G571" s="14">
        <f>IF($H571="","",IF(COUNTIF(People!$U$5:$U$604,$B571)+COUNTIF(People!$U$5:$U$604,$B571&amp;"")&gt;0,"✓ logged","→ add"))</f>
        <v/>
      </c>
      <c r="H571">
        <f>IFERROR(IF(INDEX(FormData,568,f_Id)&amp;""="","",568),"")</f>
        <v/>
      </c>
      <c r="I571" s="16">
        <f>IF($H571="","",IFERROR(INDEX(FormData,$H571,f_Need)&amp;"",""))</f>
        <v/>
      </c>
    </row>
    <row r="572">
      <c r="A572" s="14" t="n">
        <v>568</v>
      </c>
      <c r="B572" s="14">
        <f>IF($H572="","",INDEX(FormData,$H572,f_Id))</f>
        <v/>
      </c>
      <c r="C572" s="15">
        <f>IF($H572="","",IFERROR(INDEX(FormData,$H572,f_Time),""))</f>
        <v/>
      </c>
      <c r="D572" s="14">
        <f>IF($H572="","",IFERROR(UPPER(LEFT(TRIM(INDEX(FormData,$H572,f_Name)),1)&amp;IFERROR(MID(TRIM(INDEX(FormData,$H572,f_Name)),FIND("^",SUBSTITUTE(TRIM(INDEX(FormData,$H572,f_Name))," ","^",LEN(TRIM(INDEX(FormData,$H572,f_Name)))-LEN(SUBSTITUTE(TRIM(INDEX(FormData,$H572,f_Name))," ",""))))+1,1),"")),""))</f>
        <v/>
      </c>
      <c r="E572" s="16">
        <f>IF($H572="","",IFERROR(INDEX(EvID,MATCH(INDEX(FormData,$H572,f_Event),EvID,0)),IFERROR(INDEX(EvID,MATCH(INDEX(FormData,$H572,f_Event),EvName,0)),IFERROR(INDEX(EvID,MATCH(INT($C572),EvDate,0)),"(no event that day)"))))</f>
        <v/>
      </c>
      <c r="F572" s="16">
        <f>IF($H572="","",IFERROR(IF(SUMPRODUCT(MAX((WhoKW&lt;&gt;"")*ISNUMBER(SEARCH(WhoKW,INDEX(FormData,$H572,f_Who)&amp;""))*(ROW(WhoKW)-MIN(ROW(WhoKW))+1)))=0,"",INDEX(WhoVal,SUMPRODUCT(MAX((WhoKW&lt;&gt;"")*ISNUMBER(SEARCH(WhoKW,INDEX(FormData,$H572,f_Who)&amp;""))*(ROW(WhoKW)-MIN(ROW(WhoKW))+1))))),""))</f>
        <v/>
      </c>
      <c r="G572" s="14">
        <f>IF($H572="","",IF(COUNTIF(People!$U$5:$U$604,$B572)+COUNTIF(People!$U$5:$U$604,$B572&amp;"")&gt;0,"✓ logged","→ add"))</f>
        <v/>
      </c>
      <c r="H572">
        <f>IFERROR(IF(INDEX(FormData,569,f_Id)&amp;""="","",569),"")</f>
        <v/>
      </c>
      <c r="I572" s="16">
        <f>IF($H572="","",IFERROR(INDEX(FormData,$H572,f_Need)&amp;"",""))</f>
        <v/>
      </c>
    </row>
    <row r="573">
      <c r="A573" s="14" t="n">
        <v>569</v>
      </c>
      <c r="B573" s="14">
        <f>IF($H573="","",INDEX(FormData,$H573,f_Id))</f>
        <v/>
      </c>
      <c r="C573" s="15">
        <f>IF($H573="","",IFERROR(INDEX(FormData,$H573,f_Time),""))</f>
        <v/>
      </c>
      <c r="D573" s="14">
        <f>IF($H573="","",IFERROR(UPPER(LEFT(TRIM(INDEX(FormData,$H573,f_Name)),1)&amp;IFERROR(MID(TRIM(INDEX(FormData,$H573,f_Name)),FIND("^",SUBSTITUTE(TRIM(INDEX(FormData,$H573,f_Name))," ","^",LEN(TRIM(INDEX(FormData,$H573,f_Name)))-LEN(SUBSTITUTE(TRIM(INDEX(FormData,$H573,f_Name))," ",""))))+1,1),"")),""))</f>
        <v/>
      </c>
      <c r="E573" s="16">
        <f>IF($H573="","",IFERROR(INDEX(EvID,MATCH(INDEX(FormData,$H573,f_Event),EvID,0)),IFERROR(INDEX(EvID,MATCH(INDEX(FormData,$H573,f_Event),EvName,0)),IFERROR(INDEX(EvID,MATCH(INT($C573),EvDate,0)),"(no event that day)"))))</f>
        <v/>
      </c>
      <c r="F573" s="16">
        <f>IF($H573="","",IFERROR(IF(SUMPRODUCT(MAX((WhoKW&lt;&gt;"")*ISNUMBER(SEARCH(WhoKW,INDEX(FormData,$H573,f_Who)&amp;""))*(ROW(WhoKW)-MIN(ROW(WhoKW))+1)))=0,"",INDEX(WhoVal,SUMPRODUCT(MAX((WhoKW&lt;&gt;"")*ISNUMBER(SEARCH(WhoKW,INDEX(FormData,$H573,f_Who)&amp;""))*(ROW(WhoKW)-MIN(ROW(WhoKW))+1))))),""))</f>
        <v/>
      </c>
      <c r="G573" s="14">
        <f>IF($H573="","",IF(COUNTIF(People!$U$5:$U$604,$B573)+COUNTIF(People!$U$5:$U$604,$B573&amp;"")&gt;0,"✓ logged","→ add"))</f>
        <v/>
      </c>
      <c r="H573">
        <f>IFERROR(IF(INDEX(FormData,570,f_Id)&amp;""="","",570),"")</f>
        <v/>
      </c>
      <c r="I573" s="16">
        <f>IF($H573="","",IFERROR(INDEX(FormData,$H573,f_Need)&amp;"",""))</f>
        <v/>
      </c>
    </row>
    <row r="574">
      <c r="A574" s="14" t="n">
        <v>570</v>
      </c>
      <c r="B574" s="14">
        <f>IF($H574="","",INDEX(FormData,$H574,f_Id))</f>
        <v/>
      </c>
      <c r="C574" s="15">
        <f>IF($H574="","",IFERROR(INDEX(FormData,$H574,f_Time),""))</f>
        <v/>
      </c>
      <c r="D574" s="14">
        <f>IF($H574="","",IFERROR(UPPER(LEFT(TRIM(INDEX(FormData,$H574,f_Name)),1)&amp;IFERROR(MID(TRIM(INDEX(FormData,$H574,f_Name)),FIND("^",SUBSTITUTE(TRIM(INDEX(FormData,$H574,f_Name))," ","^",LEN(TRIM(INDEX(FormData,$H574,f_Name)))-LEN(SUBSTITUTE(TRIM(INDEX(FormData,$H574,f_Name))," ",""))))+1,1),"")),""))</f>
        <v/>
      </c>
      <c r="E574" s="16">
        <f>IF($H574="","",IFERROR(INDEX(EvID,MATCH(INDEX(FormData,$H574,f_Event),EvID,0)),IFERROR(INDEX(EvID,MATCH(INDEX(FormData,$H574,f_Event),EvName,0)),IFERROR(INDEX(EvID,MATCH(INT($C574),EvDate,0)),"(no event that day)"))))</f>
        <v/>
      </c>
      <c r="F574" s="16">
        <f>IF($H574="","",IFERROR(IF(SUMPRODUCT(MAX((WhoKW&lt;&gt;"")*ISNUMBER(SEARCH(WhoKW,INDEX(FormData,$H574,f_Who)&amp;""))*(ROW(WhoKW)-MIN(ROW(WhoKW))+1)))=0,"",INDEX(WhoVal,SUMPRODUCT(MAX((WhoKW&lt;&gt;"")*ISNUMBER(SEARCH(WhoKW,INDEX(FormData,$H574,f_Who)&amp;""))*(ROW(WhoKW)-MIN(ROW(WhoKW))+1))))),""))</f>
        <v/>
      </c>
      <c r="G574" s="14">
        <f>IF($H574="","",IF(COUNTIF(People!$U$5:$U$604,$B574)+COUNTIF(People!$U$5:$U$604,$B574&amp;"")&gt;0,"✓ logged","→ add"))</f>
        <v/>
      </c>
      <c r="H574">
        <f>IFERROR(IF(INDEX(FormData,571,f_Id)&amp;""="","",571),"")</f>
        <v/>
      </c>
      <c r="I574" s="16">
        <f>IF($H574="","",IFERROR(INDEX(FormData,$H574,f_Need)&amp;"",""))</f>
        <v/>
      </c>
    </row>
    <row r="575">
      <c r="A575" s="14" t="n">
        <v>571</v>
      </c>
      <c r="B575" s="14">
        <f>IF($H575="","",INDEX(FormData,$H575,f_Id))</f>
        <v/>
      </c>
      <c r="C575" s="15">
        <f>IF($H575="","",IFERROR(INDEX(FormData,$H575,f_Time),""))</f>
        <v/>
      </c>
      <c r="D575" s="14">
        <f>IF($H575="","",IFERROR(UPPER(LEFT(TRIM(INDEX(FormData,$H575,f_Name)),1)&amp;IFERROR(MID(TRIM(INDEX(FormData,$H575,f_Name)),FIND("^",SUBSTITUTE(TRIM(INDEX(FormData,$H575,f_Name))," ","^",LEN(TRIM(INDEX(FormData,$H575,f_Name)))-LEN(SUBSTITUTE(TRIM(INDEX(FormData,$H575,f_Name))," ",""))))+1,1),"")),""))</f>
        <v/>
      </c>
      <c r="E575" s="16">
        <f>IF($H575="","",IFERROR(INDEX(EvID,MATCH(INDEX(FormData,$H575,f_Event),EvID,0)),IFERROR(INDEX(EvID,MATCH(INDEX(FormData,$H575,f_Event),EvName,0)),IFERROR(INDEX(EvID,MATCH(INT($C575),EvDate,0)),"(no event that day)"))))</f>
        <v/>
      </c>
      <c r="F575" s="16">
        <f>IF($H575="","",IFERROR(IF(SUMPRODUCT(MAX((WhoKW&lt;&gt;"")*ISNUMBER(SEARCH(WhoKW,INDEX(FormData,$H575,f_Who)&amp;""))*(ROW(WhoKW)-MIN(ROW(WhoKW))+1)))=0,"",INDEX(WhoVal,SUMPRODUCT(MAX((WhoKW&lt;&gt;"")*ISNUMBER(SEARCH(WhoKW,INDEX(FormData,$H575,f_Who)&amp;""))*(ROW(WhoKW)-MIN(ROW(WhoKW))+1))))),""))</f>
        <v/>
      </c>
      <c r="G575" s="14">
        <f>IF($H575="","",IF(COUNTIF(People!$U$5:$U$604,$B575)+COUNTIF(People!$U$5:$U$604,$B575&amp;"")&gt;0,"✓ logged","→ add"))</f>
        <v/>
      </c>
      <c r="H575">
        <f>IFERROR(IF(INDEX(FormData,572,f_Id)&amp;""="","",572),"")</f>
        <v/>
      </c>
      <c r="I575" s="16">
        <f>IF($H575="","",IFERROR(INDEX(FormData,$H575,f_Need)&amp;"",""))</f>
        <v/>
      </c>
    </row>
    <row r="576">
      <c r="A576" s="14" t="n">
        <v>572</v>
      </c>
      <c r="B576" s="14">
        <f>IF($H576="","",INDEX(FormData,$H576,f_Id))</f>
        <v/>
      </c>
      <c r="C576" s="15">
        <f>IF($H576="","",IFERROR(INDEX(FormData,$H576,f_Time),""))</f>
        <v/>
      </c>
      <c r="D576" s="14">
        <f>IF($H576="","",IFERROR(UPPER(LEFT(TRIM(INDEX(FormData,$H576,f_Name)),1)&amp;IFERROR(MID(TRIM(INDEX(FormData,$H576,f_Name)),FIND("^",SUBSTITUTE(TRIM(INDEX(FormData,$H576,f_Name))," ","^",LEN(TRIM(INDEX(FormData,$H576,f_Name)))-LEN(SUBSTITUTE(TRIM(INDEX(FormData,$H576,f_Name))," ",""))))+1,1),"")),""))</f>
        <v/>
      </c>
      <c r="E576" s="16">
        <f>IF($H576="","",IFERROR(INDEX(EvID,MATCH(INDEX(FormData,$H576,f_Event),EvID,0)),IFERROR(INDEX(EvID,MATCH(INDEX(FormData,$H576,f_Event),EvName,0)),IFERROR(INDEX(EvID,MATCH(INT($C576),EvDate,0)),"(no event that day)"))))</f>
        <v/>
      </c>
      <c r="F576" s="16">
        <f>IF($H576="","",IFERROR(IF(SUMPRODUCT(MAX((WhoKW&lt;&gt;"")*ISNUMBER(SEARCH(WhoKW,INDEX(FormData,$H576,f_Who)&amp;""))*(ROW(WhoKW)-MIN(ROW(WhoKW))+1)))=0,"",INDEX(WhoVal,SUMPRODUCT(MAX((WhoKW&lt;&gt;"")*ISNUMBER(SEARCH(WhoKW,INDEX(FormData,$H576,f_Who)&amp;""))*(ROW(WhoKW)-MIN(ROW(WhoKW))+1))))),""))</f>
        <v/>
      </c>
      <c r="G576" s="14">
        <f>IF($H576="","",IF(COUNTIF(People!$U$5:$U$604,$B576)+COUNTIF(People!$U$5:$U$604,$B576&amp;"")&gt;0,"✓ logged","→ add"))</f>
        <v/>
      </c>
      <c r="H576">
        <f>IFERROR(IF(INDEX(FormData,573,f_Id)&amp;""="","",573),"")</f>
        <v/>
      </c>
      <c r="I576" s="16">
        <f>IF($H576="","",IFERROR(INDEX(FormData,$H576,f_Need)&amp;"",""))</f>
        <v/>
      </c>
    </row>
    <row r="577">
      <c r="A577" s="14" t="n">
        <v>573</v>
      </c>
      <c r="B577" s="14">
        <f>IF($H577="","",INDEX(FormData,$H577,f_Id))</f>
        <v/>
      </c>
      <c r="C577" s="15">
        <f>IF($H577="","",IFERROR(INDEX(FormData,$H577,f_Time),""))</f>
        <v/>
      </c>
      <c r="D577" s="14">
        <f>IF($H577="","",IFERROR(UPPER(LEFT(TRIM(INDEX(FormData,$H577,f_Name)),1)&amp;IFERROR(MID(TRIM(INDEX(FormData,$H577,f_Name)),FIND("^",SUBSTITUTE(TRIM(INDEX(FormData,$H577,f_Name))," ","^",LEN(TRIM(INDEX(FormData,$H577,f_Name)))-LEN(SUBSTITUTE(TRIM(INDEX(FormData,$H577,f_Name))," ",""))))+1,1),"")),""))</f>
        <v/>
      </c>
      <c r="E577" s="16">
        <f>IF($H577="","",IFERROR(INDEX(EvID,MATCH(INDEX(FormData,$H577,f_Event),EvID,0)),IFERROR(INDEX(EvID,MATCH(INDEX(FormData,$H577,f_Event),EvName,0)),IFERROR(INDEX(EvID,MATCH(INT($C577),EvDate,0)),"(no event that day)"))))</f>
        <v/>
      </c>
      <c r="F577" s="16">
        <f>IF($H577="","",IFERROR(IF(SUMPRODUCT(MAX((WhoKW&lt;&gt;"")*ISNUMBER(SEARCH(WhoKW,INDEX(FormData,$H577,f_Who)&amp;""))*(ROW(WhoKW)-MIN(ROW(WhoKW))+1)))=0,"",INDEX(WhoVal,SUMPRODUCT(MAX((WhoKW&lt;&gt;"")*ISNUMBER(SEARCH(WhoKW,INDEX(FormData,$H577,f_Who)&amp;""))*(ROW(WhoKW)-MIN(ROW(WhoKW))+1))))),""))</f>
        <v/>
      </c>
      <c r="G577" s="14">
        <f>IF($H577="","",IF(COUNTIF(People!$U$5:$U$604,$B577)+COUNTIF(People!$U$5:$U$604,$B577&amp;"")&gt;0,"✓ logged","→ add"))</f>
        <v/>
      </c>
      <c r="H577">
        <f>IFERROR(IF(INDEX(FormData,574,f_Id)&amp;""="","",574),"")</f>
        <v/>
      </c>
      <c r="I577" s="16">
        <f>IF($H577="","",IFERROR(INDEX(FormData,$H577,f_Need)&amp;"",""))</f>
        <v/>
      </c>
    </row>
    <row r="578">
      <c r="A578" s="14" t="n">
        <v>574</v>
      </c>
      <c r="B578" s="14">
        <f>IF($H578="","",INDEX(FormData,$H578,f_Id))</f>
        <v/>
      </c>
      <c r="C578" s="15">
        <f>IF($H578="","",IFERROR(INDEX(FormData,$H578,f_Time),""))</f>
        <v/>
      </c>
      <c r="D578" s="14">
        <f>IF($H578="","",IFERROR(UPPER(LEFT(TRIM(INDEX(FormData,$H578,f_Name)),1)&amp;IFERROR(MID(TRIM(INDEX(FormData,$H578,f_Name)),FIND("^",SUBSTITUTE(TRIM(INDEX(FormData,$H578,f_Name))," ","^",LEN(TRIM(INDEX(FormData,$H578,f_Name)))-LEN(SUBSTITUTE(TRIM(INDEX(FormData,$H578,f_Name))," ",""))))+1,1),"")),""))</f>
        <v/>
      </c>
      <c r="E578" s="16">
        <f>IF($H578="","",IFERROR(INDEX(EvID,MATCH(INDEX(FormData,$H578,f_Event),EvID,0)),IFERROR(INDEX(EvID,MATCH(INDEX(FormData,$H578,f_Event),EvName,0)),IFERROR(INDEX(EvID,MATCH(INT($C578),EvDate,0)),"(no event that day)"))))</f>
        <v/>
      </c>
      <c r="F578" s="16">
        <f>IF($H578="","",IFERROR(IF(SUMPRODUCT(MAX((WhoKW&lt;&gt;"")*ISNUMBER(SEARCH(WhoKW,INDEX(FormData,$H578,f_Who)&amp;""))*(ROW(WhoKW)-MIN(ROW(WhoKW))+1)))=0,"",INDEX(WhoVal,SUMPRODUCT(MAX((WhoKW&lt;&gt;"")*ISNUMBER(SEARCH(WhoKW,INDEX(FormData,$H578,f_Who)&amp;""))*(ROW(WhoKW)-MIN(ROW(WhoKW))+1))))),""))</f>
        <v/>
      </c>
      <c r="G578" s="14">
        <f>IF($H578="","",IF(COUNTIF(People!$U$5:$U$604,$B578)+COUNTIF(People!$U$5:$U$604,$B578&amp;"")&gt;0,"✓ logged","→ add"))</f>
        <v/>
      </c>
      <c r="H578">
        <f>IFERROR(IF(INDEX(FormData,575,f_Id)&amp;""="","",575),"")</f>
        <v/>
      </c>
      <c r="I578" s="16">
        <f>IF($H578="","",IFERROR(INDEX(FormData,$H578,f_Need)&amp;"",""))</f>
        <v/>
      </c>
    </row>
    <row r="579">
      <c r="A579" s="14" t="n">
        <v>575</v>
      </c>
      <c r="B579" s="14">
        <f>IF($H579="","",INDEX(FormData,$H579,f_Id))</f>
        <v/>
      </c>
      <c r="C579" s="15">
        <f>IF($H579="","",IFERROR(INDEX(FormData,$H579,f_Time),""))</f>
        <v/>
      </c>
      <c r="D579" s="14">
        <f>IF($H579="","",IFERROR(UPPER(LEFT(TRIM(INDEX(FormData,$H579,f_Name)),1)&amp;IFERROR(MID(TRIM(INDEX(FormData,$H579,f_Name)),FIND("^",SUBSTITUTE(TRIM(INDEX(FormData,$H579,f_Name))," ","^",LEN(TRIM(INDEX(FormData,$H579,f_Name)))-LEN(SUBSTITUTE(TRIM(INDEX(FormData,$H579,f_Name))," ",""))))+1,1),"")),""))</f>
        <v/>
      </c>
      <c r="E579" s="16">
        <f>IF($H579="","",IFERROR(INDEX(EvID,MATCH(INDEX(FormData,$H579,f_Event),EvID,0)),IFERROR(INDEX(EvID,MATCH(INDEX(FormData,$H579,f_Event),EvName,0)),IFERROR(INDEX(EvID,MATCH(INT($C579),EvDate,0)),"(no event that day)"))))</f>
        <v/>
      </c>
      <c r="F579" s="16">
        <f>IF($H579="","",IFERROR(IF(SUMPRODUCT(MAX((WhoKW&lt;&gt;"")*ISNUMBER(SEARCH(WhoKW,INDEX(FormData,$H579,f_Who)&amp;""))*(ROW(WhoKW)-MIN(ROW(WhoKW))+1)))=0,"",INDEX(WhoVal,SUMPRODUCT(MAX((WhoKW&lt;&gt;"")*ISNUMBER(SEARCH(WhoKW,INDEX(FormData,$H579,f_Who)&amp;""))*(ROW(WhoKW)-MIN(ROW(WhoKW))+1))))),""))</f>
        <v/>
      </c>
      <c r="G579" s="14">
        <f>IF($H579="","",IF(COUNTIF(People!$U$5:$U$604,$B579)+COUNTIF(People!$U$5:$U$604,$B579&amp;"")&gt;0,"✓ logged","→ add"))</f>
        <v/>
      </c>
      <c r="H579">
        <f>IFERROR(IF(INDEX(FormData,576,f_Id)&amp;""="","",576),"")</f>
        <v/>
      </c>
      <c r="I579" s="16">
        <f>IF($H579="","",IFERROR(INDEX(FormData,$H579,f_Need)&amp;"",""))</f>
        <v/>
      </c>
    </row>
    <row r="580">
      <c r="A580" s="14" t="n">
        <v>576</v>
      </c>
      <c r="B580" s="14">
        <f>IF($H580="","",INDEX(FormData,$H580,f_Id))</f>
        <v/>
      </c>
      <c r="C580" s="15">
        <f>IF($H580="","",IFERROR(INDEX(FormData,$H580,f_Time),""))</f>
        <v/>
      </c>
      <c r="D580" s="14">
        <f>IF($H580="","",IFERROR(UPPER(LEFT(TRIM(INDEX(FormData,$H580,f_Name)),1)&amp;IFERROR(MID(TRIM(INDEX(FormData,$H580,f_Name)),FIND("^",SUBSTITUTE(TRIM(INDEX(FormData,$H580,f_Name))," ","^",LEN(TRIM(INDEX(FormData,$H580,f_Name)))-LEN(SUBSTITUTE(TRIM(INDEX(FormData,$H580,f_Name))," ",""))))+1,1),"")),""))</f>
        <v/>
      </c>
      <c r="E580" s="16">
        <f>IF($H580="","",IFERROR(INDEX(EvID,MATCH(INDEX(FormData,$H580,f_Event),EvID,0)),IFERROR(INDEX(EvID,MATCH(INDEX(FormData,$H580,f_Event),EvName,0)),IFERROR(INDEX(EvID,MATCH(INT($C580),EvDate,0)),"(no event that day)"))))</f>
        <v/>
      </c>
      <c r="F580" s="16">
        <f>IF($H580="","",IFERROR(IF(SUMPRODUCT(MAX((WhoKW&lt;&gt;"")*ISNUMBER(SEARCH(WhoKW,INDEX(FormData,$H580,f_Who)&amp;""))*(ROW(WhoKW)-MIN(ROW(WhoKW))+1)))=0,"",INDEX(WhoVal,SUMPRODUCT(MAX((WhoKW&lt;&gt;"")*ISNUMBER(SEARCH(WhoKW,INDEX(FormData,$H580,f_Who)&amp;""))*(ROW(WhoKW)-MIN(ROW(WhoKW))+1))))),""))</f>
        <v/>
      </c>
      <c r="G580" s="14">
        <f>IF($H580="","",IF(COUNTIF(People!$U$5:$U$604,$B580)+COUNTIF(People!$U$5:$U$604,$B580&amp;"")&gt;0,"✓ logged","→ add"))</f>
        <v/>
      </c>
      <c r="H580">
        <f>IFERROR(IF(INDEX(FormData,577,f_Id)&amp;""="","",577),"")</f>
        <v/>
      </c>
      <c r="I580" s="16">
        <f>IF($H580="","",IFERROR(INDEX(FormData,$H580,f_Need)&amp;"",""))</f>
        <v/>
      </c>
    </row>
    <row r="581">
      <c r="A581" s="14" t="n">
        <v>577</v>
      </c>
      <c r="B581" s="14">
        <f>IF($H581="","",INDEX(FormData,$H581,f_Id))</f>
        <v/>
      </c>
      <c r="C581" s="15">
        <f>IF($H581="","",IFERROR(INDEX(FormData,$H581,f_Time),""))</f>
        <v/>
      </c>
      <c r="D581" s="14">
        <f>IF($H581="","",IFERROR(UPPER(LEFT(TRIM(INDEX(FormData,$H581,f_Name)),1)&amp;IFERROR(MID(TRIM(INDEX(FormData,$H581,f_Name)),FIND("^",SUBSTITUTE(TRIM(INDEX(FormData,$H581,f_Name))," ","^",LEN(TRIM(INDEX(FormData,$H581,f_Name)))-LEN(SUBSTITUTE(TRIM(INDEX(FormData,$H581,f_Name))," ",""))))+1,1),"")),""))</f>
        <v/>
      </c>
      <c r="E581" s="16">
        <f>IF($H581="","",IFERROR(INDEX(EvID,MATCH(INDEX(FormData,$H581,f_Event),EvID,0)),IFERROR(INDEX(EvID,MATCH(INDEX(FormData,$H581,f_Event),EvName,0)),IFERROR(INDEX(EvID,MATCH(INT($C581),EvDate,0)),"(no event that day)"))))</f>
        <v/>
      </c>
      <c r="F581" s="16">
        <f>IF($H581="","",IFERROR(IF(SUMPRODUCT(MAX((WhoKW&lt;&gt;"")*ISNUMBER(SEARCH(WhoKW,INDEX(FormData,$H581,f_Who)&amp;""))*(ROW(WhoKW)-MIN(ROW(WhoKW))+1)))=0,"",INDEX(WhoVal,SUMPRODUCT(MAX((WhoKW&lt;&gt;"")*ISNUMBER(SEARCH(WhoKW,INDEX(FormData,$H581,f_Who)&amp;""))*(ROW(WhoKW)-MIN(ROW(WhoKW))+1))))),""))</f>
        <v/>
      </c>
      <c r="G581" s="14">
        <f>IF($H581="","",IF(COUNTIF(People!$U$5:$U$604,$B581)+COUNTIF(People!$U$5:$U$604,$B581&amp;"")&gt;0,"✓ logged","→ add"))</f>
        <v/>
      </c>
      <c r="H581">
        <f>IFERROR(IF(INDEX(FormData,578,f_Id)&amp;""="","",578),"")</f>
        <v/>
      </c>
      <c r="I581" s="16">
        <f>IF($H581="","",IFERROR(INDEX(FormData,$H581,f_Need)&amp;"",""))</f>
        <v/>
      </c>
    </row>
    <row r="582">
      <c r="A582" s="14" t="n">
        <v>578</v>
      </c>
      <c r="B582" s="14">
        <f>IF($H582="","",INDEX(FormData,$H582,f_Id))</f>
        <v/>
      </c>
      <c r="C582" s="15">
        <f>IF($H582="","",IFERROR(INDEX(FormData,$H582,f_Time),""))</f>
        <v/>
      </c>
      <c r="D582" s="14">
        <f>IF($H582="","",IFERROR(UPPER(LEFT(TRIM(INDEX(FormData,$H582,f_Name)),1)&amp;IFERROR(MID(TRIM(INDEX(FormData,$H582,f_Name)),FIND("^",SUBSTITUTE(TRIM(INDEX(FormData,$H582,f_Name))," ","^",LEN(TRIM(INDEX(FormData,$H582,f_Name)))-LEN(SUBSTITUTE(TRIM(INDEX(FormData,$H582,f_Name))," ",""))))+1,1),"")),""))</f>
        <v/>
      </c>
      <c r="E582" s="16">
        <f>IF($H582="","",IFERROR(INDEX(EvID,MATCH(INDEX(FormData,$H582,f_Event),EvID,0)),IFERROR(INDEX(EvID,MATCH(INDEX(FormData,$H582,f_Event),EvName,0)),IFERROR(INDEX(EvID,MATCH(INT($C582),EvDate,0)),"(no event that day)"))))</f>
        <v/>
      </c>
      <c r="F582" s="16">
        <f>IF($H582="","",IFERROR(IF(SUMPRODUCT(MAX((WhoKW&lt;&gt;"")*ISNUMBER(SEARCH(WhoKW,INDEX(FormData,$H582,f_Who)&amp;""))*(ROW(WhoKW)-MIN(ROW(WhoKW))+1)))=0,"",INDEX(WhoVal,SUMPRODUCT(MAX((WhoKW&lt;&gt;"")*ISNUMBER(SEARCH(WhoKW,INDEX(FormData,$H582,f_Who)&amp;""))*(ROW(WhoKW)-MIN(ROW(WhoKW))+1))))),""))</f>
        <v/>
      </c>
      <c r="G582" s="14">
        <f>IF($H582="","",IF(COUNTIF(People!$U$5:$U$604,$B582)+COUNTIF(People!$U$5:$U$604,$B582&amp;"")&gt;0,"✓ logged","→ add"))</f>
        <v/>
      </c>
      <c r="H582">
        <f>IFERROR(IF(INDEX(FormData,579,f_Id)&amp;""="","",579),"")</f>
        <v/>
      </c>
      <c r="I582" s="16">
        <f>IF($H582="","",IFERROR(INDEX(FormData,$H582,f_Need)&amp;"",""))</f>
        <v/>
      </c>
    </row>
    <row r="583">
      <c r="A583" s="14" t="n">
        <v>579</v>
      </c>
      <c r="B583" s="14">
        <f>IF($H583="","",INDEX(FormData,$H583,f_Id))</f>
        <v/>
      </c>
      <c r="C583" s="15">
        <f>IF($H583="","",IFERROR(INDEX(FormData,$H583,f_Time),""))</f>
        <v/>
      </c>
      <c r="D583" s="14">
        <f>IF($H583="","",IFERROR(UPPER(LEFT(TRIM(INDEX(FormData,$H583,f_Name)),1)&amp;IFERROR(MID(TRIM(INDEX(FormData,$H583,f_Name)),FIND("^",SUBSTITUTE(TRIM(INDEX(FormData,$H583,f_Name))," ","^",LEN(TRIM(INDEX(FormData,$H583,f_Name)))-LEN(SUBSTITUTE(TRIM(INDEX(FormData,$H583,f_Name))," ",""))))+1,1),"")),""))</f>
        <v/>
      </c>
      <c r="E583" s="16">
        <f>IF($H583="","",IFERROR(INDEX(EvID,MATCH(INDEX(FormData,$H583,f_Event),EvID,0)),IFERROR(INDEX(EvID,MATCH(INDEX(FormData,$H583,f_Event),EvName,0)),IFERROR(INDEX(EvID,MATCH(INT($C583),EvDate,0)),"(no event that day)"))))</f>
        <v/>
      </c>
      <c r="F583" s="16">
        <f>IF($H583="","",IFERROR(IF(SUMPRODUCT(MAX((WhoKW&lt;&gt;"")*ISNUMBER(SEARCH(WhoKW,INDEX(FormData,$H583,f_Who)&amp;""))*(ROW(WhoKW)-MIN(ROW(WhoKW))+1)))=0,"",INDEX(WhoVal,SUMPRODUCT(MAX((WhoKW&lt;&gt;"")*ISNUMBER(SEARCH(WhoKW,INDEX(FormData,$H583,f_Who)&amp;""))*(ROW(WhoKW)-MIN(ROW(WhoKW))+1))))),""))</f>
        <v/>
      </c>
      <c r="G583" s="14">
        <f>IF($H583="","",IF(COUNTIF(People!$U$5:$U$604,$B583)+COUNTIF(People!$U$5:$U$604,$B583&amp;"")&gt;0,"✓ logged","→ add"))</f>
        <v/>
      </c>
      <c r="H583">
        <f>IFERROR(IF(INDEX(FormData,580,f_Id)&amp;""="","",580),"")</f>
        <v/>
      </c>
      <c r="I583" s="16">
        <f>IF($H583="","",IFERROR(INDEX(FormData,$H583,f_Need)&amp;"",""))</f>
        <v/>
      </c>
    </row>
    <row r="584">
      <c r="A584" s="14" t="n">
        <v>580</v>
      </c>
      <c r="B584" s="14">
        <f>IF($H584="","",INDEX(FormData,$H584,f_Id))</f>
        <v/>
      </c>
      <c r="C584" s="15">
        <f>IF($H584="","",IFERROR(INDEX(FormData,$H584,f_Time),""))</f>
        <v/>
      </c>
      <c r="D584" s="14">
        <f>IF($H584="","",IFERROR(UPPER(LEFT(TRIM(INDEX(FormData,$H584,f_Name)),1)&amp;IFERROR(MID(TRIM(INDEX(FormData,$H584,f_Name)),FIND("^",SUBSTITUTE(TRIM(INDEX(FormData,$H584,f_Name))," ","^",LEN(TRIM(INDEX(FormData,$H584,f_Name)))-LEN(SUBSTITUTE(TRIM(INDEX(FormData,$H584,f_Name))," ",""))))+1,1),"")),""))</f>
        <v/>
      </c>
      <c r="E584" s="16">
        <f>IF($H584="","",IFERROR(INDEX(EvID,MATCH(INDEX(FormData,$H584,f_Event),EvID,0)),IFERROR(INDEX(EvID,MATCH(INDEX(FormData,$H584,f_Event),EvName,0)),IFERROR(INDEX(EvID,MATCH(INT($C584),EvDate,0)),"(no event that day)"))))</f>
        <v/>
      </c>
      <c r="F584" s="16">
        <f>IF($H584="","",IFERROR(IF(SUMPRODUCT(MAX((WhoKW&lt;&gt;"")*ISNUMBER(SEARCH(WhoKW,INDEX(FormData,$H584,f_Who)&amp;""))*(ROW(WhoKW)-MIN(ROW(WhoKW))+1)))=0,"",INDEX(WhoVal,SUMPRODUCT(MAX((WhoKW&lt;&gt;"")*ISNUMBER(SEARCH(WhoKW,INDEX(FormData,$H584,f_Who)&amp;""))*(ROW(WhoKW)-MIN(ROW(WhoKW))+1))))),""))</f>
        <v/>
      </c>
      <c r="G584" s="14">
        <f>IF($H584="","",IF(COUNTIF(People!$U$5:$U$604,$B584)+COUNTIF(People!$U$5:$U$604,$B584&amp;"")&gt;0,"✓ logged","→ add"))</f>
        <v/>
      </c>
      <c r="H584">
        <f>IFERROR(IF(INDEX(FormData,581,f_Id)&amp;""="","",581),"")</f>
        <v/>
      </c>
      <c r="I584" s="16">
        <f>IF($H584="","",IFERROR(INDEX(FormData,$H584,f_Need)&amp;"",""))</f>
        <v/>
      </c>
    </row>
    <row r="585">
      <c r="A585" s="14" t="n">
        <v>581</v>
      </c>
      <c r="B585" s="14">
        <f>IF($H585="","",INDEX(FormData,$H585,f_Id))</f>
        <v/>
      </c>
      <c r="C585" s="15">
        <f>IF($H585="","",IFERROR(INDEX(FormData,$H585,f_Time),""))</f>
        <v/>
      </c>
      <c r="D585" s="14">
        <f>IF($H585="","",IFERROR(UPPER(LEFT(TRIM(INDEX(FormData,$H585,f_Name)),1)&amp;IFERROR(MID(TRIM(INDEX(FormData,$H585,f_Name)),FIND("^",SUBSTITUTE(TRIM(INDEX(FormData,$H585,f_Name))," ","^",LEN(TRIM(INDEX(FormData,$H585,f_Name)))-LEN(SUBSTITUTE(TRIM(INDEX(FormData,$H585,f_Name))," ",""))))+1,1),"")),""))</f>
        <v/>
      </c>
      <c r="E585" s="16">
        <f>IF($H585="","",IFERROR(INDEX(EvID,MATCH(INDEX(FormData,$H585,f_Event),EvID,0)),IFERROR(INDEX(EvID,MATCH(INDEX(FormData,$H585,f_Event),EvName,0)),IFERROR(INDEX(EvID,MATCH(INT($C585),EvDate,0)),"(no event that day)"))))</f>
        <v/>
      </c>
      <c r="F585" s="16">
        <f>IF($H585="","",IFERROR(IF(SUMPRODUCT(MAX((WhoKW&lt;&gt;"")*ISNUMBER(SEARCH(WhoKW,INDEX(FormData,$H585,f_Who)&amp;""))*(ROW(WhoKW)-MIN(ROW(WhoKW))+1)))=0,"",INDEX(WhoVal,SUMPRODUCT(MAX((WhoKW&lt;&gt;"")*ISNUMBER(SEARCH(WhoKW,INDEX(FormData,$H585,f_Who)&amp;""))*(ROW(WhoKW)-MIN(ROW(WhoKW))+1))))),""))</f>
        <v/>
      </c>
      <c r="G585" s="14">
        <f>IF($H585="","",IF(COUNTIF(People!$U$5:$U$604,$B585)+COUNTIF(People!$U$5:$U$604,$B585&amp;"")&gt;0,"✓ logged","→ add"))</f>
        <v/>
      </c>
      <c r="H585">
        <f>IFERROR(IF(INDEX(FormData,582,f_Id)&amp;""="","",582),"")</f>
        <v/>
      </c>
      <c r="I585" s="16">
        <f>IF($H585="","",IFERROR(INDEX(FormData,$H585,f_Need)&amp;"",""))</f>
        <v/>
      </c>
    </row>
    <row r="586">
      <c r="A586" s="14" t="n">
        <v>582</v>
      </c>
      <c r="B586" s="14">
        <f>IF($H586="","",INDEX(FormData,$H586,f_Id))</f>
        <v/>
      </c>
      <c r="C586" s="15">
        <f>IF($H586="","",IFERROR(INDEX(FormData,$H586,f_Time),""))</f>
        <v/>
      </c>
      <c r="D586" s="14">
        <f>IF($H586="","",IFERROR(UPPER(LEFT(TRIM(INDEX(FormData,$H586,f_Name)),1)&amp;IFERROR(MID(TRIM(INDEX(FormData,$H586,f_Name)),FIND("^",SUBSTITUTE(TRIM(INDEX(FormData,$H586,f_Name))," ","^",LEN(TRIM(INDEX(FormData,$H586,f_Name)))-LEN(SUBSTITUTE(TRIM(INDEX(FormData,$H586,f_Name))," ",""))))+1,1),"")),""))</f>
        <v/>
      </c>
      <c r="E586" s="16">
        <f>IF($H586="","",IFERROR(INDEX(EvID,MATCH(INDEX(FormData,$H586,f_Event),EvID,0)),IFERROR(INDEX(EvID,MATCH(INDEX(FormData,$H586,f_Event),EvName,0)),IFERROR(INDEX(EvID,MATCH(INT($C586),EvDate,0)),"(no event that day)"))))</f>
        <v/>
      </c>
      <c r="F586" s="16">
        <f>IF($H586="","",IFERROR(IF(SUMPRODUCT(MAX((WhoKW&lt;&gt;"")*ISNUMBER(SEARCH(WhoKW,INDEX(FormData,$H586,f_Who)&amp;""))*(ROW(WhoKW)-MIN(ROW(WhoKW))+1)))=0,"",INDEX(WhoVal,SUMPRODUCT(MAX((WhoKW&lt;&gt;"")*ISNUMBER(SEARCH(WhoKW,INDEX(FormData,$H586,f_Who)&amp;""))*(ROW(WhoKW)-MIN(ROW(WhoKW))+1))))),""))</f>
        <v/>
      </c>
      <c r="G586" s="14">
        <f>IF($H586="","",IF(COUNTIF(People!$U$5:$U$604,$B586)+COUNTIF(People!$U$5:$U$604,$B586&amp;"")&gt;0,"✓ logged","→ add"))</f>
        <v/>
      </c>
      <c r="H586">
        <f>IFERROR(IF(INDEX(FormData,583,f_Id)&amp;""="","",583),"")</f>
        <v/>
      </c>
      <c r="I586" s="16">
        <f>IF($H586="","",IFERROR(INDEX(FormData,$H586,f_Need)&amp;"",""))</f>
        <v/>
      </c>
    </row>
    <row r="587">
      <c r="A587" s="14" t="n">
        <v>583</v>
      </c>
      <c r="B587" s="14">
        <f>IF($H587="","",INDEX(FormData,$H587,f_Id))</f>
        <v/>
      </c>
      <c r="C587" s="15">
        <f>IF($H587="","",IFERROR(INDEX(FormData,$H587,f_Time),""))</f>
        <v/>
      </c>
      <c r="D587" s="14">
        <f>IF($H587="","",IFERROR(UPPER(LEFT(TRIM(INDEX(FormData,$H587,f_Name)),1)&amp;IFERROR(MID(TRIM(INDEX(FormData,$H587,f_Name)),FIND("^",SUBSTITUTE(TRIM(INDEX(FormData,$H587,f_Name))," ","^",LEN(TRIM(INDEX(FormData,$H587,f_Name)))-LEN(SUBSTITUTE(TRIM(INDEX(FormData,$H587,f_Name))," ",""))))+1,1),"")),""))</f>
        <v/>
      </c>
      <c r="E587" s="16">
        <f>IF($H587="","",IFERROR(INDEX(EvID,MATCH(INDEX(FormData,$H587,f_Event),EvID,0)),IFERROR(INDEX(EvID,MATCH(INDEX(FormData,$H587,f_Event),EvName,0)),IFERROR(INDEX(EvID,MATCH(INT($C587),EvDate,0)),"(no event that day)"))))</f>
        <v/>
      </c>
      <c r="F587" s="16">
        <f>IF($H587="","",IFERROR(IF(SUMPRODUCT(MAX((WhoKW&lt;&gt;"")*ISNUMBER(SEARCH(WhoKW,INDEX(FormData,$H587,f_Who)&amp;""))*(ROW(WhoKW)-MIN(ROW(WhoKW))+1)))=0,"",INDEX(WhoVal,SUMPRODUCT(MAX((WhoKW&lt;&gt;"")*ISNUMBER(SEARCH(WhoKW,INDEX(FormData,$H587,f_Who)&amp;""))*(ROW(WhoKW)-MIN(ROW(WhoKW))+1))))),""))</f>
        <v/>
      </c>
      <c r="G587" s="14">
        <f>IF($H587="","",IF(COUNTIF(People!$U$5:$U$604,$B587)+COUNTIF(People!$U$5:$U$604,$B587&amp;"")&gt;0,"✓ logged","→ add"))</f>
        <v/>
      </c>
      <c r="H587">
        <f>IFERROR(IF(INDEX(FormData,584,f_Id)&amp;""="","",584),"")</f>
        <v/>
      </c>
      <c r="I587" s="16">
        <f>IF($H587="","",IFERROR(INDEX(FormData,$H587,f_Need)&amp;"",""))</f>
        <v/>
      </c>
    </row>
    <row r="588">
      <c r="A588" s="14" t="n">
        <v>584</v>
      </c>
      <c r="B588" s="14">
        <f>IF($H588="","",INDEX(FormData,$H588,f_Id))</f>
        <v/>
      </c>
      <c r="C588" s="15">
        <f>IF($H588="","",IFERROR(INDEX(FormData,$H588,f_Time),""))</f>
        <v/>
      </c>
      <c r="D588" s="14">
        <f>IF($H588="","",IFERROR(UPPER(LEFT(TRIM(INDEX(FormData,$H588,f_Name)),1)&amp;IFERROR(MID(TRIM(INDEX(FormData,$H588,f_Name)),FIND("^",SUBSTITUTE(TRIM(INDEX(FormData,$H588,f_Name))," ","^",LEN(TRIM(INDEX(FormData,$H588,f_Name)))-LEN(SUBSTITUTE(TRIM(INDEX(FormData,$H588,f_Name))," ",""))))+1,1),"")),""))</f>
        <v/>
      </c>
      <c r="E588" s="16">
        <f>IF($H588="","",IFERROR(INDEX(EvID,MATCH(INDEX(FormData,$H588,f_Event),EvID,0)),IFERROR(INDEX(EvID,MATCH(INDEX(FormData,$H588,f_Event),EvName,0)),IFERROR(INDEX(EvID,MATCH(INT($C588),EvDate,0)),"(no event that day)"))))</f>
        <v/>
      </c>
      <c r="F588" s="16">
        <f>IF($H588="","",IFERROR(IF(SUMPRODUCT(MAX((WhoKW&lt;&gt;"")*ISNUMBER(SEARCH(WhoKW,INDEX(FormData,$H588,f_Who)&amp;""))*(ROW(WhoKW)-MIN(ROW(WhoKW))+1)))=0,"",INDEX(WhoVal,SUMPRODUCT(MAX((WhoKW&lt;&gt;"")*ISNUMBER(SEARCH(WhoKW,INDEX(FormData,$H588,f_Who)&amp;""))*(ROW(WhoKW)-MIN(ROW(WhoKW))+1))))),""))</f>
        <v/>
      </c>
      <c r="G588" s="14">
        <f>IF($H588="","",IF(COUNTIF(People!$U$5:$U$604,$B588)+COUNTIF(People!$U$5:$U$604,$B588&amp;"")&gt;0,"✓ logged","→ add"))</f>
        <v/>
      </c>
      <c r="H588">
        <f>IFERROR(IF(INDEX(FormData,585,f_Id)&amp;""="","",585),"")</f>
        <v/>
      </c>
      <c r="I588" s="16">
        <f>IF($H588="","",IFERROR(INDEX(FormData,$H588,f_Need)&amp;"",""))</f>
        <v/>
      </c>
    </row>
    <row r="589">
      <c r="A589" s="14" t="n">
        <v>585</v>
      </c>
      <c r="B589" s="14">
        <f>IF($H589="","",INDEX(FormData,$H589,f_Id))</f>
        <v/>
      </c>
      <c r="C589" s="15">
        <f>IF($H589="","",IFERROR(INDEX(FormData,$H589,f_Time),""))</f>
        <v/>
      </c>
      <c r="D589" s="14">
        <f>IF($H589="","",IFERROR(UPPER(LEFT(TRIM(INDEX(FormData,$H589,f_Name)),1)&amp;IFERROR(MID(TRIM(INDEX(FormData,$H589,f_Name)),FIND("^",SUBSTITUTE(TRIM(INDEX(FormData,$H589,f_Name))," ","^",LEN(TRIM(INDEX(FormData,$H589,f_Name)))-LEN(SUBSTITUTE(TRIM(INDEX(FormData,$H589,f_Name))," ",""))))+1,1),"")),""))</f>
        <v/>
      </c>
      <c r="E589" s="16">
        <f>IF($H589="","",IFERROR(INDEX(EvID,MATCH(INDEX(FormData,$H589,f_Event),EvID,0)),IFERROR(INDEX(EvID,MATCH(INDEX(FormData,$H589,f_Event),EvName,0)),IFERROR(INDEX(EvID,MATCH(INT($C589),EvDate,0)),"(no event that day)"))))</f>
        <v/>
      </c>
      <c r="F589" s="16">
        <f>IF($H589="","",IFERROR(IF(SUMPRODUCT(MAX((WhoKW&lt;&gt;"")*ISNUMBER(SEARCH(WhoKW,INDEX(FormData,$H589,f_Who)&amp;""))*(ROW(WhoKW)-MIN(ROW(WhoKW))+1)))=0,"",INDEX(WhoVal,SUMPRODUCT(MAX((WhoKW&lt;&gt;"")*ISNUMBER(SEARCH(WhoKW,INDEX(FormData,$H589,f_Who)&amp;""))*(ROW(WhoKW)-MIN(ROW(WhoKW))+1))))),""))</f>
        <v/>
      </c>
      <c r="G589" s="14">
        <f>IF($H589="","",IF(COUNTIF(People!$U$5:$U$604,$B589)+COUNTIF(People!$U$5:$U$604,$B589&amp;"")&gt;0,"✓ logged","→ add"))</f>
        <v/>
      </c>
      <c r="H589">
        <f>IFERROR(IF(INDEX(FormData,586,f_Id)&amp;""="","",586),"")</f>
        <v/>
      </c>
      <c r="I589" s="16">
        <f>IF($H589="","",IFERROR(INDEX(FormData,$H589,f_Need)&amp;"",""))</f>
        <v/>
      </c>
    </row>
    <row r="590">
      <c r="A590" s="14" t="n">
        <v>586</v>
      </c>
      <c r="B590" s="14">
        <f>IF($H590="","",INDEX(FormData,$H590,f_Id))</f>
        <v/>
      </c>
      <c r="C590" s="15">
        <f>IF($H590="","",IFERROR(INDEX(FormData,$H590,f_Time),""))</f>
        <v/>
      </c>
      <c r="D590" s="14">
        <f>IF($H590="","",IFERROR(UPPER(LEFT(TRIM(INDEX(FormData,$H590,f_Name)),1)&amp;IFERROR(MID(TRIM(INDEX(FormData,$H590,f_Name)),FIND("^",SUBSTITUTE(TRIM(INDEX(FormData,$H590,f_Name))," ","^",LEN(TRIM(INDEX(FormData,$H590,f_Name)))-LEN(SUBSTITUTE(TRIM(INDEX(FormData,$H590,f_Name))," ",""))))+1,1),"")),""))</f>
        <v/>
      </c>
      <c r="E590" s="16">
        <f>IF($H590="","",IFERROR(INDEX(EvID,MATCH(INDEX(FormData,$H590,f_Event),EvID,0)),IFERROR(INDEX(EvID,MATCH(INDEX(FormData,$H590,f_Event),EvName,0)),IFERROR(INDEX(EvID,MATCH(INT($C590),EvDate,0)),"(no event that day)"))))</f>
        <v/>
      </c>
      <c r="F590" s="16">
        <f>IF($H590="","",IFERROR(IF(SUMPRODUCT(MAX((WhoKW&lt;&gt;"")*ISNUMBER(SEARCH(WhoKW,INDEX(FormData,$H590,f_Who)&amp;""))*(ROW(WhoKW)-MIN(ROW(WhoKW))+1)))=0,"",INDEX(WhoVal,SUMPRODUCT(MAX((WhoKW&lt;&gt;"")*ISNUMBER(SEARCH(WhoKW,INDEX(FormData,$H590,f_Who)&amp;""))*(ROW(WhoKW)-MIN(ROW(WhoKW))+1))))),""))</f>
        <v/>
      </c>
      <c r="G590" s="14">
        <f>IF($H590="","",IF(COUNTIF(People!$U$5:$U$604,$B590)+COUNTIF(People!$U$5:$U$604,$B590&amp;"")&gt;0,"✓ logged","→ add"))</f>
        <v/>
      </c>
      <c r="H590">
        <f>IFERROR(IF(INDEX(FormData,587,f_Id)&amp;""="","",587),"")</f>
        <v/>
      </c>
      <c r="I590" s="16">
        <f>IF($H590="","",IFERROR(INDEX(FormData,$H590,f_Need)&amp;"",""))</f>
        <v/>
      </c>
    </row>
    <row r="591">
      <c r="A591" s="14" t="n">
        <v>587</v>
      </c>
      <c r="B591" s="14">
        <f>IF($H591="","",INDEX(FormData,$H591,f_Id))</f>
        <v/>
      </c>
      <c r="C591" s="15">
        <f>IF($H591="","",IFERROR(INDEX(FormData,$H591,f_Time),""))</f>
        <v/>
      </c>
      <c r="D591" s="14">
        <f>IF($H591="","",IFERROR(UPPER(LEFT(TRIM(INDEX(FormData,$H591,f_Name)),1)&amp;IFERROR(MID(TRIM(INDEX(FormData,$H591,f_Name)),FIND("^",SUBSTITUTE(TRIM(INDEX(FormData,$H591,f_Name))," ","^",LEN(TRIM(INDEX(FormData,$H591,f_Name)))-LEN(SUBSTITUTE(TRIM(INDEX(FormData,$H591,f_Name))," ",""))))+1,1),"")),""))</f>
        <v/>
      </c>
      <c r="E591" s="16">
        <f>IF($H591="","",IFERROR(INDEX(EvID,MATCH(INDEX(FormData,$H591,f_Event),EvID,0)),IFERROR(INDEX(EvID,MATCH(INDEX(FormData,$H591,f_Event),EvName,0)),IFERROR(INDEX(EvID,MATCH(INT($C591),EvDate,0)),"(no event that day)"))))</f>
        <v/>
      </c>
      <c r="F591" s="16">
        <f>IF($H591="","",IFERROR(IF(SUMPRODUCT(MAX((WhoKW&lt;&gt;"")*ISNUMBER(SEARCH(WhoKW,INDEX(FormData,$H591,f_Who)&amp;""))*(ROW(WhoKW)-MIN(ROW(WhoKW))+1)))=0,"",INDEX(WhoVal,SUMPRODUCT(MAX((WhoKW&lt;&gt;"")*ISNUMBER(SEARCH(WhoKW,INDEX(FormData,$H591,f_Who)&amp;""))*(ROW(WhoKW)-MIN(ROW(WhoKW))+1))))),""))</f>
        <v/>
      </c>
      <c r="G591" s="14">
        <f>IF($H591="","",IF(COUNTIF(People!$U$5:$U$604,$B591)+COUNTIF(People!$U$5:$U$604,$B591&amp;"")&gt;0,"✓ logged","→ add"))</f>
        <v/>
      </c>
      <c r="H591">
        <f>IFERROR(IF(INDEX(FormData,588,f_Id)&amp;""="","",588),"")</f>
        <v/>
      </c>
      <c r="I591" s="16">
        <f>IF($H591="","",IFERROR(INDEX(FormData,$H591,f_Need)&amp;"",""))</f>
        <v/>
      </c>
    </row>
    <row r="592">
      <c r="A592" s="14" t="n">
        <v>588</v>
      </c>
      <c r="B592" s="14">
        <f>IF($H592="","",INDEX(FormData,$H592,f_Id))</f>
        <v/>
      </c>
      <c r="C592" s="15">
        <f>IF($H592="","",IFERROR(INDEX(FormData,$H592,f_Time),""))</f>
        <v/>
      </c>
      <c r="D592" s="14">
        <f>IF($H592="","",IFERROR(UPPER(LEFT(TRIM(INDEX(FormData,$H592,f_Name)),1)&amp;IFERROR(MID(TRIM(INDEX(FormData,$H592,f_Name)),FIND("^",SUBSTITUTE(TRIM(INDEX(FormData,$H592,f_Name))," ","^",LEN(TRIM(INDEX(FormData,$H592,f_Name)))-LEN(SUBSTITUTE(TRIM(INDEX(FormData,$H592,f_Name))," ",""))))+1,1),"")),""))</f>
        <v/>
      </c>
      <c r="E592" s="16">
        <f>IF($H592="","",IFERROR(INDEX(EvID,MATCH(INDEX(FormData,$H592,f_Event),EvID,0)),IFERROR(INDEX(EvID,MATCH(INDEX(FormData,$H592,f_Event),EvName,0)),IFERROR(INDEX(EvID,MATCH(INT($C592),EvDate,0)),"(no event that day)"))))</f>
        <v/>
      </c>
      <c r="F592" s="16">
        <f>IF($H592="","",IFERROR(IF(SUMPRODUCT(MAX((WhoKW&lt;&gt;"")*ISNUMBER(SEARCH(WhoKW,INDEX(FormData,$H592,f_Who)&amp;""))*(ROW(WhoKW)-MIN(ROW(WhoKW))+1)))=0,"",INDEX(WhoVal,SUMPRODUCT(MAX((WhoKW&lt;&gt;"")*ISNUMBER(SEARCH(WhoKW,INDEX(FormData,$H592,f_Who)&amp;""))*(ROW(WhoKW)-MIN(ROW(WhoKW))+1))))),""))</f>
        <v/>
      </c>
      <c r="G592" s="14">
        <f>IF($H592="","",IF(COUNTIF(People!$U$5:$U$604,$B592)+COUNTIF(People!$U$5:$U$604,$B592&amp;"")&gt;0,"✓ logged","→ add"))</f>
        <v/>
      </c>
      <c r="H592">
        <f>IFERROR(IF(INDEX(FormData,589,f_Id)&amp;""="","",589),"")</f>
        <v/>
      </c>
      <c r="I592" s="16">
        <f>IF($H592="","",IFERROR(INDEX(FormData,$H592,f_Need)&amp;"",""))</f>
        <v/>
      </c>
    </row>
    <row r="593">
      <c r="A593" s="14" t="n">
        <v>589</v>
      </c>
      <c r="B593" s="14">
        <f>IF($H593="","",INDEX(FormData,$H593,f_Id))</f>
        <v/>
      </c>
      <c r="C593" s="15">
        <f>IF($H593="","",IFERROR(INDEX(FormData,$H593,f_Time),""))</f>
        <v/>
      </c>
      <c r="D593" s="14">
        <f>IF($H593="","",IFERROR(UPPER(LEFT(TRIM(INDEX(FormData,$H593,f_Name)),1)&amp;IFERROR(MID(TRIM(INDEX(FormData,$H593,f_Name)),FIND("^",SUBSTITUTE(TRIM(INDEX(FormData,$H593,f_Name))," ","^",LEN(TRIM(INDEX(FormData,$H593,f_Name)))-LEN(SUBSTITUTE(TRIM(INDEX(FormData,$H593,f_Name))," ",""))))+1,1),"")),""))</f>
        <v/>
      </c>
      <c r="E593" s="16">
        <f>IF($H593="","",IFERROR(INDEX(EvID,MATCH(INDEX(FormData,$H593,f_Event),EvID,0)),IFERROR(INDEX(EvID,MATCH(INDEX(FormData,$H593,f_Event),EvName,0)),IFERROR(INDEX(EvID,MATCH(INT($C593),EvDate,0)),"(no event that day)"))))</f>
        <v/>
      </c>
      <c r="F593" s="16">
        <f>IF($H593="","",IFERROR(IF(SUMPRODUCT(MAX((WhoKW&lt;&gt;"")*ISNUMBER(SEARCH(WhoKW,INDEX(FormData,$H593,f_Who)&amp;""))*(ROW(WhoKW)-MIN(ROW(WhoKW))+1)))=0,"",INDEX(WhoVal,SUMPRODUCT(MAX((WhoKW&lt;&gt;"")*ISNUMBER(SEARCH(WhoKW,INDEX(FormData,$H593,f_Who)&amp;""))*(ROW(WhoKW)-MIN(ROW(WhoKW))+1))))),""))</f>
        <v/>
      </c>
      <c r="G593" s="14">
        <f>IF($H593="","",IF(COUNTIF(People!$U$5:$U$604,$B593)+COUNTIF(People!$U$5:$U$604,$B593&amp;"")&gt;0,"✓ logged","→ add"))</f>
        <v/>
      </c>
      <c r="H593">
        <f>IFERROR(IF(INDEX(FormData,590,f_Id)&amp;""="","",590),"")</f>
        <v/>
      </c>
      <c r="I593" s="16">
        <f>IF($H593="","",IFERROR(INDEX(FormData,$H593,f_Need)&amp;"",""))</f>
        <v/>
      </c>
    </row>
    <row r="594">
      <c r="A594" s="14" t="n">
        <v>590</v>
      </c>
      <c r="B594" s="14">
        <f>IF($H594="","",INDEX(FormData,$H594,f_Id))</f>
        <v/>
      </c>
      <c r="C594" s="15">
        <f>IF($H594="","",IFERROR(INDEX(FormData,$H594,f_Time),""))</f>
        <v/>
      </c>
      <c r="D594" s="14">
        <f>IF($H594="","",IFERROR(UPPER(LEFT(TRIM(INDEX(FormData,$H594,f_Name)),1)&amp;IFERROR(MID(TRIM(INDEX(FormData,$H594,f_Name)),FIND("^",SUBSTITUTE(TRIM(INDEX(FormData,$H594,f_Name))," ","^",LEN(TRIM(INDEX(FormData,$H594,f_Name)))-LEN(SUBSTITUTE(TRIM(INDEX(FormData,$H594,f_Name))," ",""))))+1,1),"")),""))</f>
        <v/>
      </c>
      <c r="E594" s="16">
        <f>IF($H594="","",IFERROR(INDEX(EvID,MATCH(INDEX(FormData,$H594,f_Event),EvID,0)),IFERROR(INDEX(EvID,MATCH(INDEX(FormData,$H594,f_Event),EvName,0)),IFERROR(INDEX(EvID,MATCH(INT($C594),EvDate,0)),"(no event that day)"))))</f>
        <v/>
      </c>
      <c r="F594" s="16">
        <f>IF($H594="","",IFERROR(IF(SUMPRODUCT(MAX((WhoKW&lt;&gt;"")*ISNUMBER(SEARCH(WhoKW,INDEX(FormData,$H594,f_Who)&amp;""))*(ROW(WhoKW)-MIN(ROW(WhoKW))+1)))=0,"",INDEX(WhoVal,SUMPRODUCT(MAX((WhoKW&lt;&gt;"")*ISNUMBER(SEARCH(WhoKW,INDEX(FormData,$H594,f_Who)&amp;""))*(ROW(WhoKW)-MIN(ROW(WhoKW))+1))))),""))</f>
        <v/>
      </c>
      <c r="G594" s="14">
        <f>IF($H594="","",IF(COUNTIF(People!$U$5:$U$604,$B594)+COUNTIF(People!$U$5:$U$604,$B594&amp;"")&gt;0,"✓ logged","→ add"))</f>
        <v/>
      </c>
      <c r="H594">
        <f>IFERROR(IF(INDEX(FormData,591,f_Id)&amp;""="","",591),"")</f>
        <v/>
      </c>
      <c r="I594" s="16">
        <f>IF($H594="","",IFERROR(INDEX(FormData,$H594,f_Need)&amp;"",""))</f>
        <v/>
      </c>
    </row>
    <row r="595">
      <c r="A595" s="14" t="n">
        <v>591</v>
      </c>
      <c r="B595" s="14">
        <f>IF($H595="","",INDEX(FormData,$H595,f_Id))</f>
        <v/>
      </c>
      <c r="C595" s="15">
        <f>IF($H595="","",IFERROR(INDEX(FormData,$H595,f_Time),""))</f>
        <v/>
      </c>
      <c r="D595" s="14">
        <f>IF($H595="","",IFERROR(UPPER(LEFT(TRIM(INDEX(FormData,$H595,f_Name)),1)&amp;IFERROR(MID(TRIM(INDEX(FormData,$H595,f_Name)),FIND("^",SUBSTITUTE(TRIM(INDEX(FormData,$H595,f_Name))," ","^",LEN(TRIM(INDEX(FormData,$H595,f_Name)))-LEN(SUBSTITUTE(TRIM(INDEX(FormData,$H595,f_Name))," ",""))))+1,1),"")),""))</f>
        <v/>
      </c>
      <c r="E595" s="16">
        <f>IF($H595="","",IFERROR(INDEX(EvID,MATCH(INDEX(FormData,$H595,f_Event),EvID,0)),IFERROR(INDEX(EvID,MATCH(INDEX(FormData,$H595,f_Event),EvName,0)),IFERROR(INDEX(EvID,MATCH(INT($C595),EvDate,0)),"(no event that day)"))))</f>
        <v/>
      </c>
      <c r="F595" s="16">
        <f>IF($H595="","",IFERROR(IF(SUMPRODUCT(MAX((WhoKW&lt;&gt;"")*ISNUMBER(SEARCH(WhoKW,INDEX(FormData,$H595,f_Who)&amp;""))*(ROW(WhoKW)-MIN(ROW(WhoKW))+1)))=0,"",INDEX(WhoVal,SUMPRODUCT(MAX((WhoKW&lt;&gt;"")*ISNUMBER(SEARCH(WhoKW,INDEX(FormData,$H595,f_Who)&amp;""))*(ROW(WhoKW)-MIN(ROW(WhoKW))+1))))),""))</f>
        <v/>
      </c>
      <c r="G595" s="14">
        <f>IF($H595="","",IF(COUNTIF(People!$U$5:$U$604,$B595)+COUNTIF(People!$U$5:$U$604,$B595&amp;"")&gt;0,"✓ logged","→ add"))</f>
        <v/>
      </c>
      <c r="H595">
        <f>IFERROR(IF(INDEX(FormData,592,f_Id)&amp;""="","",592),"")</f>
        <v/>
      </c>
      <c r="I595" s="16">
        <f>IF($H595="","",IFERROR(INDEX(FormData,$H595,f_Need)&amp;"",""))</f>
        <v/>
      </c>
    </row>
    <row r="596">
      <c r="A596" s="14" t="n">
        <v>592</v>
      </c>
      <c r="B596" s="14">
        <f>IF($H596="","",INDEX(FormData,$H596,f_Id))</f>
        <v/>
      </c>
      <c r="C596" s="15">
        <f>IF($H596="","",IFERROR(INDEX(FormData,$H596,f_Time),""))</f>
        <v/>
      </c>
      <c r="D596" s="14">
        <f>IF($H596="","",IFERROR(UPPER(LEFT(TRIM(INDEX(FormData,$H596,f_Name)),1)&amp;IFERROR(MID(TRIM(INDEX(FormData,$H596,f_Name)),FIND("^",SUBSTITUTE(TRIM(INDEX(FormData,$H596,f_Name))," ","^",LEN(TRIM(INDEX(FormData,$H596,f_Name)))-LEN(SUBSTITUTE(TRIM(INDEX(FormData,$H596,f_Name))," ",""))))+1,1),"")),""))</f>
        <v/>
      </c>
      <c r="E596" s="16">
        <f>IF($H596="","",IFERROR(INDEX(EvID,MATCH(INDEX(FormData,$H596,f_Event),EvID,0)),IFERROR(INDEX(EvID,MATCH(INDEX(FormData,$H596,f_Event),EvName,0)),IFERROR(INDEX(EvID,MATCH(INT($C596),EvDate,0)),"(no event that day)"))))</f>
        <v/>
      </c>
      <c r="F596" s="16">
        <f>IF($H596="","",IFERROR(IF(SUMPRODUCT(MAX((WhoKW&lt;&gt;"")*ISNUMBER(SEARCH(WhoKW,INDEX(FormData,$H596,f_Who)&amp;""))*(ROW(WhoKW)-MIN(ROW(WhoKW))+1)))=0,"",INDEX(WhoVal,SUMPRODUCT(MAX((WhoKW&lt;&gt;"")*ISNUMBER(SEARCH(WhoKW,INDEX(FormData,$H596,f_Who)&amp;""))*(ROW(WhoKW)-MIN(ROW(WhoKW))+1))))),""))</f>
        <v/>
      </c>
      <c r="G596" s="14">
        <f>IF($H596="","",IF(COUNTIF(People!$U$5:$U$604,$B596)+COUNTIF(People!$U$5:$U$604,$B596&amp;"")&gt;0,"✓ logged","→ add"))</f>
        <v/>
      </c>
      <c r="H596">
        <f>IFERROR(IF(INDEX(FormData,593,f_Id)&amp;""="","",593),"")</f>
        <v/>
      </c>
      <c r="I596" s="16">
        <f>IF($H596="","",IFERROR(INDEX(FormData,$H596,f_Need)&amp;"",""))</f>
        <v/>
      </c>
    </row>
    <row r="597">
      <c r="A597" s="14" t="n">
        <v>593</v>
      </c>
      <c r="B597" s="14">
        <f>IF($H597="","",INDEX(FormData,$H597,f_Id))</f>
        <v/>
      </c>
      <c r="C597" s="15">
        <f>IF($H597="","",IFERROR(INDEX(FormData,$H597,f_Time),""))</f>
        <v/>
      </c>
      <c r="D597" s="14">
        <f>IF($H597="","",IFERROR(UPPER(LEFT(TRIM(INDEX(FormData,$H597,f_Name)),1)&amp;IFERROR(MID(TRIM(INDEX(FormData,$H597,f_Name)),FIND("^",SUBSTITUTE(TRIM(INDEX(FormData,$H597,f_Name))," ","^",LEN(TRIM(INDEX(FormData,$H597,f_Name)))-LEN(SUBSTITUTE(TRIM(INDEX(FormData,$H597,f_Name))," ",""))))+1,1),"")),""))</f>
        <v/>
      </c>
      <c r="E597" s="16">
        <f>IF($H597="","",IFERROR(INDEX(EvID,MATCH(INDEX(FormData,$H597,f_Event),EvID,0)),IFERROR(INDEX(EvID,MATCH(INDEX(FormData,$H597,f_Event),EvName,0)),IFERROR(INDEX(EvID,MATCH(INT($C597),EvDate,0)),"(no event that day)"))))</f>
        <v/>
      </c>
      <c r="F597" s="16">
        <f>IF($H597="","",IFERROR(IF(SUMPRODUCT(MAX((WhoKW&lt;&gt;"")*ISNUMBER(SEARCH(WhoKW,INDEX(FormData,$H597,f_Who)&amp;""))*(ROW(WhoKW)-MIN(ROW(WhoKW))+1)))=0,"",INDEX(WhoVal,SUMPRODUCT(MAX((WhoKW&lt;&gt;"")*ISNUMBER(SEARCH(WhoKW,INDEX(FormData,$H597,f_Who)&amp;""))*(ROW(WhoKW)-MIN(ROW(WhoKW))+1))))),""))</f>
        <v/>
      </c>
      <c r="G597" s="14">
        <f>IF($H597="","",IF(COUNTIF(People!$U$5:$U$604,$B597)+COUNTIF(People!$U$5:$U$604,$B597&amp;"")&gt;0,"✓ logged","→ add"))</f>
        <v/>
      </c>
      <c r="H597">
        <f>IFERROR(IF(INDEX(FormData,594,f_Id)&amp;""="","",594),"")</f>
        <v/>
      </c>
      <c r="I597" s="16">
        <f>IF($H597="","",IFERROR(INDEX(FormData,$H597,f_Need)&amp;"",""))</f>
        <v/>
      </c>
    </row>
    <row r="598">
      <c r="A598" s="14" t="n">
        <v>594</v>
      </c>
      <c r="B598" s="14">
        <f>IF($H598="","",INDEX(FormData,$H598,f_Id))</f>
        <v/>
      </c>
      <c r="C598" s="15">
        <f>IF($H598="","",IFERROR(INDEX(FormData,$H598,f_Time),""))</f>
        <v/>
      </c>
      <c r="D598" s="14">
        <f>IF($H598="","",IFERROR(UPPER(LEFT(TRIM(INDEX(FormData,$H598,f_Name)),1)&amp;IFERROR(MID(TRIM(INDEX(FormData,$H598,f_Name)),FIND("^",SUBSTITUTE(TRIM(INDEX(FormData,$H598,f_Name))," ","^",LEN(TRIM(INDEX(FormData,$H598,f_Name)))-LEN(SUBSTITUTE(TRIM(INDEX(FormData,$H598,f_Name))," ",""))))+1,1),"")),""))</f>
        <v/>
      </c>
      <c r="E598" s="16">
        <f>IF($H598="","",IFERROR(INDEX(EvID,MATCH(INDEX(FormData,$H598,f_Event),EvID,0)),IFERROR(INDEX(EvID,MATCH(INDEX(FormData,$H598,f_Event),EvName,0)),IFERROR(INDEX(EvID,MATCH(INT($C598),EvDate,0)),"(no event that day)"))))</f>
        <v/>
      </c>
      <c r="F598" s="16">
        <f>IF($H598="","",IFERROR(IF(SUMPRODUCT(MAX((WhoKW&lt;&gt;"")*ISNUMBER(SEARCH(WhoKW,INDEX(FormData,$H598,f_Who)&amp;""))*(ROW(WhoKW)-MIN(ROW(WhoKW))+1)))=0,"",INDEX(WhoVal,SUMPRODUCT(MAX((WhoKW&lt;&gt;"")*ISNUMBER(SEARCH(WhoKW,INDEX(FormData,$H598,f_Who)&amp;""))*(ROW(WhoKW)-MIN(ROW(WhoKW))+1))))),""))</f>
        <v/>
      </c>
      <c r="G598" s="14">
        <f>IF($H598="","",IF(COUNTIF(People!$U$5:$U$604,$B598)+COUNTIF(People!$U$5:$U$604,$B598&amp;"")&gt;0,"✓ logged","→ add"))</f>
        <v/>
      </c>
      <c r="H598">
        <f>IFERROR(IF(INDEX(FormData,595,f_Id)&amp;""="","",595),"")</f>
        <v/>
      </c>
      <c r="I598" s="16">
        <f>IF($H598="","",IFERROR(INDEX(FormData,$H598,f_Need)&amp;"",""))</f>
        <v/>
      </c>
    </row>
    <row r="599">
      <c r="A599" s="14" t="n">
        <v>595</v>
      </c>
      <c r="B599" s="14">
        <f>IF($H599="","",INDEX(FormData,$H599,f_Id))</f>
        <v/>
      </c>
      <c r="C599" s="15">
        <f>IF($H599="","",IFERROR(INDEX(FormData,$H599,f_Time),""))</f>
        <v/>
      </c>
      <c r="D599" s="14">
        <f>IF($H599="","",IFERROR(UPPER(LEFT(TRIM(INDEX(FormData,$H599,f_Name)),1)&amp;IFERROR(MID(TRIM(INDEX(FormData,$H599,f_Name)),FIND("^",SUBSTITUTE(TRIM(INDEX(FormData,$H599,f_Name))," ","^",LEN(TRIM(INDEX(FormData,$H599,f_Name)))-LEN(SUBSTITUTE(TRIM(INDEX(FormData,$H599,f_Name))," ",""))))+1,1),"")),""))</f>
        <v/>
      </c>
      <c r="E599" s="16">
        <f>IF($H599="","",IFERROR(INDEX(EvID,MATCH(INDEX(FormData,$H599,f_Event),EvID,0)),IFERROR(INDEX(EvID,MATCH(INDEX(FormData,$H599,f_Event),EvName,0)),IFERROR(INDEX(EvID,MATCH(INT($C599),EvDate,0)),"(no event that day)"))))</f>
        <v/>
      </c>
      <c r="F599" s="16">
        <f>IF($H599="","",IFERROR(IF(SUMPRODUCT(MAX((WhoKW&lt;&gt;"")*ISNUMBER(SEARCH(WhoKW,INDEX(FormData,$H599,f_Who)&amp;""))*(ROW(WhoKW)-MIN(ROW(WhoKW))+1)))=0,"",INDEX(WhoVal,SUMPRODUCT(MAX((WhoKW&lt;&gt;"")*ISNUMBER(SEARCH(WhoKW,INDEX(FormData,$H599,f_Who)&amp;""))*(ROW(WhoKW)-MIN(ROW(WhoKW))+1))))),""))</f>
        <v/>
      </c>
      <c r="G599" s="14">
        <f>IF($H599="","",IF(COUNTIF(People!$U$5:$U$604,$B599)+COUNTIF(People!$U$5:$U$604,$B599&amp;"")&gt;0,"✓ logged","→ add"))</f>
        <v/>
      </c>
      <c r="H599">
        <f>IFERROR(IF(INDEX(FormData,596,f_Id)&amp;""="","",596),"")</f>
        <v/>
      </c>
      <c r="I599" s="16">
        <f>IF($H599="","",IFERROR(INDEX(FormData,$H599,f_Need)&amp;"",""))</f>
        <v/>
      </c>
    </row>
    <row r="600">
      <c r="A600" s="14" t="n">
        <v>596</v>
      </c>
      <c r="B600" s="14">
        <f>IF($H600="","",INDEX(FormData,$H600,f_Id))</f>
        <v/>
      </c>
      <c r="C600" s="15">
        <f>IF($H600="","",IFERROR(INDEX(FormData,$H600,f_Time),""))</f>
        <v/>
      </c>
      <c r="D600" s="14">
        <f>IF($H600="","",IFERROR(UPPER(LEFT(TRIM(INDEX(FormData,$H600,f_Name)),1)&amp;IFERROR(MID(TRIM(INDEX(FormData,$H600,f_Name)),FIND("^",SUBSTITUTE(TRIM(INDEX(FormData,$H600,f_Name))," ","^",LEN(TRIM(INDEX(FormData,$H600,f_Name)))-LEN(SUBSTITUTE(TRIM(INDEX(FormData,$H600,f_Name))," ",""))))+1,1),"")),""))</f>
        <v/>
      </c>
      <c r="E600" s="16">
        <f>IF($H600="","",IFERROR(INDEX(EvID,MATCH(INDEX(FormData,$H600,f_Event),EvID,0)),IFERROR(INDEX(EvID,MATCH(INDEX(FormData,$H600,f_Event),EvName,0)),IFERROR(INDEX(EvID,MATCH(INT($C600),EvDate,0)),"(no event that day)"))))</f>
        <v/>
      </c>
      <c r="F600" s="16">
        <f>IF($H600="","",IFERROR(IF(SUMPRODUCT(MAX((WhoKW&lt;&gt;"")*ISNUMBER(SEARCH(WhoKW,INDEX(FormData,$H600,f_Who)&amp;""))*(ROW(WhoKW)-MIN(ROW(WhoKW))+1)))=0,"",INDEX(WhoVal,SUMPRODUCT(MAX((WhoKW&lt;&gt;"")*ISNUMBER(SEARCH(WhoKW,INDEX(FormData,$H600,f_Who)&amp;""))*(ROW(WhoKW)-MIN(ROW(WhoKW))+1))))),""))</f>
        <v/>
      </c>
      <c r="G600" s="14">
        <f>IF($H600="","",IF(COUNTIF(People!$U$5:$U$604,$B600)+COUNTIF(People!$U$5:$U$604,$B600&amp;"")&gt;0,"✓ logged","→ add"))</f>
        <v/>
      </c>
      <c r="H600">
        <f>IFERROR(IF(INDEX(FormData,597,f_Id)&amp;""="","",597),"")</f>
        <v/>
      </c>
      <c r="I600" s="16">
        <f>IF($H600="","",IFERROR(INDEX(FormData,$H600,f_Need)&amp;"",""))</f>
        <v/>
      </c>
    </row>
    <row r="601">
      <c r="A601" s="14" t="n">
        <v>597</v>
      </c>
      <c r="B601" s="14">
        <f>IF($H601="","",INDEX(FormData,$H601,f_Id))</f>
        <v/>
      </c>
      <c r="C601" s="15">
        <f>IF($H601="","",IFERROR(INDEX(FormData,$H601,f_Time),""))</f>
        <v/>
      </c>
      <c r="D601" s="14">
        <f>IF($H601="","",IFERROR(UPPER(LEFT(TRIM(INDEX(FormData,$H601,f_Name)),1)&amp;IFERROR(MID(TRIM(INDEX(FormData,$H601,f_Name)),FIND("^",SUBSTITUTE(TRIM(INDEX(FormData,$H601,f_Name))," ","^",LEN(TRIM(INDEX(FormData,$H601,f_Name)))-LEN(SUBSTITUTE(TRIM(INDEX(FormData,$H601,f_Name))," ",""))))+1,1),"")),""))</f>
        <v/>
      </c>
      <c r="E601" s="16">
        <f>IF($H601="","",IFERROR(INDEX(EvID,MATCH(INDEX(FormData,$H601,f_Event),EvID,0)),IFERROR(INDEX(EvID,MATCH(INDEX(FormData,$H601,f_Event),EvName,0)),IFERROR(INDEX(EvID,MATCH(INT($C601),EvDate,0)),"(no event that day)"))))</f>
        <v/>
      </c>
      <c r="F601" s="16">
        <f>IF($H601="","",IFERROR(IF(SUMPRODUCT(MAX((WhoKW&lt;&gt;"")*ISNUMBER(SEARCH(WhoKW,INDEX(FormData,$H601,f_Who)&amp;""))*(ROW(WhoKW)-MIN(ROW(WhoKW))+1)))=0,"",INDEX(WhoVal,SUMPRODUCT(MAX((WhoKW&lt;&gt;"")*ISNUMBER(SEARCH(WhoKW,INDEX(FormData,$H601,f_Who)&amp;""))*(ROW(WhoKW)-MIN(ROW(WhoKW))+1))))),""))</f>
        <v/>
      </c>
      <c r="G601" s="14">
        <f>IF($H601="","",IF(COUNTIF(People!$U$5:$U$604,$B601)+COUNTIF(People!$U$5:$U$604,$B601&amp;"")&gt;0,"✓ logged","→ add"))</f>
        <v/>
      </c>
      <c r="H601">
        <f>IFERROR(IF(INDEX(FormData,598,f_Id)&amp;""="","",598),"")</f>
        <v/>
      </c>
      <c r="I601" s="16">
        <f>IF($H601="","",IFERROR(INDEX(FormData,$H601,f_Need)&amp;"",""))</f>
        <v/>
      </c>
    </row>
    <row r="602">
      <c r="A602" s="14" t="n">
        <v>598</v>
      </c>
      <c r="B602" s="14">
        <f>IF($H602="","",INDEX(FormData,$H602,f_Id))</f>
        <v/>
      </c>
      <c r="C602" s="15">
        <f>IF($H602="","",IFERROR(INDEX(FormData,$H602,f_Time),""))</f>
        <v/>
      </c>
      <c r="D602" s="14">
        <f>IF($H602="","",IFERROR(UPPER(LEFT(TRIM(INDEX(FormData,$H602,f_Name)),1)&amp;IFERROR(MID(TRIM(INDEX(FormData,$H602,f_Name)),FIND("^",SUBSTITUTE(TRIM(INDEX(FormData,$H602,f_Name))," ","^",LEN(TRIM(INDEX(FormData,$H602,f_Name)))-LEN(SUBSTITUTE(TRIM(INDEX(FormData,$H602,f_Name))," ",""))))+1,1),"")),""))</f>
        <v/>
      </c>
      <c r="E602" s="16">
        <f>IF($H602="","",IFERROR(INDEX(EvID,MATCH(INDEX(FormData,$H602,f_Event),EvID,0)),IFERROR(INDEX(EvID,MATCH(INDEX(FormData,$H602,f_Event),EvName,0)),IFERROR(INDEX(EvID,MATCH(INT($C602),EvDate,0)),"(no event that day)"))))</f>
        <v/>
      </c>
      <c r="F602" s="16">
        <f>IF($H602="","",IFERROR(IF(SUMPRODUCT(MAX((WhoKW&lt;&gt;"")*ISNUMBER(SEARCH(WhoKW,INDEX(FormData,$H602,f_Who)&amp;""))*(ROW(WhoKW)-MIN(ROW(WhoKW))+1)))=0,"",INDEX(WhoVal,SUMPRODUCT(MAX((WhoKW&lt;&gt;"")*ISNUMBER(SEARCH(WhoKW,INDEX(FormData,$H602,f_Who)&amp;""))*(ROW(WhoKW)-MIN(ROW(WhoKW))+1))))),""))</f>
        <v/>
      </c>
      <c r="G602" s="14">
        <f>IF($H602="","",IF(COUNTIF(People!$U$5:$U$604,$B602)+COUNTIF(People!$U$5:$U$604,$B602&amp;"")&gt;0,"✓ logged","→ add"))</f>
        <v/>
      </c>
      <c r="H602">
        <f>IFERROR(IF(INDEX(FormData,599,f_Id)&amp;""="","",599),"")</f>
        <v/>
      </c>
      <c r="I602" s="16">
        <f>IF($H602="","",IFERROR(INDEX(FormData,$H602,f_Need)&amp;"",""))</f>
        <v/>
      </c>
    </row>
    <row r="603">
      <c r="A603" s="14" t="n">
        <v>599</v>
      </c>
      <c r="B603" s="14">
        <f>IF($H603="","",INDEX(FormData,$H603,f_Id))</f>
        <v/>
      </c>
      <c r="C603" s="15">
        <f>IF($H603="","",IFERROR(INDEX(FormData,$H603,f_Time),""))</f>
        <v/>
      </c>
      <c r="D603" s="14">
        <f>IF($H603="","",IFERROR(UPPER(LEFT(TRIM(INDEX(FormData,$H603,f_Name)),1)&amp;IFERROR(MID(TRIM(INDEX(FormData,$H603,f_Name)),FIND("^",SUBSTITUTE(TRIM(INDEX(FormData,$H603,f_Name))," ","^",LEN(TRIM(INDEX(FormData,$H603,f_Name)))-LEN(SUBSTITUTE(TRIM(INDEX(FormData,$H603,f_Name))," ",""))))+1,1),"")),""))</f>
        <v/>
      </c>
      <c r="E603" s="16">
        <f>IF($H603="","",IFERROR(INDEX(EvID,MATCH(INDEX(FormData,$H603,f_Event),EvID,0)),IFERROR(INDEX(EvID,MATCH(INDEX(FormData,$H603,f_Event),EvName,0)),IFERROR(INDEX(EvID,MATCH(INT($C603),EvDate,0)),"(no event that day)"))))</f>
        <v/>
      </c>
      <c r="F603" s="16">
        <f>IF($H603="","",IFERROR(IF(SUMPRODUCT(MAX((WhoKW&lt;&gt;"")*ISNUMBER(SEARCH(WhoKW,INDEX(FormData,$H603,f_Who)&amp;""))*(ROW(WhoKW)-MIN(ROW(WhoKW))+1)))=0,"",INDEX(WhoVal,SUMPRODUCT(MAX((WhoKW&lt;&gt;"")*ISNUMBER(SEARCH(WhoKW,INDEX(FormData,$H603,f_Who)&amp;""))*(ROW(WhoKW)-MIN(ROW(WhoKW))+1))))),""))</f>
        <v/>
      </c>
      <c r="G603" s="14">
        <f>IF($H603="","",IF(COUNTIF(People!$U$5:$U$604,$B603)+COUNTIF(People!$U$5:$U$604,$B603&amp;"")&gt;0,"✓ logged","→ add"))</f>
        <v/>
      </c>
      <c r="H603">
        <f>IFERROR(IF(INDEX(FormData,600,f_Id)&amp;""="","",600),"")</f>
        <v/>
      </c>
      <c r="I603" s="16">
        <f>IF($H603="","",IFERROR(INDEX(FormData,$H603,f_Need)&amp;"",""))</f>
        <v/>
      </c>
    </row>
    <row r="604">
      <c r="A604" s="14" t="n">
        <v>600</v>
      </c>
      <c r="B604" s="14">
        <f>IF($H604="","",INDEX(FormData,$H604,f_Id))</f>
        <v/>
      </c>
      <c r="C604" s="15">
        <f>IF($H604="","",IFERROR(INDEX(FormData,$H604,f_Time),""))</f>
        <v/>
      </c>
      <c r="D604" s="14">
        <f>IF($H604="","",IFERROR(UPPER(LEFT(TRIM(INDEX(FormData,$H604,f_Name)),1)&amp;IFERROR(MID(TRIM(INDEX(FormData,$H604,f_Name)),FIND("^",SUBSTITUTE(TRIM(INDEX(FormData,$H604,f_Name))," ","^",LEN(TRIM(INDEX(FormData,$H604,f_Name)))-LEN(SUBSTITUTE(TRIM(INDEX(FormData,$H604,f_Name))," ",""))))+1,1),"")),""))</f>
        <v/>
      </c>
      <c r="E604" s="16">
        <f>IF($H604="","",IFERROR(INDEX(EvID,MATCH(INDEX(FormData,$H604,f_Event),EvID,0)),IFERROR(INDEX(EvID,MATCH(INDEX(FormData,$H604,f_Event),EvName,0)),IFERROR(INDEX(EvID,MATCH(INT($C604),EvDate,0)),"(no event that day)"))))</f>
        <v/>
      </c>
      <c r="F604" s="16">
        <f>IF($H604="","",IFERROR(IF(SUMPRODUCT(MAX((WhoKW&lt;&gt;"")*ISNUMBER(SEARCH(WhoKW,INDEX(FormData,$H604,f_Who)&amp;""))*(ROW(WhoKW)-MIN(ROW(WhoKW))+1)))=0,"",INDEX(WhoVal,SUMPRODUCT(MAX((WhoKW&lt;&gt;"")*ISNUMBER(SEARCH(WhoKW,INDEX(FormData,$H604,f_Who)&amp;""))*(ROW(WhoKW)-MIN(ROW(WhoKW))+1))))),""))</f>
        <v/>
      </c>
      <c r="G604" s="14">
        <f>IF($H604="","",IF(COUNTIF(People!$U$5:$U$604,$B604)+COUNTIF(People!$U$5:$U$604,$B604&amp;"")&gt;0,"✓ logged","→ add"))</f>
        <v/>
      </c>
      <c r="H604">
        <f>IFERROR(IF(INDEX(FormData,601,f_Id)&amp;""="","",601),"")</f>
        <v/>
      </c>
      <c r="I604" s="16">
        <f>IF($H604="","",IFERROR(INDEX(FormData,$H604,f_Need)&amp;"",""))</f>
        <v/>
      </c>
    </row>
    <row r="605">
      <c r="A605" s="14" t="n">
        <v>601</v>
      </c>
      <c r="B605" s="14">
        <f>IF($H605="","",INDEX(FormData,$H605,f_Id))</f>
        <v/>
      </c>
      <c r="C605" s="15">
        <f>IF($H605="","",IFERROR(INDEX(FormData,$H605,f_Time),""))</f>
        <v/>
      </c>
      <c r="D605" s="14">
        <f>IF($H605="","",IFERROR(UPPER(LEFT(TRIM(INDEX(FormData,$H605,f_Name)),1)&amp;IFERROR(MID(TRIM(INDEX(FormData,$H605,f_Name)),FIND("^",SUBSTITUTE(TRIM(INDEX(FormData,$H605,f_Name))," ","^",LEN(TRIM(INDEX(FormData,$H605,f_Name)))-LEN(SUBSTITUTE(TRIM(INDEX(FormData,$H605,f_Name))," ",""))))+1,1),"")),""))</f>
        <v/>
      </c>
      <c r="E605" s="16">
        <f>IF($H605="","",IFERROR(INDEX(EvID,MATCH(INDEX(FormData,$H605,f_Event),EvID,0)),IFERROR(INDEX(EvID,MATCH(INDEX(FormData,$H605,f_Event),EvName,0)),IFERROR(INDEX(EvID,MATCH(INT($C605),EvDate,0)),"(no event that day)"))))</f>
        <v/>
      </c>
      <c r="F605" s="16">
        <f>IF($H605="","",IFERROR(IF(SUMPRODUCT(MAX((WhoKW&lt;&gt;"")*ISNUMBER(SEARCH(WhoKW,INDEX(FormData,$H605,f_Who)&amp;""))*(ROW(WhoKW)-MIN(ROW(WhoKW))+1)))=0,"",INDEX(WhoVal,SUMPRODUCT(MAX((WhoKW&lt;&gt;"")*ISNUMBER(SEARCH(WhoKW,INDEX(FormData,$H605,f_Who)&amp;""))*(ROW(WhoKW)-MIN(ROW(WhoKW))+1))))),""))</f>
        <v/>
      </c>
      <c r="G605" s="14">
        <f>IF($H605="","",IF(COUNTIF(People!$U$5:$U$604,$B605)+COUNTIF(People!$U$5:$U$604,$B605&amp;"")&gt;0,"✓ logged","→ add"))</f>
        <v/>
      </c>
      <c r="H605">
        <f>IFERROR(IF(INDEX(FormData,602,f_Id)&amp;""="","",602),"")</f>
        <v/>
      </c>
      <c r="I605" s="16">
        <f>IF($H605="","",IFERROR(INDEX(FormData,$H605,f_Need)&amp;"",""))</f>
        <v/>
      </c>
    </row>
    <row r="606">
      <c r="A606" s="14" t="n">
        <v>602</v>
      </c>
      <c r="B606" s="14">
        <f>IF($H606="","",INDEX(FormData,$H606,f_Id))</f>
        <v/>
      </c>
      <c r="C606" s="15">
        <f>IF($H606="","",IFERROR(INDEX(FormData,$H606,f_Time),""))</f>
        <v/>
      </c>
      <c r="D606" s="14">
        <f>IF($H606="","",IFERROR(UPPER(LEFT(TRIM(INDEX(FormData,$H606,f_Name)),1)&amp;IFERROR(MID(TRIM(INDEX(FormData,$H606,f_Name)),FIND("^",SUBSTITUTE(TRIM(INDEX(FormData,$H606,f_Name))," ","^",LEN(TRIM(INDEX(FormData,$H606,f_Name)))-LEN(SUBSTITUTE(TRIM(INDEX(FormData,$H606,f_Name))," ",""))))+1,1),"")),""))</f>
        <v/>
      </c>
      <c r="E606" s="16">
        <f>IF($H606="","",IFERROR(INDEX(EvID,MATCH(INDEX(FormData,$H606,f_Event),EvID,0)),IFERROR(INDEX(EvID,MATCH(INDEX(FormData,$H606,f_Event),EvName,0)),IFERROR(INDEX(EvID,MATCH(INT($C606),EvDate,0)),"(no event that day)"))))</f>
        <v/>
      </c>
      <c r="F606" s="16">
        <f>IF($H606="","",IFERROR(IF(SUMPRODUCT(MAX((WhoKW&lt;&gt;"")*ISNUMBER(SEARCH(WhoKW,INDEX(FormData,$H606,f_Who)&amp;""))*(ROW(WhoKW)-MIN(ROW(WhoKW))+1)))=0,"",INDEX(WhoVal,SUMPRODUCT(MAX((WhoKW&lt;&gt;"")*ISNUMBER(SEARCH(WhoKW,INDEX(FormData,$H606,f_Who)&amp;""))*(ROW(WhoKW)-MIN(ROW(WhoKW))+1))))),""))</f>
        <v/>
      </c>
      <c r="G606" s="14">
        <f>IF($H606="","",IF(COUNTIF(People!$U$5:$U$604,$B606)+COUNTIF(People!$U$5:$U$604,$B606&amp;"")&gt;0,"✓ logged","→ add"))</f>
        <v/>
      </c>
      <c r="H606">
        <f>IFERROR(IF(INDEX(FormData,603,f_Id)&amp;""="","",603),"")</f>
        <v/>
      </c>
      <c r="I606" s="16">
        <f>IF($H606="","",IFERROR(INDEX(FormData,$H606,f_Need)&amp;"",""))</f>
        <v/>
      </c>
    </row>
    <row r="607">
      <c r="A607" s="14" t="n">
        <v>603</v>
      </c>
      <c r="B607" s="14">
        <f>IF($H607="","",INDEX(FormData,$H607,f_Id))</f>
        <v/>
      </c>
      <c r="C607" s="15">
        <f>IF($H607="","",IFERROR(INDEX(FormData,$H607,f_Time),""))</f>
        <v/>
      </c>
      <c r="D607" s="14">
        <f>IF($H607="","",IFERROR(UPPER(LEFT(TRIM(INDEX(FormData,$H607,f_Name)),1)&amp;IFERROR(MID(TRIM(INDEX(FormData,$H607,f_Name)),FIND("^",SUBSTITUTE(TRIM(INDEX(FormData,$H607,f_Name))," ","^",LEN(TRIM(INDEX(FormData,$H607,f_Name)))-LEN(SUBSTITUTE(TRIM(INDEX(FormData,$H607,f_Name))," ",""))))+1,1),"")),""))</f>
        <v/>
      </c>
      <c r="E607" s="16">
        <f>IF($H607="","",IFERROR(INDEX(EvID,MATCH(INDEX(FormData,$H607,f_Event),EvID,0)),IFERROR(INDEX(EvID,MATCH(INDEX(FormData,$H607,f_Event),EvName,0)),IFERROR(INDEX(EvID,MATCH(INT($C607),EvDate,0)),"(no event that day)"))))</f>
        <v/>
      </c>
      <c r="F607" s="16">
        <f>IF($H607="","",IFERROR(IF(SUMPRODUCT(MAX((WhoKW&lt;&gt;"")*ISNUMBER(SEARCH(WhoKW,INDEX(FormData,$H607,f_Who)&amp;""))*(ROW(WhoKW)-MIN(ROW(WhoKW))+1)))=0,"",INDEX(WhoVal,SUMPRODUCT(MAX((WhoKW&lt;&gt;"")*ISNUMBER(SEARCH(WhoKW,INDEX(FormData,$H607,f_Who)&amp;""))*(ROW(WhoKW)-MIN(ROW(WhoKW))+1))))),""))</f>
        <v/>
      </c>
      <c r="G607" s="14">
        <f>IF($H607="","",IF(COUNTIF(People!$U$5:$U$604,$B607)+COUNTIF(People!$U$5:$U$604,$B607&amp;"")&gt;0,"✓ logged","→ add"))</f>
        <v/>
      </c>
      <c r="H607">
        <f>IFERROR(IF(INDEX(FormData,604,f_Id)&amp;""="","",604),"")</f>
        <v/>
      </c>
      <c r="I607" s="16">
        <f>IF($H607="","",IFERROR(INDEX(FormData,$H607,f_Need)&amp;"",""))</f>
        <v/>
      </c>
    </row>
    <row r="608">
      <c r="A608" s="14" t="n">
        <v>604</v>
      </c>
      <c r="B608" s="14">
        <f>IF($H608="","",INDEX(FormData,$H608,f_Id))</f>
        <v/>
      </c>
      <c r="C608" s="15">
        <f>IF($H608="","",IFERROR(INDEX(FormData,$H608,f_Time),""))</f>
        <v/>
      </c>
      <c r="D608" s="14">
        <f>IF($H608="","",IFERROR(UPPER(LEFT(TRIM(INDEX(FormData,$H608,f_Name)),1)&amp;IFERROR(MID(TRIM(INDEX(FormData,$H608,f_Name)),FIND("^",SUBSTITUTE(TRIM(INDEX(FormData,$H608,f_Name))," ","^",LEN(TRIM(INDEX(FormData,$H608,f_Name)))-LEN(SUBSTITUTE(TRIM(INDEX(FormData,$H608,f_Name))," ",""))))+1,1),"")),""))</f>
        <v/>
      </c>
      <c r="E608" s="16">
        <f>IF($H608="","",IFERROR(INDEX(EvID,MATCH(INDEX(FormData,$H608,f_Event),EvID,0)),IFERROR(INDEX(EvID,MATCH(INDEX(FormData,$H608,f_Event),EvName,0)),IFERROR(INDEX(EvID,MATCH(INT($C608),EvDate,0)),"(no event that day)"))))</f>
        <v/>
      </c>
      <c r="F608" s="16">
        <f>IF($H608="","",IFERROR(IF(SUMPRODUCT(MAX((WhoKW&lt;&gt;"")*ISNUMBER(SEARCH(WhoKW,INDEX(FormData,$H608,f_Who)&amp;""))*(ROW(WhoKW)-MIN(ROW(WhoKW))+1)))=0,"",INDEX(WhoVal,SUMPRODUCT(MAX((WhoKW&lt;&gt;"")*ISNUMBER(SEARCH(WhoKW,INDEX(FormData,$H608,f_Who)&amp;""))*(ROW(WhoKW)-MIN(ROW(WhoKW))+1))))),""))</f>
        <v/>
      </c>
      <c r="G608" s="14">
        <f>IF($H608="","",IF(COUNTIF(People!$U$5:$U$604,$B608)+COUNTIF(People!$U$5:$U$604,$B608&amp;"")&gt;0,"✓ logged","→ add"))</f>
        <v/>
      </c>
      <c r="H608">
        <f>IFERROR(IF(INDEX(FormData,605,f_Id)&amp;""="","",605),"")</f>
        <v/>
      </c>
      <c r="I608" s="16">
        <f>IF($H608="","",IFERROR(INDEX(FormData,$H608,f_Need)&amp;"",""))</f>
        <v/>
      </c>
    </row>
    <row r="609">
      <c r="A609" s="14" t="n">
        <v>605</v>
      </c>
      <c r="B609" s="14">
        <f>IF($H609="","",INDEX(FormData,$H609,f_Id))</f>
        <v/>
      </c>
      <c r="C609" s="15">
        <f>IF($H609="","",IFERROR(INDEX(FormData,$H609,f_Time),""))</f>
        <v/>
      </c>
      <c r="D609" s="14">
        <f>IF($H609="","",IFERROR(UPPER(LEFT(TRIM(INDEX(FormData,$H609,f_Name)),1)&amp;IFERROR(MID(TRIM(INDEX(FormData,$H609,f_Name)),FIND("^",SUBSTITUTE(TRIM(INDEX(FormData,$H609,f_Name))," ","^",LEN(TRIM(INDEX(FormData,$H609,f_Name)))-LEN(SUBSTITUTE(TRIM(INDEX(FormData,$H609,f_Name))," ",""))))+1,1),"")),""))</f>
        <v/>
      </c>
      <c r="E609" s="16">
        <f>IF($H609="","",IFERROR(INDEX(EvID,MATCH(INDEX(FormData,$H609,f_Event),EvID,0)),IFERROR(INDEX(EvID,MATCH(INDEX(FormData,$H609,f_Event),EvName,0)),IFERROR(INDEX(EvID,MATCH(INT($C609),EvDate,0)),"(no event that day)"))))</f>
        <v/>
      </c>
      <c r="F609" s="16">
        <f>IF($H609="","",IFERROR(IF(SUMPRODUCT(MAX((WhoKW&lt;&gt;"")*ISNUMBER(SEARCH(WhoKW,INDEX(FormData,$H609,f_Who)&amp;""))*(ROW(WhoKW)-MIN(ROW(WhoKW))+1)))=0,"",INDEX(WhoVal,SUMPRODUCT(MAX((WhoKW&lt;&gt;"")*ISNUMBER(SEARCH(WhoKW,INDEX(FormData,$H609,f_Who)&amp;""))*(ROW(WhoKW)-MIN(ROW(WhoKW))+1))))),""))</f>
        <v/>
      </c>
      <c r="G609" s="14">
        <f>IF($H609="","",IF(COUNTIF(People!$U$5:$U$604,$B609)+COUNTIF(People!$U$5:$U$604,$B609&amp;"")&gt;0,"✓ logged","→ add"))</f>
        <v/>
      </c>
      <c r="H609">
        <f>IFERROR(IF(INDEX(FormData,606,f_Id)&amp;""="","",606),"")</f>
        <v/>
      </c>
      <c r="I609" s="16">
        <f>IF($H609="","",IFERROR(INDEX(FormData,$H609,f_Need)&amp;"",""))</f>
        <v/>
      </c>
    </row>
    <row r="610">
      <c r="A610" s="14" t="n">
        <v>606</v>
      </c>
      <c r="B610" s="14">
        <f>IF($H610="","",INDEX(FormData,$H610,f_Id))</f>
        <v/>
      </c>
      <c r="C610" s="15">
        <f>IF($H610="","",IFERROR(INDEX(FormData,$H610,f_Time),""))</f>
        <v/>
      </c>
      <c r="D610" s="14">
        <f>IF($H610="","",IFERROR(UPPER(LEFT(TRIM(INDEX(FormData,$H610,f_Name)),1)&amp;IFERROR(MID(TRIM(INDEX(FormData,$H610,f_Name)),FIND("^",SUBSTITUTE(TRIM(INDEX(FormData,$H610,f_Name))," ","^",LEN(TRIM(INDEX(FormData,$H610,f_Name)))-LEN(SUBSTITUTE(TRIM(INDEX(FormData,$H610,f_Name))," ",""))))+1,1),"")),""))</f>
        <v/>
      </c>
      <c r="E610" s="16">
        <f>IF($H610="","",IFERROR(INDEX(EvID,MATCH(INDEX(FormData,$H610,f_Event),EvID,0)),IFERROR(INDEX(EvID,MATCH(INDEX(FormData,$H610,f_Event),EvName,0)),IFERROR(INDEX(EvID,MATCH(INT($C610),EvDate,0)),"(no event that day)"))))</f>
        <v/>
      </c>
      <c r="F610" s="16">
        <f>IF($H610="","",IFERROR(IF(SUMPRODUCT(MAX((WhoKW&lt;&gt;"")*ISNUMBER(SEARCH(WhoKW,INDEX(FormData,$H610,f_Who)&amp;""))*(ROW(WhoKW)-MIN(ROW(WhoKW))+1)))=0,"",INDEX(WhoVal,SUMPRODUCT(MAX((WhoKW&lt;&gt;"")*ISNUMBER(SEARCH(WhoKW,INDEX(FormData,$H610,f_Who)&amp;""))*(ROW(WhoKW)-MIN(ROW(WhoKW))+1))))),""))</f>
        <v/>
      </c>
      <c r="G610" s="14">
        <f>IF($H610="","",IF(COUNTIF(People!$U$5:$U$604,$B610)+COUNTIF(People!$U$5:$U$604,$B610&amp;"")&gt;0,"✓ logged","→ add"))</f>
        <v/>
      </c>
      <c r="H610">
        <f>IFERROR(IF(INDEX(FormData,607,f_Id)&amp;""="","",607),"")</f>
        <v/>
      </c>
      <c r="I610" s="16">
        <f>IF($H610="","",IFERROR(INDEX(FormData,$H610,f_Need)&amp;"",""))</f>
        <v/>
      </c>
    </row>
    <row r="611">
      <c r="A611" s="14" t="n">
        <v>607</v>
      </c>
      <c r="B611" s="14">
        <f>IF($H611="","",INDEX(FormData,$H611,f_Id))</f>
        <v/>
      </c>
      <c r="C611" s="15">
        <f>IF($H611="","",IFERROR(INDEX(FormData,$H611,f_Time),""))</f>
        <v/>
      </c>
      <c r="D611" s="14">
        <f>IF($H611="","",IFERROR(UPPER(LEFT(TRIM(INDEX(FormData,$H611,f_Name)),1)&amp;IFERROR(MID(TRIM(INDEX(FormData,$H611,f_Name)),FIND("^",SUBSTITUTE(TRIM(INDEX(FormData,$H611,f_Name))," ","^",LEN(TRIM(INDEX(FormData,$H611,f_Name)))-LEN(SUBSTITUTE(TRIM(INDEX(FormData,$H611,f_Name))," ",""))))+1,1),"")),""))</f>
        <v/>
      </c>
      <c r="E611" s="16">
        <f>IF($H611="","",IFERROR(INDEX(EvID,MATCH(INDEX(FormData,$H611,f_Event),EvID,0)),IFERROR(INDEX(EvID,MATCH(INDEX(FormData,$H611,f_Event),EvName,0)),IFERROR(INDEX(EvID,MATCH(INT($C611),EvDate,0)),"(no event that day)"))))</f>
        <v/>
      </c>
      <c r="F611" s="16">
        <f>IF($H611="","",IFERROR(IF(SUMPRODUCT(MAX((WhoKW&lt;&gt;"")*ISNUMBER(SEARCH(WhoKW,INDEX(FormData,$H611,f_Who)&amp;""))*(ROW(WhoKW)-MIN(ROW(WhoKW))+1)))=0,"",INDEX(WhoVal,SUMPRODUCT(MAX((WhoKW&lt;&gt;"")*ISNUMBER(SEARCH(WhoKW,INDEX(FormData,$H611,f_Who)&amp;""))*(ROW(WhoKW)-MIN(ROW(WhoKW))+1))))),""))</f>
        <v/>
      </c>
      <c r="G611" s="14">
        <f>IF($H611="","",IF(COUNTIF(People!$U$5:$U$604,$B611)+COUNTIF(People!$U$5:$U$604,$B611&amp;"")&gt;0,"✓ logged","→ add"))</f>
        <v/>
      </c>
      <c r="H611">
        <f>IFERROR(IF(INDEX(FormData,608,f_Id)&amp;""="","",608),"")</f>
        <v/>
      </c>
      <c r="I611" s="16">
        <f>IF($H611="","",IFERROR(INDEX(FormData,$H611,f_Need)&amp;"",""))</f>
        <v/>
      </c>
    </row>
    <row r="612">
      <c r="A612" s="14" t="n">
        <v>608</v>
      </c>
      <c r="B612" s="14">
        <f>IF($H612="","",INDEX(FormData,$H612,f_Id))</f>
        <v/>
      </c>
      <c r="C612" s="15">
        <f>IF($H612="","",IFERROR(INDEX(FormData,$H612,f_Time),""))</f>
        <v/>
      </c>
      <c r="D612" s="14">
        <f>IF($H612="","",IFERROR(UPPER(LEFT(TRIM(INDEX(FormData,$H612,f_Name)),1)&amp;IFERROR(MID(TRIM(INDEX(FormData,$H612,f_Name)),FIND("^",SUBSTITUTE(TRIM(INDEX(FormData,$H612,f_Name))," ","^",LEN(TRIM(INDEX(FormData,$H612,f_Name)))-LEN(SUBSTITUTE(TRIM(INDEX(FormData,$H612,f_Name))," ",""))))+1,1),"")),""))</f>
        <v/>
      </c>
      <c r="E612" s="16">
        <f>IF($H612="","",IFERROR(INDEX(EvID,MATCH(INDEX(FormData,$H612,f_Event),EvID,0)),IFERROR(INDEX(EvID,MATCH(INDEX(FormData,$H612,f_Event),EvName,0)),IFERROR(INDEX(EvID,MATCH(INT($C612),EvDate,0)),"(no event that day)"))))</f>
        <v/>
      </c>
      <c r="F612" s="16">
        <f>IF($H612="","",IFERROR(IF(SUMPRODUCT(MAX((WhoKW&lt;&gt;"")*ISNUMBER(SEARCH(WhoKW,INDEX(FormData,$H612,f_Who)&amp;""))*(ROW(WhoKW)-MIN(ROW(WhoKW))+1)))=0,"",INDEX(WhoVal,SUMPRODUCT(MAX((WhoKW&lt;&gt;"")*ISNUMBER(SEARCH(WhoKW,INDEX(FormData,$H612,f_Who)&amp;""))*(ROW(WhoKW)-MIN(ROW(WhoKW))+1))))),""))</f>
        <v/>
      </c>
      <c r="G612" s="14">
        <f>IF($H612="","",IF(COUNTIF(People!$U$5:$U$604,$B612)+COUNTIF(People!$U$5:$U$604,$B612&amp;"")&gt;0,"✓ logged","→ add"))</f>
        <v/>
      </c>
      <c r="H612">
        <f>IFERROR(IF(INDEX(FormData,609,f_Id)&amp;""="","",609),"")</f>
        <v/>
      </c>
      <c r="I612" s="16">
        <f>IF($H612="","",IFERROR(INDEX(FormData,$H612,f_Need)&amp;"",""))</f>
        <v/>
      </c>
    </row>
    <row r="613">
      <c r="A613" s="14" t="n">
        <v>609</v>
      </c>
      <c r="B613" s="14">
        <f>IF($H613="","",INDEX(FormData,$H613,f_Id))</f>
        <v/>
      </c>
      <c r="C613" s="15">
        <f>IF($H613="","",IFERROR(INDEX(FormData,$H613,f_Time),""))</f>
        <v/>
      </c>
      <c r="D613" s="14">
        <f>IF($H613="","",IFERROR(UPPER(LEFT(TRIM(INDEX(FormData,$H613,f_Name)),1)&amp;IFERROR(MID(TRIM(INDEX(FormData,$H613,f_Name)),FIND("^",SUBSTITUTE(TRIM(INDEX(FormData,$H613,f_Name))," ","^",LEN(TRIM(INDEX(FormData,$H613,f_Name)))-LEN(SUBSTITUTE(TRIM(INDEX(FormData,$H613,f_Name))," ",""))))+1,1),"")),""))</f>
        <v/>
      </c>
      <c r="E613" s="16">
        <f>IF($H613="","",IFERROR(INDEX(EvID,MATCH(INDEX(FormData,$H613,f_Event),EvID,0)),IFERROR(INDEX(EvID,MATCH(INDEX(FormData,$H613,f_Event),EvName,0)),IFERROR(INDEX(EvID,MATCH(INT($C613),EvDate,0)),"(no event that day)"))))</f>
        <v/>
      </c>
      <c r="F613" s="16">
        <f>IF($H613="","",IFERROR(IF(SUMPRODUCT(MAX((WhoKW&lt;&gt;"")*ISNUMBER(SEARCH(WhoKW,INDEX(FormData,$H613,f_Who)&amp;""))*(ROW(WhoKW)-MIN(ROW(WhoKW))+1)))=0,"",INDEX(WhoVal,SUMPRODUCT(MAX((WhoKW&lt;&gt;"")*ISNUMBER(SEARCH(WhoKW,INDEX(FormData,$H613,f_Who)&amp;""))*(ROW(WhoKW)-MIN(ROW(WhoKW))+1))))),""))</f>
        <v/>
      </c>
      <c r="G613" s="14">
        <f>IF($H613="","",IF(COUNTIF(People!$U$5:$U$604,$B613)+COUNTIF(People!$U$5:$U$604,$B613&amp;"")&gt;0,"✓ logged","→ add"))</f>
        <v/>
      </c>
      <c r="H613">
        <f>IFERROR(IF(INDEX(FormData,610,f_Id)&amp;""="","",610),"")</f>
        <v/>
      </c>
      <c r="I613" s="16">
        <f>IF($H613="","",IFERROR(INDEX(FormData,$H613,f_Need)&amp;"",""))</f>
        <v/>
      </c>
    </row>
    <row r="614">
      <c r="A614" s="14" t="n">
        <v>610</v>
      </c>
      <c r="B614" s="14">
        <f>IF($H614="","",INDEX(FormData,$H614,f_Id))</f>
        <v/>
      </c>
      <c r="C614" s="15">
        <f>IF($H614="","",IFERROR(INDEX(FormData,$H614,f_Time),""))</f>
        <v/>
      </c>
      <c r="D614" s="14">
        <f>IF($H614="","",IFERROR(UPPER(LEFT(TRIM(INDEX(FormData,$H614,f_Name)),1)&amp;IFERROR(MID(TRIM(INDEX(FormData,$H614,f_Name)),FIND("^",SUBSTITUTE(TRIM(INDEX(FormData,$H614,f_Name))," ","^",LEN(TRIM(INDEX(FormData,$H614,f_Name)))-LEN(SUBSTITUTE(TRIM(INDEX(FormData,$H614,f_Name))," ",""))))+1,1),"")),""))</f>
        <v/>
      </c>
      <c r="E614" s="16">
        <f>IF($H614="","",IFERROR(INDEX(EvID,MATCH(INDEX(FormData,$H614,f_Event),EvID,0)),IFERROR(INDEX(EvID,MATCH(INDEX(FormData,$H614,f_Event),EvName,0)),IFERROR(INDEX(EvID,MATCH(INT($C614),EvDate,0)),"(no event that day)"))))</f>
        <v/>
      </c>
      <c r="F614" s="16">
        <f>IF($H614="","",IFERROR(IF(SUMPRODUCT(MAX((WhoKW&lt;&gt;"")*ISNUMBER(SEARCH(WhoKW,INDEX(FormData,$H614,f_Who)&amp;""))*(ROW(WhoKW)-MIN(ROW(WhoKW))+1)))=0,"",INDEX(WhoVal,SUMPRODUCT(MAX((WhoKW&lt;&gt;"")*ISNUMBER(SEARCH(WhoKW,INDEX(FormData,$H614,f_Who)&amp;""))*(ROW(WhoKW)-MIN(ROW(WhoKW))+1))))),""))</f>
        <v/>
      </c>
      <c r="G614" s="14">
        <f>IF($H614="","",IF(COUNTIF(People!$U$5:$U$604,$B614)+COUNTIF(People!$U$5:$U$604,$B614&amp;"")&gt;0,"✓ logged","→ add"))</f>
        <v/>
      </c>
      <c r="H614">
        <f>IFERROR(IF(INDEX(FormData,611,f_Id)&amp;""="","",611),"")</f>
        <v/>
      </c>
      <c r="I614" s="16">
        <f>IF($H614="","",IFERROR(INDEX(FormData,$H614,f_Need)&amp;"",""))</f>
        <v/>
      </c>
    </row>
    <row r="615">
      <c r="A615" s="14" t="n">
        <v>611</v>
      </c>
      <c r="B615" s="14">
        <f>IF($H615="","",INDEX(FormData,$H615,f_Id))</f>
        <v/>
      </c>
      <c r="C615" s="15">
        <f>IF($H615="","",IFERROR(INDEX(FormData,$H615,f_Time),""))</f>
        <v/>
      </c>
      <c r="D615" s="14">
        <f>IF($H615="","",IFERROR(UPPER(LEFT(TRIM(INDEX(FormData,$H615,f_Name)),1)&amp;IFERROR(MID(TRIM(INDEX(FormData,$H615,f_Name)),FIND("^",SUBSTITUTE(TRIM(INDEX(FormData,$H615,f_Name))," ","^",LEN(TRIM(INDEX(FormData,$H615,f_Name)))-LEN(SUBSTITUTE(TRIM(INDEX(FormData,$H615,f_Name))," ",""))))+1,1),"")),""))</f>
        <v/>
      </c>
      <c r="E615" s="16">
        <f>IF($H615="","",IFERROR(INDEX(EvID,MATCH(INDEX(FormData,$H615,f_Event),EvID,0)),IFERROR(INDEX(EvID,MATCH(INDEX(FormData,$H615,f_Event),EvName,0)),IFERROR(INDEX(EvID,MATCH(INT($C615),EvDate,0)),"(no event that day)"))))</f>
        <v/>
      </c>
      <c r="F615" s="16">
        <f>IF($H615="","",IFERROR(IF(SUMPRODUCT(MAX((WhoKW&lt;&gt;"")*ISNUMBER(SEARCH(WhoKW,INDEX(FormData,$H615,f_Who)&amp;""))*(ROW(WhoKW)-MIN(ROW(WhoKW))+1)))=0,"",INDEX(WhoVal,SUMPRODUCT(MAX((WhoKW&lt;&gt;"")*ISNUMBER(SEARCH(WhoKW,INDEX(FormData,$H615,f_Who)&amp;""))*(ROW(WhoKW)-MIN(ROW(WhoKW))+1))))),""))</f>
        <v/>
      </c>
      <c r="G615" s="14">
        <f>IF($H615="","",IF(COUNTIF(People!$U$5:$U$604,$B615)+COUNTIF(People!$U$5:$U$604,$B615&amp;"")&gt;0,"✓ logged","→ add"))</f>
        <v/>
      </c>
      <c r="H615">
        <f>IFERROR(IF(INDEX(FormData,612,f_Id)&amp;""="","",612),"")</f>
        <v/>
      </c>
      <c r="I615" s="16">
        <f>IF($H615="","",IFERROR(INDEX(FormData,$H615,f_Need)&amp;"",""))</f>
        <v/>
      </c>
    </row>
    <row r="616">
      <c r="A616" s="14" t="n">
        <v>612</v>
      </c>
      <c r="B616" s="14">
        <f>IF($H616="","",INDEX(FormData,$H616,f_Id))</f>
        <v/>
      </c>
      <c r="C616" s="15">
        <f>IF($H616="","",IFERROR(INDEX(FormData,$H616,f_Time),""))</f>
        <v/>
      </c>
      <c r="D616" s="14">
        <f>IF($H616="","",IFERROR(UPPER(LEFT(TRIM(INDEX(FormData,$H616,f_Name)),1)&amp;IFERROR(MID(TRIM(INDEX(FormData,$H616,f_Name)),FIND("^",SUBSTITUTE(TRIM(INDEX(FormData,$H616,f_Name))," ","^",LEN(TRIM(INDEX(FormData,$H616,f_Name)))-LEN(SUBSTITUTE(TRIM(INDEX(FormData,$H616,f_Name))," ",""))))+1,1),"")),""))</f>
        <v/>
      </c>
      <c r="E616" s="16">
        <f>IF($H616="","",IFERROR(INDEX(EvID,MATCH(INDEX(FormData,$H616,f_Event),EvID,0)),IFERROR(INDEX(EvID,MATCH(INDEX(FormData,$H616,f_Event),EvName,0)),IFERROR(INDEX(EvID,MATCH(INT($C616),EvDate,0)),"(no event that day)"))))</f>
        <v/>
      </c>
      <c r="F616" s="16">
        <f>IF($H616="","",IFERROR(IF(SUMPRODUCT(MAX((WhoKW&lt;&gt;"")*ISNUMBER(SEARCH(WhoKW,INDEX(FormData,$H616,f_Who)&amp;""))*(ROW(WhoKW)-MIN(ROW(WhoKW))+1)))=0,"",INDEX(WhoVal,SUMPRODUCT(MAX((WhoKW&lt;&gt;"")*ISNUMBER(SEARCH(WhoKW,INDEX(FormData,$H616,f_Who)&amp;""))*(ROW(WhoKW)-MIN(ROW(WhoKW))+1))))),""))</f>
        <v/>
      </c>
      <c r="G616" s="14">
        <f>IF($H616="","",IF(COUNTIF(People!$U$5:$U$604,$B616)+COUNTIF(People!$U$5:$U$604,$B616&amp;"")&gt;0,"✓ logged","→ add"))</f>
        <v/>
      </c>
      <c r="H616">
        <f>IFERROR(IF(INDEX(FormData,613,f_Id)&amp;""="","",613),"")</f>
        <v/>
      </c>
      <c r="I616" s="16">
        <f>IF($H616="","",IFERROR(INDEX(FormData,$H616,f_Need)&amp;"",""))</f>
        <v/>
      </c>
    </row>
    <row r="617">
      <c r="A617" s="14" t="n">
        <v>613</v>
      </c>
      <c r="B617" s="14">
        <f>IF($H617="","",INDEX(FormData,$H617,f_Id))</f>
        <v/>
      </c>
      <c r="C617" s="15">
        <f>IF($H617="","",IFERROR(INDEX(FormData,$H617,f_Time),""))</f>
        <v/>
      </c>
      <c r="D617" s="14">
        <f>IF($H617="","",IFERROR(UPPER(LEFT(TRIM(INDEX(FormData,$H617,f_Name)),1)&amp;IFERROR(MID(TRIM(INDEX(FormData,$H617,f_Name)),FIND("^",SUBSTITUTE(TRIM(INDEX(FormData,$H617,f_Name))," ","^",LEN(TRIM(INDEX(FormData,$H617,f_Name)))-LEN(SUBSTITUTE(TRIM(INDEX(FormData,$H617,f_Name))," ",""))))+1,1),"")),""))</f>
        <v/>
      </c>
      <c r="E617" s="16">
        <f>IF($H617="","",IFERROR(INDEX(EvID,MATCH(INDEX(FormData,$H617,f_Event),EvID,0)),IFERROR(INDEX(EvID,MATCH(INDEX(FormData,$H617,f_Event),EvName,0)),IFERROR(INDEX(EvID,MATCH(INT($C617),EvDate,0)),"(no event that day)"))))</f>
        <v/>
      </c>
      <c r="F617" s="16">
        <f>IF($H617="","",IFERROR(IF(SUMPRODUCT(MAX((WhoKW&lt;&gt;"")*ISNUMBER(SEARCH(WhoKW,INDEX(FormData,$H617,f_Who)&amp;""))*(ROW(WhoKW)-MIN(ROW(WhoKW))+1)))=0,"",INDEX(WhoVal,SUMPRODUCT(MAX((WhoKW&lt;&gt;"")*ISNUMBER(SEARCH(WhoKW,INDEX(FormData,$H617,f_Who)&amp;""))*(ROW(WhoKW)-MIN(ROW(WhoKW))+1))))),""))</f>
        <v/>
      </c>
      <c r="G617" s="14">
        <f>IF($H617="","",IF(COUNTIF(People!$U$5:$U$604,$B617)+COUNTIF(People!$U$5:$U$604,$B617&amp;"")&gt;0,"✓ logged","→ add"))</f>
        <v/>
      </c>
      <c r="H617">
        <f>IFERROR(IF(INDEX(FormData,614,f_Id)&amp;""="","",614),"")</f>
        <v/>
      </c>
      <c r="I617" s="16">
        <f>IF($H617="","",IFERROR(INDEX(FormData,$H617,f_Need)&amp;"",""))</f>
        <v/>
      </c>
    </row>
    <row r="618">
      <c r="A618" s="14" t="n">
        <v>614</v>
      </c>
      <c r="B618" s="14">
        <f>IF($H618="","",INDEX(FormData,$H618,f_Id))</f>
        <v/>
      </c>
      <c r="C618" s="15">
        <f>IF($H618="","",IFERROR(INDEX(FormData,$H618,f_Time),""))</f>
        <v/>
      </c>
      <c r="D618" s="14">
        <f>IF($H618="","",IFERROR(UPPER(LEFT(TRIM(INDEX(FormData,$H618,f_Name)),1)&amp;IFERROR(MID(TRIM(INDEX(FormData,$H618,f_Name)),FIND("^",SUBSTITUTE(TRIM(INDEX(FormData,$H618,f_Name))," ","^",LEN(TRIM(INDEX(FormData,$H618,f_Name)))-LEN(SUBSTITUTE(TRIM(INDEX(FormData,$H618,f_Name))," ",""))))+1,1),"")),""))</f>
        <v/>
      </c>
      <c r="E618" s="16">
        <f>IF($H618="","",IFERROR(INDEX(EvID,MATCH(INDEX(FormData,$H618,f_Event),EvID,0)),IFERROR(INDEX(EvID,MATCH(INDEX(FormData,$H618,f_Event),EvName,0)),IFERROR(INDEX(EvID,MATCH(INT($C618),EvDate,0)),"(no event that day)"))))</f>
        <v/>
      </c>
      <c r="F618" s="16">
        <f>IF($H618="","",IFERROR(IF(SUMPRODUCT(MAX((WhoKW&lt;&gt;"")*ISNUMBER(SEARCH(WhoKW,INDEX(FormData,$H618,f_Who)&amp;""))*(ROW(WhoKW)-MIN(ROW(WhoKW))+1)))=0,"",INDEX(WhoVal,SUMPRODUCT(MAX((WhoKW&lt;&gt;"")*ISNUMBER(SEARCH(WhoKW,INDEX(FormData,$H618,f_Who)&amp;""))*(ROW(WhoKW)-MIN(ROW(WhoKW))+1))))),""))</f>
        <v/>
      </c>
      <c r="G618" s="14">
        <f>IF($H618="","",IF(COUNTIF(People!$U$5:$U$604,$B618)+COUNTIF(People!$U$5:$U$604,$B618&amp;"")&gt;0,"✓ logged","→ add"))</f>
        <v/>
      </c>
      <c r="H618">
        <f>IFERROR(IF(INDEX(FormData,615,f_Id)&amp;""="","",615),"")</f>
        <v/>
      </c>
      <c r="I618" s="16">
        <f>IF($H618="","",IFERROR(INDEX(FormData,$H618,f_Need)&amp;"",""))</f>
        <v/>
      </c>
    </row>
    <row r="619">
      <c r="A619" s="14" t="n">
        <v>615</v>
      </c>
      <c r="B619" s="14">
        <f>IF($H619="","",INDEX(FormData,$H619,f_Id))</f>
        <v/>
      </c>
      <c r="C619" s="15">
        <f>IF($H619="","",IFERROR(INDEX(FormData,$H619,f_Time),""))</f>
        <v/>
      </c>
      <c r="D619" s="14">
        <f>IF($H619="","",IFERROR(UPPER(LEFT(TRIM(INDEX(FormData,$H619,f_Name)),1)&amp;IFERROR(MID(TRIM(INDEX(FormData,$H619,f_Name)),FIND("^",SUBSTITUTE(TRIM(INDEX(FormData,$H619,f_Name))," ","^",LEN(TRIM(INDEX(FormData,$H619,f_Name)))-LEN(SUBSTITUTE(TRIM(INDEX(FormData,$H619,f_Name))," ",""))))+1,1),"")),""))</f>
        <v/>
      </c>
      <c r="E619" s="16">
        <f>IF($H619="","",IFERROR(INDEX(EvID,MATCH(INDEX(FormData,$H619,f_Event),EvID,0)),IFERROR(INDEX(EvID,MATCH(INDEX(FormData,$H619,f_Event),EvName,0)),IFERROR(INDEX(EvID,MATCH(INT($C619),EvDate,0)),"(no event that day)"))))</f>
        <v/>
      </c>
      <c r="F619" s="16">
        <f>IF($H619="","",IFERROR(IF(SUMPRODUCT(MAX((WhoKW&lt;&gt;"")*ISNUMBER(SEARCH(WhoKW,INDEX(FormData,$H619,f_Who)&amp;""))*(ROW(WhoKW)-MIN(ROW(WhoKW))+1)))=0,"",INDEX(WhoVal,SUMPRODUCT(MAX((WhoKW&lt;&gt;"")*ISNUMBER(SEARCH(WhoKW,INDEX(FormData,$H619,f_Who)&amp;""))*(ROW(WhoKW)-MIN(ROW(WhoKW))+1))))),""))</f>
        <v/>
      </c>
      <c r="G619" s="14">
        <f>IF($H619="","",IF(COUNTIF(People!$U$5:$U$604,$B619)+COUNTIF(People!$U$5:$U$604,$B619&amp;"")&gt;0,"✓ logged","→ add"))</f>
        <v/>
      </c>
      <c r="H619">
        <f>IFERROR(IF(INDEX(FormData,616,f_Id)&amp;""="","",616),"")</f>
        <v/>
      </c>
      <c r="I619" s="16">
        <f>IF($H619="","",IFERROR(INDEX(FormData,$H619,f_Need)&amp;"",""))</f>
        <v/>
      </c>
    </row>
    <row r="620">
      <c r="A620" s="14" t="n">
        <v>616</v>
      </c>
      <c r="B620" s="14">
        <f>IF($H620="","",INDEX(FormData,$H620,f_Id))</f>
        <v/>
      </c>
      <c r="C620" s="15">
        <f>IF($H620="","",IFERROR(INDEX(FormData,$H620,f_Time),""))</f>
        <v/>
      </c>
      <c r="D620" s="14">
        <f>IF($H620="","",IFERROR(UPPER(LEFT(TRIM(INDEX(FormData,$H620,f_Name)),1)&amp;IFERROR(MID(TRIM(INDEX(FormData,$H620,f_Name)),FIND("^",SUBSTITUTE(TRIM(INDEX(FormData,$H620,f_Name))," ","^",LEN(TRIM(INDEX(FormData,$H620,f_Name)))-LEN(SUBSTITUTE(TRIM(INDEX(FormData,$H620,f_Name))," ",""))))+1,1),"")),""))</f>
        <v/>
      </c>
      <c r="E620" s="16">
        <f>IF($H620="","",IFERROR(INDEX(EvID,MATCH(INDEX(FormData,$H620,f_Event),EvID,0)),IFERROR(INDEX(EvID,MATCH(INDEX(FormData,$H620,f_Event),EvName,0)),IFERROR(INDEX(EvID,MATCH(INT($C620),EvDate,0)),"(no event that day)"))))</f>
        <v/>
      </c>
      <c r="F620" s="16">
        <f>IF($H620="","",IFERROR(IF(SUMPRODUCT(MAX((WhoKW&lt;&gt;"")*ISNUMBER(SEARCH(WhoKW,INDEX(FormData,$H620,f_Who)&amp;""))*(ROW(WhoKW)-MIN(ROW(WhoKW))+1)))=0,"",INDEX(WhoVal,SUMPRODUCT(MAX((WhoKW&lt;&gt;"")*ISNUMBER(SEARCH(WhoKW,INDEX(FormData,$H620,f_Who)&amp;""))*(ROW(WhoKW)-MIN(ROW(WhoKW))+1))))),""))</f>
        <v/>
      </c>
      <c r="G620" s="14">
        <f>IF($H620="","",IF(COUNTIF(People!$U$5:$U$604,$B620)+COUNTIF(People!$U$5:$U$604,$B620&amp;"")&gt;0,"✓ logged","→ add"))</f>
        <v/>
      </c>
      <c r="H620">
        <f>IFERROR(IF(INDEX(FormData,617,f_Id)&amp;""="","",617),"")</f>
        <v/>
      </c>
      <c r="I620" s="16">
        <f>IF($H620="","",IFERROR(INDEX(FormData,$H620,f_Need)&amp;"",""))</f>
        <v/>
      </c>
    </row>
    <row r="621">
      <c r="A621" s="14" t="n">
        <v>617</v>
      </c>
      <c r="B621" s="14">
        <f>IF($H621="","",INDEX(FormData,$H621,f_Id))</f>
        <v/>
      </c>
      <c r="C621" s="15">
        <f>IF($H621="","",IFERROR(INDEX(FormData,$H621,f_Time),""))</f>
        <v/>
      </c>
      <c r="D621" s="14">
        <f>IF($H621="","",IFERROR(UPPER(LEFT(TRIM(INDEX(FormData,$H621,f_Name)),1)&amp;IFERROR(MID(TRIM(INDEX(FormData,$H621,f_Name)),FIND("^",SUBSTITUTE(TRIM(INDEX(FormData,$H621,f_Name))," ","^",LEN(TRIM(INDEX(FormData,$H621,f_Name)))-LEN(SUBSTITUTE(TRIM(INDEX(FormData,$H621,f_Name))," ",""))))+1,1),"")),""))</f>
        <v/>
      </c>
      <c r="E621" s="16">
        <f>IF($H621="","",IFERROR(INDEX(EvID,MATCH(INDEX(FormData,$H621,f_Event),EvID,0)),IFERROR(INDEX(EvID,MATCH(INDEX(FormData,$H621,f_Event),EvName,0)),IFERROR(INDEX(EvID,MATCH(INT($C621),EvDate,0)),"(no event that day)"))))</f>
        <v/>
      </c>
      <c r="F621" s="16">
        <f>IF($H621="","",IFERROR(IF(SUMPRODUCT(MAX((WhoKW&lt;&gt;"")*ISNUMBER(SEARCH(WhoKW,INDEX(FormData,$H621,f_Who)&amp;""))*(ROW(WhoKW)-MIN(ROW(WhoKW))+1)))=0,"",INDEX(WhoVal,SUMPRODUCT(MAX((WhoKW&lt;&gt;"")*ISNUMBER(SEARCH(WhoKW,INDEX(FormData,$H621,f_Who)&amp;""))*(ROW(WhoKW)-MIN(ROW(WhoKW))+1))))),""))</f>
        <v/>
      </c>
      <c r="G621" s="14">
        <f>IF($H621="","",IF(COUNTIF(People!$U$5:$U$604,$B621)+COUNTIF(People!$U$5:$U$604,$B621&amp;"")&gt;0,"✓ logged","→ add"))</f>
        <v/>
      </c>
      <c r="H621">
        <f>IFERROR(IF(INDEX(FormData,618,f_Id)&amp;""="","",618),"")</f>
        <v/>
      </c>
      <c r="I621" s="16">
        <f>IF($H621="","",IFERROR(INDEX(FormData,$H621,f_Need)&amp;"",""))</f>
        <v/>
      </c>
    </row>
    <row r="622">
      <c r="A622" s="14" t="n">
        <v>618</v>
      </c>
      <c r="B622" s="14">
        <f>IF($H622="","",INDEX(FormData,$H622,f_Id))</f>
        <v/>
      </c>
      <c r="C622" s="15">
        <f>IF($H622="","",IFERROR(INDEX(FormData,$H622,f_Time),""))</f>
        <v/>
      </c>
      <c r="D622" s="14">
        <f>IF($H622="","",IFERROR(UPPER(LEFT(TRIM(INDEX(FormData,$H622,f_Name)),1)&amp;IFERROR(MID(TRIM(INDEX(FormData,$H622,f_Name)),FIND("^",SUBSTITUTE(TRIM(INDEX(FormData,$H622,f_Name))," ","^",LEN(TRIM(INDEX(FormData,$H622,f_Name)))-LEN(SUBSTITUTE(TRIM(INDEX(FormData,$H622,f_Name))," ",""))))+1,1),"")),""))</f>
        <v/>
      </c>
      <c r="E622" s="16">
        <f>IF($H622="","",IFERROR(INDEX(EvID,MATCH(INDEX(FormData,$H622,f_Event),EvID,0)),IFERROR(INDEX(EvID,MATCH(INDEX(FormData,$H622,f_Event),EvName,0)),IFERROR(INDEX(EvID,MATCH(INT($C622),EvDate,0)),"(no event that day)"))))</f>
        <v/>
      </c>
      <c r="F622" s="16">
        <f>IF($H622="","",IFERROR(IF(SUMPRODUCT(MAX((WhoKW&lt;&gt;"")*ISNUMBER(SEARCH(WhoKW,INDEX(FormData,$H622,f_Who)&amp;""))*(ROW(WhoKW)-MIN(ROW(WhoKW))+1)))=0,"",INDEX(WhoVal,SUMPRODUCT(MAX((WhoKW&lt;&gt;"")*ISNUMBER(SEARCH(WhoKW,INDEX(FormData,$H622,f_Who)&amp;""))*(ROW(WhoKW)-MIN(ROW(WhoKW))+1))))),""))</f>
        <v/>
      </c>
      <c r="G622" s="14">
        <f>IF($H622="","",IF(COUNTIF(People!$U$5:$U$604,$B622)+COUNTIF(People!$U$5:$U$604,$B622&amp;"")&gt;0,"✓ logged","→ add"))</f>
        <v/>
      </c>
      <c r="H622">
        <f>IFERROR(IF(INDEX(FormData,619,f_Id)&amp;""="","",619),"")</f>
        <v/>
      </c>
      <c r="I622" s="16">
        <f>IF($H622="","",IFERROR(INDEX(FormData,$H622,f_Need)&amp;"",""))</f>
        <v/>
      </c>
    </row>
    <row r="623">
      <c r="A623" s="14" t="n">
        <v>619</v>
      </c>
      <c r="B623" s="14">
        <f>IF($H623="","",INDEX(FormData,$H623,f_Id))</f>
        <v/>
      </c>
      <c r="C623" s="15">
        <f>IF($H623="","",IFERROR(INDEX(FormData,$H623,f_Time),""))</f>
        <v/>
      </c>
      <c r="D623" s="14">
        <f>IF($H623="","",IFERROR(UPPER(LEFT(TRIM(INDEX(FormData,$H623,f_Name)),1)&amp;IFERROR(MID(TRIM(INDEX(FormData,$H623,f_Name)),FIND("^",SUBSTITUTE(TRIM(INDEX(FormData,$H623,f_Name))," ","^",LEN(TRIM(INDEX(FormData,$H623,f_Name)))-LEN(SUBSTITUTE(TRIM(INDEX(FormData,$H623,f_Name))," ",""))))+1,1),"")),""))</f>
        <v/>
      </c>
      <c r="E623" s="16">
        <f>IF($H623="","",IFERROR(INDEX(EvID,MATCH(INDEX(FormData,$H623,f_Event),EvID,0)),IFERROR(INDEX(EvID,MATCH(INDEX(FormData,$H623,f_Event),EvName,0)),IFERROR(INDEX(EvID,MATCH(INT($C623),EvDate,0)),"(no event that day)"))))</f>
        <v/>
      </c>
      <c r="F623" s="16">
        <f>IF($H623="","",IFERROR(IF(SUMPRODUCT(MAX((WhoKW&lt;&gt;"")*ISNUMBER(SEARCH(WhoKW,INDEX(FormData,$H623,f_Who)&amp;""))*(ROW(WhoKW)-MIN(ROW(WhoKW))+1)))=0,"",INDEX(WhoVal,SUMPRODUCT(MAX((WhoKW&lt;&gt;"")*ISNUMBER(SEARCH(WhoKW,INDEX(FormData,$H623,f_Who)&amp;""))*(ROW(WhoKW)-MIN(ROW(WhoKW))+1))))),""))</f>
        <v/>
      </c>
      <c r="G623" s="14">
        <f>IF($H623="","",IF(COUNTIF(People!$U$5:$U$604,$B623)+COUNTIF(People!$U$5:$U$604,$B623&amp;"")&gt;0,"✓ logged","→ add"))</f>
        <v/>
      </c>
      <c r="H623">
        <f>IFERROR(IF(INDEX(FormData,620,f_Id)&amp;""="","",620),"")</f>
        <v/>
      </c>
      <c r="I623" s="16">
        <f>IF($H623="","",IFERROR(INDEX(FormData,$H623,f_Need)&amp;"",""))</f>
        <v/>
      </c>
    </row>
    <row r="624">
      <c r="A624" s="14" t="n">
        <v>620</v>
      </c>
      <c r="B624" s="14">
        <f>IF($H624="","",INDEX(FormData,$H624,f_Id))</f>
        <v/>
      </c>
      <c r="C624" s="15">
        <f>IF($H624="","",IFERROR(INDEX(FormData,$H624,f_Time),""))</f>
        <v/>
      </c>
      <c r="D624" s="14">
        <f>IF($H624="","",IFERROR(UPPER(LEFT(TRIM(INDEX(FormData,$H624,f_Name)),1)&amp;IFERROR(MID(TRIM(INDEX(FormData,$H624,f_Name)),FIND("^",SUBSTITUTE(TRIM(INDEX(FormData,$H624,f_Name))," ","^",LEN(TRIM(INDEX(FormData,$H624,f_Name)))-LEN(SUBSTITUTE(TRIM(INDEX(FormData,$H624,f_Name))," ",""))))+1,1),"")),""))</f>
        <v/>
      </c>
      <c r="E624" s="16">
        <f>IF($H624="","",IFERROR(INDEX(EvID,MATCH(INDEX(FormData,$H624,f_Event),EvID,0)),IFERROR(INDEX(EvID,MATCH(INDEX(FormData,$H624,f_Event),EvName,0)),IFERROR(INDEX(EvID,MATCH(INT($C624),EvDate,0)),"(no event that day)"))))</f>
        <v/>
      </c>
      <c r="F624" s="16">
        <f>IF($H624="","",IFERROR(IF(SUMPRODUCT(MAX((WhoKW&lt;&gt;"")*ISNUMBER(SEARCH(WhoKW,INDEX(FormData,$H624,f_Who)&amp;""))*(ROW(WhoKW)-MIN(ROW(WhoKW))+1)))=0,"",INDEX(WhoVal,SUMPRODUCT(MAX((WhoKW&lt;&gt;"")*ISNUMBER(SEARCH(WhoKW,INDEX(FormData,$H624,f_Who)&amp;""))*(ROW(WhoKW)-MIN(ROW(WhoKW))+1))))),""))</f>
        <v/>
      </c>
      <c r="G624" s="14">
        <f>IF($H624="","",IF(COUNTIF(People!$U$5:$U$604,$B624)+COUNTIF(People!$U$5:$U$604,$B624&amp;"")&gt;0,"✓ logged","→ add"))</f>
        <v/>
      </c>
      <c r="H624">
        <f>IFERROR(IF(INDEX(FormData,621,f_Id)&amp;""="","",621),"")</f>
        <v/>
      </c>
      <c r="I624" s="16">
        <f>IF($H624="","",IFERROR(INDEX(FormData,$H624,f_Need)&amp;"",""))</f>
        <v/>
      </c>
    </row>
    <row r="625">
      <c r="A625" s="14" t="n">
        <v>621</v>
      </c>
      <c r="B625" s="14">
        <f>IF($H625="","",INDEX(FormData,$H625,f_Id))</f>
        <v/>
      </c>
      <c r="C625" s="15">
        <f>IF($H625="","",IFERROR(INDEX(FormData,$H625,f_Time),""))</f>
        <v/>
      </c>
      <c r="D625" s="14">
        <f>IF($H625="","",IFERROR(UPPER(LEFT(TRIM(INDEX(FormData,$H625,f_Name)),1)&amp;IFERROR(MID(TRIM(INDEX(FormData,$H625,f_Name)),FIND("^",SUBSTITUTE(TRIM(INDEX(FormData,$H625,f_Name))," ","^",LEN(TRIM(INDEX(FormData,$H625,f_Name)))-LEN(SUBSTITUTE(TRIM(INDEX(FormData,$H625,f_Name))," ",""))))+1,1),"")),""))</f>
        <v/>
      </c>
      <c r="E625" s="16">
        <f>IF($H625="","",IFERROR(INDEX(EvID,MATCH(INDEX(FormData,$H625,f_Event),EvID,0)),IFERROR(INDEX(EvID,MATCH(INDEX(FormData,$H625,f_Event),EvName,0)),IFERROR(INDEX(EvID,MATCH(INT($C625),EvDate,0)),"(no event that day)"))))</f>
        <v/>
      </c>
      <c r="F625" s="16">
        <f>IF($H625="","",IFERROR(IF(SUMPRODUCT(MAX((WhoKW&lt;&gt;"")*ISNUMBER(SEARCH(WhoKW,INDEX(FormData,$H625,f_Who)&amp;""))*(ROW(WhoKW)-MIN(ROW(WhoKW))+1)))=0,"",INDEX(WhoVal,SUMPRODUCT(MAX((WhoKW&lt;&gt;"")*ISNUMBER(SEARCH(WhoKW,INDEX(FormData,$H625,f_Who)&amp;""))*(ROW(WhoKW)-MIN(ROW(WhoKW))+1))))),""))</f>
        <v/>
      </c>
      <c r="G625" s="14">
        <f>IF($H625="","",IF(COUNTIF(People!$U$5:$U$604,$B625)+COUNTIF(People!$U$5:$U$604,$B625&amp;"")&gt;0,"✓ logged","→ add"))</f>
        <v/>
      </c>
      <c r="H625">
        <f>IFERROR(IF(INDEX(FormData,622,f_Id)&amp;""="","",622),"")</f>
        <v/>
      </c>
      <c r="I625" s="16">
        <f>IF($H625="","",IFERROR(INDEX(FormData,$H625,f_Need)&amp;"",""))</f>
        <v/>
      </c>
    </row>
    <row r="626">
      <c r="A626" s="14" t="n">
        <v>622</v>
      </c>
      <c r="B626" s="14">
        <f>IF($H626="","",INDEX(FormData,$H626,f_Id))</f>
        <v/>
      </c>
      <c r="C626" s="15">
        <f>IF($H626="","",IFERROR(INDEX(FormData,$H626,f_Time),""))</f>
        <v/>
      </c>
      <c r="D626" s="14">
        <f>IF($H626="","",IFERROR(UPPER(LEFT(TRIM(INDEX(FormData,$H626,f_Name)),1)&amp;IFERROR(MID(TRIM(INDEX(FormData,$H626,f_Name)),FIND("^",SUBSTITUTE(TRIM(INDEX(FormData,$H626,f_Name))," ","^",LEN(TRIM(INDEX(FormData,$H626,f_Name)))-LEN(SUBSTITUTE(TRIM(INDEX(FormData,$H626,f_Name))," ",""))))+1,1),"")),""))</f>
        <v/>
      </c>
      <c r="E626" s="16">
        <f>IF($H626="","",IFERROR(INDEX(EvID,MATCH(INDEX(FormData,$H626,f_Event),EvID,0)),IFERROR(INDEX(EvID,MATCH(INDEX(FormData,$H626,f_Event),EvName,0)),IFERROR(INDEX(EvID,MATCH(INT($C626),EvDate,0)),"(no event that day)"))))</f>
        <v/>
      </c>
      <c r="F626" s="16">
        <f>IF($H626="","",IFERROR(IF(SUMPRODUCT(MAX((WhoKW&lt;&gt;"")*ISNUMBER(SEARCH(WhoKW,INDEX(FormData,$H626,f_Who)&amp;""))*(ROW(WhoKW)-MIN(ROW(WhoKW))+1)))=0,"",INDEX(WhoVal,SUMPRODUCT(MAX((WhoKW&lt;&gt;"")*ISNUMBER(SEARCH(WhoKW,INDEX(FormData,$H626,f_Who)&amp;""))*(ROW(WhoKW)-MIN(ROW(WhoKW))+1))))),""))</f>
        <v/>
      </c>
      <c r="G626" s="14">
        <f>IF($H626="","",IF(COUNTIF(People!$U$5:$U$604,$B626)+COUNTIF(People!$U$5:$U$604,$B626&amp;"")&gt;0,"✓ logged","→ add"))</f>
        <v/>
      </c>
      <c r="H626">
        <f>IFERROR(IF(INDEX(FormData,623,f_Id)&amp;""="","",623),"")</f>
        <v/>
      </c>
      <c r="I626" s="16">
        <f>IF($H626="","",IFERROR(INDEX(FormData,$H626,f_Need)&amp;"",""))</f>
        <v/>
      </c>
    </row>
    <row r="627">
      <c r="A627" s="14" t="n">
        <v>623</v>
      </c>
      <c r="B627" s="14">
        <f>IF($H627="","",INDEX(FormData,$H627,f_Id))</f>
        <v/>
      </c>
      <c r="C627" s="15">
        <f>IF($H627="","",IFERROR(INDEX(FormData,$H627,f_Time),""))</f>
        <v/>
      </c>
      <c r="D627" s="14">
        <f>IF($H627="","",IFERROR(UPPER(LEFT(TRIM(INDEX(FormData,$H627,f_Name)),1)&amp;IFERROR(MID(TRIM(INDEX(FormData,$H627,f_Name)),FIND("^",SUBSTITUTE(TRIM(INDEX(FormData,$H627,f_Name))," ","^",LEN(TRIM(INDEX(FormData,$H627,f_Name)))-LEN(SUBSTITUTE(TRIM(INDEX(FormData,$H627,f_Name))," ",""))))+1,1),"")),""))</f>
        <v/>
      </c>
      <c r="E627" s="16">
        <f>IF($H627="","",IFERROR(INDEX(EvID,MATCH(INDEX(FormData,$H627,f_Event),EvID,0)),IFERROR(INDEX(EvID,MATCH(INDEX(FormData,$H627,f_Event),EvName,0)),IFERROR(INDEX(EvID,MATCH(INT($C627),EvDate,0)),"(no event that day)"))))</f>
        <v/>
      </c>
      <c r="F627" s="16">
        <f>IF($H627="","",IFERROR(IF(SUMPRODUCT(MAX((WhoKW&lt;&gt;"")*ISNUMBER(SEARCH(WhoKW,INDEX(FormData,$H627,f_Who)&amp;""))*(ROW(WhoKW)-MIN(ROW(WhoKW))+1)))=0,"",INDEX(WhoVal,SUMPRODUCT(MAX((WhoKW&lt;&gt;"")*ISNUMBER(SEARCH(WhoKW,INDEX(FormData,$H627,f_Who)&amp;""))*(ROW(WhoKW)-MIN(ROW(WhoKW))+1))))),""))</f>
        <v/>
      </c>
      <c r="G627" s="14">
        <f>IF($H627="","",IF(COUNTIF(People!$U$5:$U$604,$B627)+COUNTIF(People!$U$5:$U$604,$B627&amp;"")&gt;0,"✓ logged","→ add"))</f>
        <v/>
      </c>
      <c r="H627">
        <f>IFERROR(IF(INDEX(FormData,624,f_Id)&amp;""="","",624),"")</f>
        <v/>
      </c>
      <c r="I627" s="16">
        <f>IF($H627="","",IFERROR(INDEX(FormData,$H627,f_Need)&amp;"",""))</f>
        <v/>
      </c>
    </row>
    <row r="628">
      <c r="A628" s="14" t="n">
        <v>624</v>
      </c>
      <c r="B628" s="14">
        <f>IF($H628="","",INDEX(FormData,$H628,f_Id))</f>
        <v/>
      </c>
      <c r="C628" s="15">
        <f>IF($H628="","",IFERROR(INDEX(FormData,$H628,f_Time),""))</f>
        <v/>
      </c>
      <c r="D628" s="14">
        <f>IF($H628="","",IFERROR(UPPER(LEFT(TRIM(INDEX(FormData,$H628,f_Name)),1)&amp;IFERROR(MID(TRIM(INDEX(FormData,$H628,f_Name)),FIND("^",SUBSTITUTE(TRIM(INDEX(FormData,$H628,f_Name))," ","^",LEN(TRIM(INDEX(FormData,$H628,f_Name)))-LEN(SUBSTITUTE(TRIM(INDEX(FormData,$H628,f_Name))," ",""))))+1,1),"")),""))</f>
        <v/>
      </c>
      <c r="E628" s="16">
        <f>IF($H628="","",IFERROR(INDEX(EvID,MATCH(INDEX(FormData,$H628,f_Event),EvID,0)),IFERROR(INDEX(EvID,MATCH(INDEX(FormData,$H628,f_Event),EvName,0)),IFERROR(INDEX(EvID,MATCH(INT($C628),EvDate,0)),"(no event that day)"))))</f>
        <v/>
      </c>
      <c r="F628" s="16">
        <f>IF($H628="","",IFERROR(IF(SUMPRODUCT(MAX((WhoKW&lt;&gt;"")*ISNUMBER(SEARCH(WhoKW,INDEX(FormData,$H628,f_Who)&amp;""))*(ROW(WhoKW)-MIN(ROW(WhoKW))+1)))=0,"",INDEX(WhoVal,SUMPRODUCT(MAX((WhoKW&lt;&gt;"")*ISNUMBER(SEARCH(WhoKW,INDEX(FormData,$H628,f_Who)&amp;""))*(ROW(WhoKW)-MIN(ROW(WhoKW))+1))))),""))</f>
        <v/>
      </c>
      <c r="G628" s="14">
        <f>IF($H628="","",IF(COUNTIF(People!$U$5:$U$604,$B628)+COUNTIF(People!$U$5:$U$604,$B628&amp;"")&gt;0,"✓ logged","→ add"))</f>
        <v/>
      </c>
      <c r="H628">
        <f>IFERROR(IF(INDEX(FormData,625,f_Id)&amp;""="","",625),"")</f>
        <v/>
      </c>
      <c r="I628" s="16">
        <f>IF($H628="","",IFERROR(INDEX(FormData,$H628,f_Need)&amp;"",""))</f>
        <v/>
      </c>
    </row>
    <row r="629">
      <c r="A629" s="14" t="n">
        <v>625</v>
      </c>
      <c r="B629" s="14">
        <f>IF($H629="","",INDEX(FormData,$H629,f_Id))</f>
        <v/>
      </c>
      <c r="C629" s="15">
        <f>IF($H629="","",IFERROR(INDEX(FormData,$H629,f_Time),""))</f>
        <v/>
      </c>
      <c r="D629" s="14">
        <f>IF($H629="","",IFERROR(UPPER(LEFT(TRIM(INDEX(FormData,$H629,f_Name)),1)&amp;IFERROR(MID(TRIM(INDEX(FormData,$H629,f_Name)),FIND("^",SUBSTITUTE(TRIM(INDEX(FormData,$H629,f_Name))," ","^",LEN(TRIM(INDEX(FormData,$H629,f_Name)))-LEN(SUBSTITUTE(TRIM(INDEX(FormData,$H629,f_Name))," ",""))))+1,1),"")),""))</f>
        <v/>
      </c>
      <c r="E629" s="16">
        <f>IF($H629="","",IFERROR(INDEX(EvID,MATCH(INDEX(FormData,$H629,f_Event),EvID,0)),IFERROR(INDEX(EvID,MATCH(INDEX(FormData,$H629,f_Event),EvName,0)),IFERROR(INDEX(EvID,MATCH(INT($C629),EvDate,0)),"(no event that day)"))))</f>
        <v/>
      </c>
      <c r="F629" s="16">
        <f>IF($H629="","",IFERROR(IF(SUMPRODUCT(MAX((WhoKW&lt;&gt;"")*ISNUMBER(SEARCH(WhoKW,INDEX(FormData,$H629,f_Who)&amp;""))*(ROW(WhoKW)-MIN(ROW(WhoKW))+1)))=0,"",INDEX(WhoVal,SUMPRODUCT(MAX((WhoKW&lt;&gt;"")*ISNUMBER(SEARCH(WhoKW,INDEX(FormData,$H629,f_Who)&amp;""))*(ROW(WhoKW)-MIN(ROW(WhoKW))+1))))),""))</f>
        <v/>
      </c>
      <c r="G629" s="14">
        <f>IF($H629="","",IF(COUNTIF(People!$U$5:$U$604,$B629)+COUNTIF(People!$U$5:$U$604,$B629&amp;"")&gt;0,"✓ logged","→ add"))</f>
        <v/>
      </c>
      <c r="H629">
        <f>IFERROR(IF(INDEX(FormData,626,f_Id)&amp;""="","",626),"")</f>
        <v/>
      </c>
      <c r="I629" s="16">
        <f>IF($H629="","",IFERROR(INDEX(FormData,$H629,f_Need)&amp;"",""))</f>
        <v/>
      </c>
    </row>
    <row r="630">
      <c r="A630" s="14" t="n">
        <v>626</v>
      </c>
      <c r="B630" s="14">
        <f>IF($H630="","",INDEX(FormData,$H630,f_Id))</f>
        <v/>
      </c>
      <c r="C630" s="15">
        <f>IF($H630="","",IFERROR(INDEX(FormData,$H630,f_Time),""))</f>
        <v/>
      </c>
      <c r="D630" s="14">
        <f>IF($H630="","",IFERROR(UPPER(LEFT(TRIM(INDEX(FormData,$H630,f_Name)),1)&amp;IFERROR(MID(TRIM(INDEX(FormData,$H630,f_Name)),FIND("^",SUBSTITUTE(TRIM(INDEX(FormData,$H630,f_Name))," ","^",LEN(TRIM(INDEX(FormData,$H630,f_Name)))-LEN(SUBSTITUTE(TRIM(INDEX(FormData,$H630,f_Name))," ",""))))+1,1),"")),""))</f>
        <v/>
      </c>
      <c r="E630" s="16">
        <f>IF($H630="","",IFERROR(INDEX(EvID,MATCH(INDEX(FormData,$H630,f_Event),EvID,0)),IFERROR(INDEX(EvID,MATCH(INDEX(FormData,$H630,f_Event),EvName,0)),IFERROR(INDEX(EvID,MATCH(INT($C630),EvDate,0)),"(no event that day)"))))</f>
        <v/>
      </c>
      <c r="F630" s="16">
        <f>IF($H630="","",IFERROR(IF(SUMPRODUCT(MAX((WhoKW&lt;&gt;"")*ISNUMBER(SEARCH(WhoKW,INDEX(FormData,$H630,f_Who)&amp;""))*(ROW(WhoKW)-MIN(ROW(WhoKW))+1)))=0,"",INDEX(WhoVal,SUMPRODUCT(MAX((WhoKW&lt;&gt;"")*ISNUMBER(SEARCH(WhoKW,INDEX(FormData,$H630,f_Who)&amp;""))*(ROW(WhoKW)-MIN(ROW(WhoKW))+1))))),""))</f>
        <v/>
      </c>
      <c r="G630" s="14">
        <f>IF($H630="","",IF(COUNTIF(People!$U$5:$U$604,$B630)+COUNTIF(People!$U$5:$U$604,$B630&amp;"")&gt;0,"✓ logged","→ add"))</f>
        <v/>
      </c>
      <c r="H630">
        <f>IFERROR(IF(INDEX(FormData,627,f_Id)&amp;""="","",627),"")</f>
        <v/>
      </c>
      <c r="I630" s="16">
        <f>IF($H630="","",IFERROR(INDEX(FormData,$H630,f_Need)&amp;"",""))</f>
        <v/>
      </c>
    </row>
    <row r="631">
      <c r="A631" s="14" t="n">
        <v>627</v>
      </c>
      <c r="B631" s="14">
        <f>IF($H631="","",INDEX(FormData,$H631,f_Id))</f>
        <v/>
      </c>
      <c r="C631" s="15">
        <f>IF($H631="","",IFERROR(INDEX(FormData,$H631,f_Time),""))</f>
        <v/>
      </c>
      <c r="D631" s="14">
        <f>IF($H631="","",IFERROR(UPPER(LEFT(TRIM(INDEX(FormData,$H631,f_Name)),1)&amp;IFERROR(MID(TRIM(INDEX(FormData,$H631,f_Name)),FIND("^",SUBSTITUTE(TRIM(INDEX(FormData,$H631,f_Name))," ","^",LEN(TRIM(INDEX(FormData,$H631,f_Name)))-LEN(SUBSTITUTE(TRIM(INDEX(FormData,$H631,f_Name))," ",""))))+1,1),"")),""))</f>
        <v/>
      </c>
      <c r="E631" s="16">
        <f>IF($H631="","",IFERROR(INDEX(EvID,MATCH(INDEX(FormData,$H631,f_Event),EvID,0)),IFERROR(INDEX(EvID,MATCH(INDEX(FormData,$H631,f_Event),EvName,0)),IFERROR(INDEX(EvID,MATCH(INT($C631),EvDate,0)),"(no event that day)"))))</f>
        <v/>
      </c>
      <c r="F631" s="16">
        <f>IF($H631="","",IFERROR(IF(SUMPRODUCT(MAX((WhoKW&lt;&gt;"")*ISNUMBER(SEARCH(WhoKW,INDEX(FormData,$H631,f_Who)&amp;""))*(ROW(WhoKW)-MIN(ROW(WhoKW))+1)))=0,"",INDEX(WhoVal,SUMPRODUCT(MAX((WhoKW&lt;&gt;"")*ISNUMBER(SEARCH(WhoKW,INDEX(FormData,$H631,f_Who)&amp;""))*(ROW(WhoKW)-MIN(ROW(WhoKW))+1))))),""))</f>
        <v/>
      </c>
      <c r="G631" s="14">
        <f>IF($H631="","",IF(COUNTIF(People!$U$5:$U$604,$B631)+COUNTIF(People!$U$5:$U$604,$B631&amp;"")&gt;0,"✓ logged","→ add"))</f>
        <v/>
      </c>
      <c r="H631">
        <f>IFERROR(IF(INDEX(FormData,628,f_Id)&amp;""="","",628),"")</f>
        <v/>
      </c>
      <c r="I631" s="16">
        <f>IF($H631="","",IFERROR(INDEX(FormData,$H631,f_Need)&amp;"",""))</f>
        <v/>
      </c>
    </row>
    <row r="632">
      <c r="A632" s="14" t="n">
        <v>628</v>
      </c>
      <c r="B632" s="14">
        <f>IF($H632="","",INDEX(FormData,$H632,f_Id))</f>
        <v/>
      </c>
      <c r="C632" s="15">
        <f>IF($H632="","",IFERROR(INDEX(FormData,$H632,f_Time),""))</f>
        <v/>
      </c>
      <c r="D632" s="14">
        <f>IF($H632="","",IFERROR(UPPER(LEFT(TRIM(INDEX(FormData,$H632,f_Name)),1)&amp;IFERROR(MID(TRIM(INDEX(FormData,$H632,f_Name)),FIND("^",SUBSTITUTE(TRIM(INDEX(FormData,$H632,f_Name))," ","^",LEN(TRIM(INDEX(FormData,$H632,f_Name)))-LEN(SUBSTITUTE(TRIM(INDEX(FormData,$H632,f_Name))," ",""))))+1,1),"")),""))</f>
        <v/>
      </c>
      <c r="E632" s="16">
        <f>IF($H632="","",IFERROR(INDEX(EvID,MATCH(INDEX(FormData,$H632,f_Event),EvID,0)),IFERROR(INDEX(EvID,MATCH(INDEX(FormData,$H632,f_Event),EvName,0)),IFERROR(INDEX(EvID,MATCH(INT($C632),EvDate,0)),"(no event that day)"))))</f>
        <v/>
      </c>
      <c r="F632" s="16">
        <f>IF($H632="","",IFERROR(IF(SUMPRODUCT(MAX((WhoKW&lt;&gt;"")*ISNUMBER(SEARCH(WhoKW,INDEX(FormData,$H632,f_Who)&amp;""))*(ROW(WhoKW)-MIN(ROW(WhoKW))+1)))=0,"",INDEX(WhoVal,SUMPRODUCT(MAX((WhoKW&lt;&gt;"")*ISNUMBER(SEARCH(WhoKW,INDEX(FormData,$H632,f_Who)&amp;""))*(ROW(WhoKW)-MIN(ROW(WhoKW))+1))))),""))</f>
        <v/>
      </c>
      <c r="G632" s="14">
        <f>IF($H632="","",IF(COUNTIF(People!$U$5:$U$604,$B632)+COUNTIF(People!$U$5:$U$604,$B632&amp;"")&gt;0,"✓ logged","→ add"))</f>
        <v/>
      </c>
      <c r="H632">
        <f>IFERROR(IF(INDEX(FormData,629,f_Id)&amp;""="","",629),"")</f>
        <v/>
      </c>
      <c r="I632" s="16">
        <f>IF($H632="","",IFERROR(INDEX(FormData,$H632,f_Need)&amp;"",""))</f>
        <v/>
      </c>
    </row>
    <row r="633">
      <c r="A633" s="14" t="n">
        <v>629</v>
      </c>
      <c r="B633" s="14">
        <f>IF($H633="","",INDEX(FormData,$H633,f_Id))</f>
        <v/>
      </c>
      <c r="C633" s="15">
        <f>IF($H633="","",IFERROR(INDEX(FormData,$H633,f_Time),""))</f>
        <v/>
      </c>
      <c r="D633" s="14">
        <f>IF($H633="","",IFERROR(UPPER(LEFT(TRIM(INDEX(FormData,$H633,f_Name)),1)&amp;IFERROR(MID(TRIM(INDEX(FormData,$H633,f_Name)),FIND("^",SUBSTITUTE(TRIM(INDEX(FormData,$H633,f_Name))," ","^",LEN(TRIM(INDEX(FormData,$H633,f_Name)))-LEN(SUBSTITUTE(TRIM(INDEX(FormData,$H633,f_Name))," ",""))))+1,1),"")),""))</f>
        <v/>
      </c>
      <c r="E633" s="16">
        <f>IF($H633="","",IFERROR(INDEX(EvID,MATCH(INDEX(FormData,$H633,f_Event),EvID,0)),IFERROR(INDEX(EvID,MATCH(INDEX(FormData,$H633,f_Event),EvName,0)),IFERROR(INDEX(EvID,MATCH(INT($C633),EvDate,0)),"(no event that day)"))))</f>
        <v/>
      </c>
      <c r="F633" s="16">
        <f>IF($H633="","",IFERROR(IF(SUMPRODUCT(MAX((WhoKW&lt;&gt;"")*ISNUMBER(SEARCH(WhoKW,INDEX(FormData,$H633,f_Who)&amp;""))*(ROW(WhoKW)-MIN(ROW(WhoKW))+1)))=0,"",INDEX(WhoVal,SUMPRODUCT(MAX((WhoKW&lt;&gt;"")*ISNUMBER(SEARCH(WhoKW,INDEX(FormData,$H633,f_Who)&amp;""))*(ROW(WhoKW)-MIN(ROW(WhoKW))+1))))),""))</f>
        <v/>
      </c>
      <c r="G633" s="14">
        <f>IF($H633="","",IF(COUNTIF(People!$U$5:$U$604,$B633)+COUNTIF(People!$U$5:$U$604,$B633&amp;"")&gt;0,"✓ logged","→ add"))</f>
        <v/>
      </c>
      <c r="H633">
        <f>IFERROR(IF(INDEX(FormData,630,f_Id)&amp;""="","",630),"")</f>
        <v/>
      </c>
      <c r="I633" s="16">
        <f>IF($H633="","",IFERROR(INDEX(FormData,$H633,f_Need)&amp;"",""))</f>
        <v/>
      </c>
    </row>
    <row r="634">
      <c r="A634" s="14" t="n">
        <v>630</v>
      </c>
      <c r="B634" s="14">
        <f>IF($H634="","",INDEX(FormData,$H634,f_Id))</f>
        <v/>
      </c>
      <c r="C634" s="15">
        <f>IF($H634="","",IFERROR(INDEX(FormData,$H634,f_Time),""))</f>
        <v/>
      </c>
      <c r="D634" s="14">
        <f>IF($H634="","",IFERROR(UPPER(LEFT(TRIM(INDEX(FormData,$H634,f_Name)),1)&amp;IFERROR(MID(TRIM(INDEX(FormData,$H634,f_Name)),FIND("^",SUBSTITUTE(TRIM(INDEX(FormData,$H634,f_Name))," ","^",LEN(TRIM(INDEX(FormData,$H634,f_Name)))-LEN(SUBSTITUTE(TRIM(INDEX(FormData,$H634,f_Name))," ",""))))+1,1),"")),""))</f>
        <v/>
      </c>
      <c r="E634" s="16">
        <f>IF($H634="","",IFERROR(INDEX(EvID,MATCH(INDEX(FormData,$H634,f_Event),EvID,0)),IFERROR(INDEX(EvID,MATCH(INDEX(FormData,$H634,f_Event),EvName,0)),IFERROR(INDEX(EvID,MATCH(INT($C634),EvDate,0)),"(no event that day)"))))</f>
        <v/>
      </c>
      <c r="F634" s="16">
        <f>IF($H634="","",IFERROR(IF(SUMPRODUCT(MAX((WhoKW&lt;&gt;"")*ISNUMBER(SEARCH(WhoKW,INDEX(FormData,$H634,f_Who)&amp;""))*(ROW(WhoKW)-MIN(ROW(WhoKW))+1)))=0,"",INDEX(WhoVal,SUMPRODUCT(MAX((WhoKW&lt;&gt;"")*ISNUMBER(SEARCH(WhoKW,INDEX(FormData,$H634,f_Who)&amp;""))*(ROW(WhoKW)-MIN(ROW(WhoKW))+1))))),""))</f>
        <v/>
      </c>
      <c r="G634" s="14">
        <f>IF($H634="","",IF(COUNTIF(People!$U$5:$U$604,$B634)+COUNTIF(People!$U$5:$U$604,$B634&amp;"")&gt;0,"✓ logged","→ add"))</f>
        <v/>
      </c>
      <c r="H634">
        <f>IFERROR(IF(INDEX(FormData,631,f_Id)&amp;""="","",631),"")</f>
        <v/>
      </c>
      <c r="I634" s="16">
        <f>IF($H634="","",IFERROR(INDEX(FormData,$H634,f_Need)&amp;"",""))</f>
        <v/>
      </c>
    </row>
    <row r="635">
      <c r="A635" s="14" t="n">
        <v>631</v>
      </c>
      <c r="B635" s="14">
        <f>IF($H635="","",INDEX(FormData,$H635,f_Id))</f>
        <v/>
      </c>
      <c r="C635" s="15">
        <f>IF($H635="","",IFERROR(INDEX(FormData,$H635,f_Time),""))</f>
        <v/>
      </c>
      <c r="D635" s="14">
        <f>IF($H635="","",IFERROR(UPPER(LEFT(TRIM(INDEX(FormData,$H635,f_Name)),1)&amp;IFERROR(MID(TRIM(INDEX(FormData,$H635,f_Name)),FIND("^",SUBSTITUTE(TRIM(INDEX(FormData,$H635,f_Name))," ","^",LEN(TRIM(INDEX(FormData,$H635,f_Name)))-LEN(SUBSTITUTE(TRIM(INDEX(FormData,$H635,f_Name))," ",""))))+1,1),"")),""))</f>
        <v/>
      </c>
      <c r="E635" s="16">
        <f>IF($H635="","",IFERROR(INDEX(EvID,MATCH(INDEX(FormData,$H635,f_Event),EvID,0)),IFERROR(INDEX(EvID,MATCH(INDEX(FormData,$H635,f_Event),EvName,0)),IFERROR(INDEX(EvID,MATCH(INT($C635),EvDate,0)),"(no event that day)"))))</f>
        <v/>
      </c>
      <c r="F635" s="16">
        <f>IF($H635="","",IFERROR(IF(SUMPRODUCT(MAX((WhoKW&lt;&gt;"")*ISNUMBER(SEARCH(WhoKW,INDEX(FormData,$H635,f_Who)&amp;""))*(ROW(WhoKW)-MIN(ROW(WhoKW))+1)))=0,"",INDEX(WhoVal,SUMPRODUCT(MAX((WhoKW&lt;&gt;"")*ISNUMBER(SEARCH(WhoKW,INDEX(FormData,$H635,f_Who)&amp;""))*(ROW(WhoKW)-MIN(ROW(WhoKW))+1))))),""))</f>
        <v/>
      </c>
      <c r="G635" s="14">
        <f>IF($H635="","",IF(COUNTIF(People!$U$5:$U$604,$B635)+COUNTIF(People!$U$5:$U$604,$B635&amp;"")&gt;0,"✓ logged","→ add"))</f>
        <v/>
      </c>
      <c r="H635">
        <f>IFERROR(IF(INDEX(FormData,632,f_Id)&amp;""="","",632),"")</f>
        <v/>
      </c>
      <c r="I635" s="16">
        <f>IF($H635="","",IFERROR(INDEX(FormData,$H635,f_Need)&amp;"",""))</f>
        <v/>
      </c>
    </row>
    <row r="636">
      <c r="A636" s="14" t="n">
        <v>632</v>
      </c>
      <c r="B636" s="14">
        <f>IF($H636="","",INDEX(FormData,$H636,f_Id))</f>
        <v/>
      </c>
      <c r="C636" s="15">
        <f>IF($H636="","",IFERROR(INDEX(FormData,$H636,f_Time),""))</f>
        <v/>
      </c>
      <c r="D636" s="14">
        <f>IF($H636="","",IFERROR(UPPER(LEFT(TRIM(INDEX(FormData,$H636,f_Name)),1)&amp;IFERROR(MID(TRIM(INDEX(FormData,$H636,f_Name)),FIND("^",SUBSTITUTE(TRIM(INDEX(FormData,$H636,f_Name))," ","^",LEN(TRIM(INDEX(FormData,$H636,f_Name)))-LEN(SUBSTITUTE(TRIM(INDEX(FormData,$H636,f_Name))," ",""))))+1,1),"")),""))</f>
        <v/>
      </c>
      <c r="E636" s="16">
        <f>IF($H636="","",IFERROR(INDEX(EvID,MATCH(INDEX(FormData,$H636,f_Event),EvID,0)),IFERROR(INDEX(EvID,MATCH(INDEX(FormData,$H636,f_Event),EvName,0)),IFERROR(INDEX(EvID,MATCH(INT($C636),EvDate,0)),"(no event that day)"))))</f>
        <v/>
      </c>
      <c r="F636" s="16">
        <f>IF($H636="","",IFERROR(IF(SUMPRODUCT(MAX((WhoKW&lt;&gt;"")*ISNUMBER(SEARCH(WhoKW,INDEX(FormData,$H636,f_Who)&amp;""))*(ROW(WhoKW)-MIN(ROW(WhoKW))+1)))=0,"",INDEX(WhoVal,SUMPRODUCT(MAX((WhoKW&lt;&gt;"")*ISNUMBER(SEARCH(WhoKW,INDEX(FormData,$H636,f_Who)&amp;""))*(ROW(WhoKW)-MIN(ROW(WhoKW))+1))))),""))</f>
        <v/>
      </c>
      <c r="G636" s="14">
        <f>IF($H636="","",IF(COUNTIF(People!$U$5:$U$604,$B636)+COUNTIF(People!$U$5:$U$604,$B636&amp;"")&gt;0,"✓ logged","→ add"))</f>
        <v/>
      </c>
      <c r="H636">
        <f>IFERROR(IF(INDEX(FormData,633,f_Id)&amp;""="","",633),"")</f>
        <v/>
      </c>
      <c r="I636" s="16">
        <f>IF($H636="","",IFERROR(INDEX(FormData,$H636,f_Need)&amp;"",""))</f>
        <v/>
      </c>
    </row>
    <row r="637">
      <c r="A637" s="14" t="n">
        <v>633</v>
      </c>
      <c r="B637" s="14">
        <f>IF($H637="","",INDEX(FormData,$H637,f_Id))</f>
        <v/>
      </c>
      <c r="C637" s="15">
        <f>IF($H637="","",IFERROR(INDEX(FormData,$H637,f_Time),""))</f>
        <v/>
      </c>
      <c r="D637" s="14">
        <f>IF($H637="","",IFERROR(UPPER(LEFT(TRIM(INDEX(FormData,$H637,f_Name)),1)&amp;IFERROR(MID(TRIM(INDEX(FormData,$H637,f_Name)),FIND("^",SUBSTITUTE(TRIM(INDEX(FormData,$H637,f_Name))," ","^",LEN(TRIM(INDEX(FormData,$H637,f_Name)))-LEN(SUBSTITUTE(TRIM(INDEX(FormData,$H637,f_Name))," ",""))))+1,1),"")),""))</f>
        <v/>
      </c>
      <c r="E637" s="16">
        <f>IF($H637="","",IFERROR(INDEX(EvID,MATCH(INDEX(FormData,$H637,f_Event),EvID,0)),IFERROR(INDEX(EvID,MATCH(INDEX(FormData,$H637,f_Event),EvName,0)),IFERROR(INDEX(EvID,MATCH(INT($C637),EvDate,0)),"(no event that day)"))))</f>
        <v/>
      </c>
      <c r="F637" s="16">
        <f>IF($H637="","",IFERROR(IF(SUMPRODUCT(MAX((WhoKW&lt;&gt;"")*ISNUMBER(SEARCH(WhoKW,INDEX(FormData,$H637,f_Who)&amp;""))*(ROW(WhoKW)-MIN(ROW(WhoKW))+1)))=0,"",INDEX(WhoVal,SUMPRODUCT(MAX((WhoKW&lt;&gt;"")*ISNUMBER(SEARCH(WhoKW,INDEX(FormData,$H637,f_Who)&amp;""))*(ROW(WhoKW)-MIN(ROW(WhoKW))+1))))),""))</f>
        <v/>
      </c>
      <c r="G637" s="14">
        <f>IF($H637="","",IF(COUNTIF(People!$U$5:$U$604,$B637)+COUNTIF(People!$U$5:$U$604,$B637&amp;"")&gt;0,"✓ logged","→ add"))</f>
        <v/>
      </c>
      <c r="H637">
        <f>IFERROR(IF(INDEX(FormData,634,f_Id)&amp;""="","",634),"")</f>
        <v/>
      </c>
      <c r="I637" s="16">
        <f>IF($H637="","",IFERROR(INDEX(FormData,$H637,f_Need)&amp;"",""))</f>
        <v/>
      </c>
    </row>
    <row r="638">
      <c r="A638" s="14" t="n">
        <v>634</v>
      </c>
      <c r="B638" s="14">
        <f>IF($H638="","",INDEX(FormData,$H638,f_Id))</f>
        <v/>
      </c>
      <c r="C638" s="15">
        <f>IF($H638="","",IFERROR(INDEX(FormData,$H638,f_Time),""))</f>
        <v/>
      </c>
      <c r="D638" s="14">
        <f>IF($H638="","",IFERROR(UPPER(LEFT(TRIM(INDEX(FormData,$H638,f_Name)),1)&amp;IFERROR(MID(TRIM(INDEX(FormData,$H638,f_Name)),FIND("^",SUBSTITUTE(TRIM(INDEX(FormData,$H638,f_Name))," ","^",LEN(TRIM(INDEX(FormData,$H638,f_Name)))-LEN(SUBSTITUTE(TRIM(INDEX(FormData,$H638,f_Name))," ",""))))+1,1),"")),""))</f>
        <v/>
      </c>
      <c r="E638" s="16">
        <f>IF($H638="","",IFERROR(INDEX(EvID,MATCH(INDEX(FormData,$H638,f_Event),EvID,0)),IFERROR(INDEX(EvID,MATCH(INDEX(FormData,$H638,f_Event),EvName,0)),IFERROR(INDEX(EvID,MATCH(INT($C638),EvDate,0)),"(no event that day)"))))</f>
        <v/>
      </c>
      <c r="F638" s="16">
        <f>IF($H638="","",IFERROR(IF(SUMPRODUCT(MAX((WhoKW&lt;&gt;"")*ISNUMBER(SEARCH(WhoKW,INDEX(FormData,$H638,f_Who)&amp;""))*(ROW(WhoKW)-MIN(ROW(WhoKW))+1)))=0,"",INDEX(WhoVal,SUMPRODUCT(MAX((WhoKW&lt;&gt;"")*ISNUMBER(SEARCH(WhoKW,INDEX(FormData,$H638,f_Who)&amp;""))*(ROW(WhoKW)-MIN(ROW(WhoKW))+1))))),""))</f>
        <v/>
      </c>
      <c r="G638" s="14">
        <f>IF($H638="","",IF(COUNTIF(People!$U$5:$U$604,$B638)+COUNTIF(People!$U$5:$U$604,$B638&amp;"")&gt;0,"✓ logged","→ add"))</f>
        <v/>
      </c>
      <c r="H638">
        <f>IFERROR(IF(INDEX(FormData,635,f_Id)&amp;""="","",635),"")</f>
        <v/>
      </c>
      <c r="I638" s="16">
        <f>IF($H638="","",IFERROR(INDEX(FormData,$H638,f_Need)&amp;"",""))</f>
        <v/>
      </c>
    </row>
    <row r="639">
      <c r="A639" s="14" t="n">
        <v>635</v>
      </c>
      <c r="B639" s="14">
        <f>IF($H639="","",INDEX(FormData,$H639,f_Id))</f>
        <v/>
      </c>
      <c r="C639" s="15">
        <f>IF($H639="","",IFERROR(INDEX(FormData,$H639,f_Time),""))</f>
        <v/>
      </c>
      <c r="D639" s="14">
        <f>IF($H639="","",IFERROR(UPPER(LEFT(TRIM(INDEX(FormData,$H639,f_Name)),1)&amp;IFERROR(MID(TRIM(INDEX(FormData,$H639,f_Name)),FIND("^",SUBSTITUTE(TRIM(INDEX(FormData,$H639,f_Name))," ","^",LEN(TRIM(INDEX(FormData,$H639,f_Name)))-LEN(SUBSTITUTE(TRIM(INDEX(FormData,$H639,f_Name))," ",""))))+1,1),"")),""))</f>
        <v/>
      </c>
      <c r="E639" s="16">
        <f>IF($H639="","",IFERROR(INDEX(EvID,MATCH(INDEX(FormData,$H639,f_Event),EvID,0)),IFERROR(INDEX(EvID,MATCH(INDEX(FormData,$H639,f_Event),EvName,0)),IFERROR(INDEX(EvID,MATCH(INT($C639),EvDate,0)),"(no event that day)"))))</f>
        <v/>
      </c>
      <c r="F639" s="16">
        <f>IF($H639="","",IFERROR(IF(SUMPRODUCT(MAX((WhoKW&lt;&gt;"")*ISNUMBER(SEARCH(WhoKW,INDEX(FormData,$H639,f_Who)&amp;""))*(ROW(WhoKW)-MIN(ROW(WhoKW))+1)))=0,"",INDEX(WhoVal,SUMPRODUCT(MAX((WhoKW&lt;&gt;"")*ISNUMBER(SEARCH(WhoKW,INDEX(FormData,$H639,f_Who)&amp;""))*(ROW(WhoKW)-MIN(ROW(WhoKW))+1))))),""))</f>
        <v/>
      </c>
      <c r="G639" s="14">
        <f>IF($H639="","",IF(COUNTIF(People!$U$5:$U$604,$B639)+COUNTIF(People!$U$5:$U$604,$B639&amp;"")&gt;0,"✓ logged","→ add"))</f>
        <v/>
      </c>
      <c r="H639">
        <f>IFERROR(IF(INDEX(FormData,636,f_Id)&amp;""="","",636),"")</f>
        <v/>
      </c>
      <c r="I639" s="16">
        <f>IF($H639="","",IFERROR(INDEX(FormData,$H639,f_Need)&amp;"",""))</f>
        <v/>
      </c>
    </row>
    <row r="640">
      <c r="A640" s="14" t="n">
        <v>636</v>
      </c>
      <c r="B640" s="14">
        <f>IF($H640="","",INDEX(FormData,$H640,f_Id))</f>
        <v/>
      </c>
      <c r="C640" s="15">
        <f>IF($H640="","",IFERROR(INDEX(FormData,$H640,f_Time),""))</f>
        <v/>
      </c>
      <c r="D640" s="14">
        <f>IF($H640="","",IFERROR(UPPER(LEFT(TRIM(INDEX(FormData,$H640,f_Name)),1)&amp;IFERROR(MID(TRIM(INDEX(FormData,$H640,f_Name)),FIND("^",SUBSTITUTE(TRIM(INDEX(FormData,$H640,f_Name))," ","^",LEN(TRIM(INDEX(FormData,$H640,f_Name)))-LEN(SUBSTITUTE(TRIM(INDEX(FormData,$H640,f_Name))," ",""))))+1,1),"")),""))</f>
        <v/>
      </c>
      <c r="E640" s="16">
        <f>IF($H640="","",IFERROR(INDEX(EvID,MATCH(INDEX(FormData,$H640,f_Event),EvID,0)),IFERROR(INDEX(EvID,MATCH(INDEX(FormData,$H640,f_Event),EvName,0)),IFERROR(INDEX(EvID,MATCH(INT($C640),EvDate,0)),"(no event that day)"))))</f>
        <v/>
      </c>
      <c r="F640" s="16">
        <f>IF($H640="","",IFERROR(IF(SUMPRODUCT(MAX((WhoKW&lt;&gt;"")*ISNUMBER(SEARCH(WhoKW,INDEX(FormData,$H640,f_Who)&amp;""))*(ROW(WhoKW)-MIN(ROW(WhoKW))+1)))=0,"",INDEX(WhoVal,SUMPRODUCT(MAX((WhoKW&lt;&gt;"")*ISNUMBER(SEARCH(WhoKW,INDEX(FormData,$H640,f_Who)&amp;""))*(ROW(WhoKW)-MIN(ROW(WhoKW))+1))))),""))</f>
        <v/>
      </c>
      <c r="G640" s="14">
        <f>IF($H640="","",IF(COUNTIF(People!$U$5:$U$604,$B640)+COUNTIF(People!$U$5:$U$604,$B640&amp;"")&gt;0,"✓ logged","→ add"))</f>
        <v/>
      </c>
      <c r="H640">
        <f>IFERROR(IF(INDEX(FormData,637,f_Id)&amp;""="","",637),"")</f>
        <v/>
      </c>
      <c r="I640" s="16">
        <f>IF($H640="","",IFERROR(INDEX(FormData,$H640,f_Need)&amp;"",""))</f>
        <v/>
      </c>
    </row>
    <row r="641">
      <c r="A641" s="14" t="n">
        <v>637</v>
      </c>
      <c r="B641" s="14">
        <f>IF($H641="","",INDEX(FormData,$H641,f_Id))</f>
        <v/>
      </c>
      <c r="C641" s="15">
        <f>IF($H641="","",IFERROR(INDEX(FormData,$H641,f_Time),""))</f>
        <v/>
      </c>
      <c r="D641" s="14">
        <f>IF($H641="","",IFERROR(UPPER(LEFT(TRIM(INDEX(FormData,$H641,f_Name)),1)&amp;IFERROR(MID(TRIM(INDEX(FormData,$H641,f_Name)),FIND("^",SUBSTITUTE(TRIM(INDEX(FormData,$H641,f_Name))," ","^",LEN(TRIM(INDEX(FormData,$H641,f_Name)))-LEN(SUBSTITUTE(TRIM(INDEX(FormData,$H641,f_Name))," ",""))))+1,1),"")),""))</f>
        <v/>
      </c>
      <c r="E641" s="16">
        <f>IF($H641="","",IFERROR(INDEX(EvID,MATCH(INDEX(FormData,$H641,f_Event),EvID,0)),IFERROR(INDEX(EvID,MATCH(INDEX(FormData,$H641,f_Event),EvName,0)),IFERROR(INDEX(EvID,MATCH(INT($C641),EvDate,0)),"(no event that day)"))))</f>
        <v/>
      </c>
      <c r="F641" s="16">
        <f>IF($H641="","",IFERROR(IF(SUMPRODUCT(MAX((WhoKW&lt;&gt;"")*ISNUMBER(SEARCH(WhoKW,INDEX(FormData,$H641,f_Who)&amp;""))*(ROW(WhoKW)-MIN(ROW(WhoKW))+1)))=0,"",INDEX(WhoVal,SUMPRODUCT(MAX((WhoKW&lt;&gt;"")*ISNUMBER(SEARCH(WhoKW,INDEX(FormData,$H641,f_Who)&amp;""))*(ROW(WhoKW)-MIN(ROW(WhoKW))+1))))),""))</f>
        <v/>
      </c>
      <c r="G641" s="14">
        <f>IF($H641="","",IF(COUNTIF(People!$U$5:$U$604,$B641)+COUNTIF(People!$U$5:$U$604,$B641&amp;"")&gt;0,"✓ logged","→ add"))</f>
        <v/>
      </c>
      <c r="H641">
        <f>IFERROR(IF(INDEX(FormData,638,f_Id)&amp;""="","",638),"")</f>
        <v/>
      </c>
      <c r="I641" s="16">
        <f>IF($H641="","",IFERROR(INDEX(FormData,$H641,f_Need)&amp;"",""))</f>
        <v/>
      </c>
    </row>
    <row r="642">
      <c r="A642" s="14" t="n">
        <v>638</v>
      </c>
      <c r="B642" s="14">
        <f>IF($H642="","",INDEX(FormData,$H642,f_Id))</f>
        <v/>
      </c>
      <c r="C642" s="15">
        <f>IF($H642="","",IFERROR(INDEX(FormData,$H642,f_Time),""))</f>
        <v/>
      </c>
      <c r="D642" s="14">
        <f>IF($H642="","",IFERROR(UPPER(LEFT(TRIM(INDEX(FormData,$H642,f_Name)),1)&amp;IFERROR(MID(TRIM(INDEX(FormData,$H642,f_Name)),FIND("^",SUBSTITUTE(TRIM(INDEX(FormData,$H642,f_Name))," ","^",LEN(TRIM(INDEX(FormData,$H642,f_Name)))-LEN(SUBSTITUTE(TRIM(INDEX(FormData,$H642,f_Name))," ",""))))+1,1),"")),""))</f>
        <v/>
      </c>
      <c r="E642" s="16">
        <f>IF($H642="","",IFERROR(INDEX(EvID,MATCH(INDEX(FormData,$H642,f_Event),EvID,0)),IFERROR(INDEX(EvID,MATCH(INDEX(FormData,$H642,f_Event),EvName,0)),IFERROR(INDEX(EvID,MATCH(INT($C642),EvDate,0)),"(no event that day)"))))</f>
        <v/>
      </c>
      <c r="F642" s="16">
        <f>IF($H642="","",IFERROR(IF(SUMPRODUCT(MAX((WhoKW&lt;&gt;"")*ISNUMBER(SEARCH(WhoKW,INDEX(FormData,$H642,f_Who)&amp;""))*(ROW(WhoKW)-MIN(ROW(WhoKW))+1)))=0,"",INDEX(WhoVal,SUMPRODUCT(MAX((WhoKW&lt;&gt;"")*ISNUMBER(SEARCH(WhoKW,INDEX(FormData,$H642,f_Who)&amp;""))*(ROW(WhoKW)-MIN(ROW(WhoKW))+1))))),""))</f>
        <v/>
      </c>
      <c r="G642" s="14">
        <f>IF($H642="","",IF(COUNTIF(People!$U$5:$U$604,$B642)+COUNTIF(People!$U$5:$U$604,$B642&amp;"")&gt;0,"✓ logged","→ add"))</f>
        <v/>
      </c>
      <c r="H642">
        <f>IFERROR(IF(INDEX(FormData,639,f_Id)&amp;""="","",639),"")</f>
        <v/>
      </c>
      <c r="I642" s="16">
        <f>IF($H642="","",IFERROR(INDEX(FormData,$H642,f_Need)&amp;"",""))</f>
        <v/>
      </c>
    </row>
    <row r="643">
      <c r="A643" s="14" t="n">
        <v>639</v>
      </c>
      <c r="B643" s="14">
        <f>IF($H643="","",INDEX(FormData,$H643,f_Id))</f>
        <v/>
      </c>
      <c r="C643" s="15">
        <f>IF($H643="","",IFERROR(INDEX(FormData,$H643,f_Time),""))</f>
        <v/>
      </c>
      <c r="D643" s="14">
        <f>IF($H643="","",IFERROR(UPPER(LEFT(TRIM(INDEX(FormData,$H643,f_Name)),1)&amp;IFERROR(MID(TRIM(INDEX(FormData,$H643,f_Name)),FIND("^",SUBSTITUTE(TRIM(INDEX(FormData,$H643,f_Name))," ","^",LEN(TRIM(INDEX(FormData,$H643,f_Name)))-LEN(SUBSTITUTE(TRIM(INDEX(FormData,$H643,f_Name))," ",""))))+1,1),"")),""))</f>
        <v/>
      </c>
      <c r="E643" s="16">
        <f>IF($H643="","",IFERROR(INDEX(EvID,MATCH(INDEX(FormData,$H643,f_Event),EvID,0)),IFERROR(INDEX(EvID,MATCH(INDEX(FormData,$H643,f_Event),EvName,0)),IFERROR(INDEX(EvID,MATCH(INT($C643),EvDate,0)),"(no event that day)"))))</f>
        <v/>
      </c>
      <c r="F643" s="16">
        <f>IF($H643="","",IFERROR(IF(SUMPRODUCT(MAX((WhoKW&lt;&gt;"")*ISNUMBER(SEARCH(WhoKW,INDEX(FormData,$H643,f_Who)&amp;""))*(ROW(WhoKW)-MIN(ROW(WhoKW))+1)))=0,"",INDEX(WhoVal,SUMPRODUCT(MAX((WhoKW&lt;&gt;"")*ISNUMBER(SEARCH(WhoKW,INDEX(FormData,$H643,f_Who)&amp;""))*(ROW(WhoKW)-MIN(ROW(WhoKW))+1))))),""))</f>
        <v/>
      </c>
      <c r="G643" s="14">
        <f>IF($H643="","",IF(COUNTIF(People!$U$5:$U$604,$B643)+COUNTIF(People!$U$5:$U$604,$B643&amp;"")&gt;0,"✓ logged","→ add"))</f>
        <v/>
      </c>
      <c r="H643">
        <f>IFERROR(IF(INDEX(FormData,640,f_Id)&amp;""="","",640),"")</f>
        <v/>
      </c>
      <c r="I643" s="16">
        <f>IF($H643="","",IFERROR(INDEX(FormData,$H643,f_Need)&amp;"",""))</f>
        <v/>
      </c>
    </row>
    <row r="644">
      <c r="A644" s="14" t="n">
        <v>640</v>
      </c>
      <c r="B644" s="14">
        <f>IF($H644="","",INDEX(FormData,$H644,f_Id))</f>
        <v/>
      </c>
      <c r="C644" s="15">
        <f>IF($H644="","",IFERROR(INDEX(FormData,$H644,f_Time),""))</f>
        <v/>
      </c>
      <c r="D644" s="14">
        <f>IF($H644="","",IFERROR(UPPER(LEFT(TRIM(INDEX(FormData,$H644,f_Name)),1)&amp;IFERROR(MID(TRIM(INDEX(FormData,$H644,f_Name)),FIND("^",SUBSTITUTE(TRIM(INDEX(FormData,$H644,f_Name))," ","^",LEN(TRIM(INDEX(FormData,$H644,f_Name)))-LEN(SUBSTITUTE(TRIM(INDEX(FormData,$H644,f_Name))," ",""))))+1,1),"")),""))</f>
        <v/>
      </c>
      <c r="E644" s="16">
        <f>IF($H644="","",IFERROR(INDEX(EvID,MATCH(INDEX(FormData,$H644,f_Event),EvID,0)),IFERROR(INDEX(EvID,MATCH(INDEX(FormData,$H644,f_Event),EvName,0)),IFERROR(INDEX(EvID,MATCH(INT($C644),EvDate,0)),"(no event that day)"))))</f>
        <v/>
      </c>
      <c r="F644" s="16">
        <f>IF($H644="","",IFERROR(IF(SUMPRODUCT(MAX((WhoKW&lt;&gt;"")*ISNUMBER(SEARCH(WhoKW,INDEX(FormData,$H644,f_Who)&amp;""))*(ROW(WhoKW)-MIN(ROW(WhoKW))+1)))=0,"",INDEX(WhoVal,SUMPRODUCT(MAX((WhoKW&lt;&gt;"")*ISNUMBER(SEARCH(WhoKW,INDEX(FormData,$H644,f_Who)&amp;""))*(ROW(WhoKW)-MIN(ROW(WhoKW))+1))))),""))</f>
        <v/>
      </c>
      <c r="G644" s="14">
        <f>IF($H644="","",IF(COUNTIF(People!$U$5:$U$604,$B644)+COUNTIF(People!$U$5:$U$604,$B644&amp;"")&gt;0,"✓ logged","→ add"))</f>
        <v/>
      </c>
      <c r="H644">
        <f>IFERROR(IF(INDEX(FormData,641,f_Id)&amp;""="","",641),"")</f>
        <v/>
      </c>
      <c r="I644" s="16">
        <f>IF($H644="","",IFERROR(INDEX(FormData,$H644,f_Need)&amp;"",""))</f>
        <v/>
      </c>
    </row>
    <row r="645">
      <c r="A645" s="14" t="n">
        <v>641</v>
      </c>
      <c r="B645" s="14">
        <f>IF($H645="","",INDEX(FormData,$H645,f_Id))</f>
        <v/>
      </c>
      <c r="C645" s="15">
        <f>IF($H645="","",IFERROR(INDEX(FormData,$H645,f_Time),""))</f>
        <v/>
      </c>
      <c r="D645" s="14">
        <f>IF($H645="","",IFERROR(UPPER(LEFT(TRIM(INDEX(FormData,$H645,f_Name)),1)&amp;IFERROR(MID(TRIM(INDEX(FormData,$H645,f_Name)),FIND("^",SUBSTITUTE(TRIM(INDEX(FormData,$H645,f_Name))," ","^",LEN(TRIM(INDEX(FormData,$H645,f_Name)))-LEN(SUBSTITUTE(TRIM(INDEX(FormData,$H645,f_Name))," ",""))))+1,1),"")),""))</f>
        <v/>
      </c>
      <c r="E645" s="16">
        <f>IF($H645="","",IFERROR(INDEX(EvID,MATCH(INDEX(FormData,$H645,f_Event),EvID,0)),IFERROR(INDEX(EvID,MATCH(INDEX(FormData,$H645,f_Event),EvName,0)),IFERROR(INDEX(EvID,MATCH(INT($C645),EvDate,0)),"(no event that day)"))))</f>
        <v/>
      </c>
      <c r="F645" s="16">
        <f>IF($H645="","",IFERROR(IF(SUMPRODUCT(MAX((WhoKW&lt;&gt;"")*ISNUMBER(SEARCH(WhoKW,INDEX(FormData,$H645,f_Who)&amp;""))*(ROW(WhoKW)-MIN(ROW(WhoKW))+1)))=0,"",INDEX(WhoVal,SUMPRODUCT(MAX((WhoKW&lt;&gt;"")*ISNUMBER(SEARCH(WhoKW,INDEX(FormData,$H645,f_Who)&amp;""))*(ROW(WhoKW)-MIN(ROW(WhoKW))+1))))),""))</f>
        <v/>
      </c>
      <c r="G645" s="14">
        <f>IF($H645="","",IF(COUNTIF(People!$U$5:$U$604,$B645)+COUNTIF(People!$U$5:$U$604,$B645&amp;"")&gt;0,"✓ logged","→ add"))</f>
        <v/>
      </c>
      <c r="H645">
        <f>IFERROR(IF(INDEX(FormData,642,f_Id)&amp;""="","",642),"")</f>
        <v/>
      </c>
      <c r="I645" s="16">
        <f>IF($H645="","",IFERROR(INDEX(FormData,$H645,f_Need)&amp;"",""))</f>
        <v/>
      </c>
    </row>
    <row r="646">
      <c r="A646" s="14" t="n">
        <v>642</v>
      </c>
      <c r="B646" s="14">
        <f>IF($H646="","",INDEX(FormData,$H646,f_Id))</f>
        <v/>
      </c>
      <c r="C646" s="15">
        <f>IF($H646="","",IFERROR(INDEX(FormData,$H646,f_Time),""))</f>
        <v/>
      </c>
      <c r="D646" s="14">
        <f>IF($H646="","",IFERROR(UPPER(LEFT(TRIM(INDEX(FormData,$H646,f_Name)),1)&amp;IFERROR(MID(TRIM(INDEX(FormData,$H646,f_Name)),FIND("^",SUBSTITUTE(TRIM(INDEX(FormData,$H646,f_Name))," ","^",LEN(TRIM(INDEX(FormData,$H646,f_Name)))-LEN(SUBSTITUTE(TRIM(INDEX(FormData,$H646,f_Name))," ",""))))+1,1),"")),""))</f>
        <v/>
      </c>
      <c r="E646" s="16">
        <f>IF($H646="","",IFERROR(INDEX(EvID,MATCH(INDEX(FormData,$H646,f_Event),EvID,0)),IFERROR(INDEX(EvID,MATCH(INDEX(FormData,$H646,f_Event),EvName,0)),IFERROR(INDEX(EvID,MATCH(INT($C646),EvDate,0)),"(no event that day)"))))</f>
        <v/>
      </c>
      <c r="F646" s="16">
        <f>IF($H646="","",IFERROR(IF(SUMPRODUCT(MAX((WhoKW&lt;&gt;"")*ISNUMBER(SEARCH(WhoKW,INDEX(FormData,$H646,f_Who)&amp;""))*(ROW(WhoKW)-MIN(ROW(WhoKW))+1)))=0,"",INDEX(WhoVal,SUMPRODUCT(MAX((WhoKW&lt;&gt;"")*ISNUMBER(SEARCH(WhoKW,INDEX(FormData,$H646,f_Who)&amp;""))*(ROW(WhoKW)-MIN(ROW(WhoKW))+1))))),""))</f>
        <v/>
      </c>
      <c r="G646" s="14">
        <f>IF($H646="","",IF(COUNTIF(People!$U$5:$U$604,$B646)+COUNTIF(People!$U$5:$U$604,$B646&amp;"")&gt;0,"✓ logged","→ add"))</f>
        <v/>
      </c>
      <c r="H646">
        <f>IFERROR(IF(INDEX(FormData,643,f_Id)&amp;""="","",643),"")</f>
        <v/>
      </c>
      <c r="I646" s="16">
        <f>IF($H646="","",IFERROR(INDEX(FormData,$H646,f_Need)&amp;"",""))</f>
        <v/>
      </c>
    </row>
    <row r="647">
      <c r="A647" s="14" t="n">
        <v>643</v>
      </c>
      <c r="B647" s="14">
        <f>IF($H647="","",INDEX(FormData,$H647,f_Id))</f>
        <v/>
      </c>
      <c r="C647" s="15">
        <f>IF($H647="","",IFERROR(INDEX(FormData,$H647,f_Time),""))</f>
        <v/>
      </c>
      <c r="D647" s="14">
        <f>IF($H647="","",IFERROR(UPPER(LEFT(TRIM(INDEX(FormData,$H647,f_Name)),1)&amp;IFERROR(MID(TRIM(INDEX(FormData,$H647,f_Name)),FIND("^",SUBSTITUTE(TRIM(INDEX(FormData,$H647,f_Name))," ","^",LEN(TRIM(INDEX(FormData,$H647,f_Name)))-LEN(SUBSTITUTE(TRIM(INDEX(FormData,$H647,f_Name))," ",""))))+1,1),"")),""))</f>
        <v/>
      </c>
      <c r="E647" s="16">
        <f>IF($H647="","",IFERROR(INDEX(EvID,MATCH(INDEX(FormData,$H647,f_Event),EvID,0)),IFERROR(INDEX(EvID,MATCH(INDEX(FormData,$H647,f_Event),EvName,0)),IFERROR(INDEX(EvID,MATCH(INT($C647),EvDate,0)),"(no event that day)"))))</f>
        <v/>
      </c>
      <c r="F647" s="16">
        <f>IF($H647="","",IFERROR(IF(SUMPRODUCT(MAX((WhoKW&lt;&gt;"")*ISNUMBER(SEARCH(WhoKW,INDEX(FormData,$H647,f_Who)&amp;""))*(ROW(WhoKW)-MIN(ROW(WhoKW))+1)))=0,"",INDEX(WhoVal,SUMPRODUCT(MAX((WhoKW&lt;&gt;"")*ISNUMBER(SEARCH(WhoKW,INDEX(FormData,$H647,f_Who)&amp;""))*(ROW(WhoKW)-MIN(ROW(WhoKW))+1))))),""))</f>
        <v/>
      </c>
      <c r="G647" s="14">
        <f>IF($H647="","",IF(COUNTIF(People!$U$5:$U$604,$B647)+COUNTIF(People!$U$5:$U$604,$B647&amp;"")&gt;0,"✓ logged","→ add"))</f>
        <v/>
      </c>
      <c r="H647">
        <f>IFERROR(IF(INDEX(FormData,644,f_Id)&amp;""="","",644),"")</f>
        <v/>
      </c>
      <c r="I647" s="16">
        <f>IF($H647="","",IFERROR(INDEX(FormData,$H647,f_Need)&amp;"",""))</f>
        <v/>
      </c>
    </row>
    <row r="648">
      <c r="A648" s="14" t="n">
        <v>644</v>
      </c>
      <c r="B648" s="14">
        <f>IF($H648="","",INDEX(FormData,$H648,f_Id))</f>
        <v/>
      </c>
      <c r="C648" s="15">
        <f>IF($H648="","",IFERROR(INDEX(FormData,$H648,f_Time),""))</f>
        <v/>
      </c>
      <c r="D648" s="14">
        <f>IF($H648="","",IFERROR(UPPER(LEFT(TRIM(INDEX(FormData,$H648,f_Name)),1)&amp;IFERROR(MID(TRIM(INDEX(FormData,$H648,f_Name)),FIND("^",SUBSTITUTE(TRIM(INDEX(FormData,$H648,f_Name))," ","^",LEN(TRIM(INDEX(FormData,$H648,f_Name)))-LEN(SUBSTITUTE(TRIM(INDEX(FormData,$H648,f_Name))," ",""))))+1,1),"")),""))</f>
        <v/>
      </c>
      <c r="E648" s="16">
        <f>IF($H648="","",IFERROR(INDEX(EvID,MATCH(INDEX(FormData,$H648,f_Event),EvID,0)),IFERROR(INDEX(EvID,MATCH(INDEX(FormData,$H648,f_Event),EvName,0)),IFERROR(INDEX(EvID,MATCH(INT($C648),EvDate,0)),"(no event that day)"))))</f>
        <v/>
      </c>
      <c r="F648" s="16">
        <f>IF($H648="","",IFERROR(IF(SUMPRODUCT(MAX((WhoKW&lt;&gt;"")*ISNUMBER(SEARCH(WhoKW,INDEX(FormData,$H648,f_Who)&amp;""))*(ROW(WhoKW)-MIN(ROW(WhoKW))+1)))=0,"",INDEX(WhoVal,SUMPRODUCT(MAX((WhoKW&lt;&gt;"")*ISNUMBER(SEARCH(WhoKW,INDEX(FormData,$H648,f_Who)&amp;""))*(ROW(WhoKW)-MIN(ROW(WhoKW))+1))))),""))</f>
        <v/>
      </c>
      <c r="G648" s="14">
        <f>IF($H648="","",IF(COUNTIF(People!$U$5:$U$604,$B648)+COUNTIF(People!$U$5:$U$604,$B648&amp;"")&gt;0,"✓ logged","→ add"))</f>
        <v/>
      </c>
      <c r="H648">
        <f>IFERROR(IF(INDEX(FormData,645,f_Id)&amp;""="","",645),"")</f>
        <v/>
      </c>
      <c r="I648" s="16">
        <f>IF($H648="","",IFERROR(INDEX(FormData,$H648,f_Need)&amp;"",""))</f>
        <v/>
      </c>
    </row>
    <row r="649">
      <c r="A649" s="14" t="n">
        <v>645</v>
      </c>
      <c r="B649" s="14">
        <f>IF($H649="","",INDEX(FormData,$H649,f_Id))</f>
        <v/>
      </c>
      <c r="C649" s="15">
        <f>IF($H649="","",IFERROR(INDEX(FormData,$H649,f_Time),""))</f>
        <v/>
      </c>
      <c r="D649" s="14">
        <f>IF($H649="","",IFERROR(UPPER(LEFT(TRIM(INDEX(FormData,$H649,f_Name)),1)&amp;IFERROR(MID(TRIM(INDEX(FormData,$H649,f_Name)),FIND("^",SUBSTITUTE(TRIM(INDEX(FormData,$H649,f_Name))," ","^",LEN(TRIM(INDEX(FormData,$H649,f_Name)))-LEN(SUBSTITUTE(TRIM(INDEX(FormData,$H649,f_Name))," ",""))))+1,1),"")),""))</f>
        <v/>
      </c>
      <c r="E649" s="16">
        <f>IF($H649="","",IFERROR(INDEX(EvID,MATCH(INDEX(FormData,$H649,f_Event),EvID,0)),IFERROR(INDEX(EvID,MATCH(INDEX(FormData,$H649,f_Event),EvName,0)),IFERROR(INDEX(EvID,MATCH(INT($C649),EvDate,0)),"(no event that day)"))))</f>
        <v/>
      </c>
      <c r="F649" s="16">
        <f>IF($H649="","",IFERROR(IF(SUMPRODUCT(MAX((WhoKW&lt;&gt;"")*ISNUMBER(SEARCH(WhoKW,INDEX(FormData,$H649,f_Who)&amp;""))*(ROW(WhoKW)-MIN(ROW(WhoKW))+1)))=0,"",INDEX(WhoVal,SUMPRODUCT(MAX((WhoKW&lt;&gt;"")*ISNUMBER(SEARCH(WhoKW,INDEX(FormData,$H649,f_Who)&amp;""))*(ROW(WhoKW)-MIN(ROW(WhoKW))+1))))),""))</f>
        <v/>
      </c>
      <c r="G649" s="14">
        <f>IF($H649="","",IF(COUNTIF(People!$U$5:$U$604,$B649)+COUNTIF(People!$U$5:$U$604,$B649&amp;"")&gt;0,"✓ logged","→ add"))</f>
        <v/>
      </c>
      <c r="H649">
        <f>IFERROR(IF(INDEX(FormData,646,f_Id)&amp;""="","",646),"")</f>
        <v/>
      </c>
      <c r="I649" s="16">
        <f>IF($H649="","",IFERROR(INDEX(FormData,$H649,f_Need)&amp;"",""))</f>
        <v/>
      </c>
    </row>
    <row r="650">
      <c r="A650" s="14" t="n">
        <v>646</v>
      </c>
      <c r="B650" s="14">
        <f>IF($H650="","",INDEX(FormData,$H650,f_Id))</f>
        <v/>
      </c>
      <c r="C650" s="15">
        <f>IF($H650="","",IFERROR(INDEX(FormData,$H650,f_Time),""))</f>
        <v/>
      </c>
      <c r="D650" s="14">
        <f>IF($H650="","",IFERROR(UPPER(LEFT(TRIM(INDEX(FormData,$H650,f_Name)),1)&amp;IFERROR(MID(TRIM(INDEX(FormData,$H650,f_Name)),FIND("^",SUBSTITUTE(TRIM(INDEX(FormData,$H650,f_Name))," ","^",LEN(TRIM(INDEX(FormData,$H650,f_Name)))-LEN(SUBSTITUTE(TRIM(INDEX(FormData,$H650,f_Name))," ",""))))+1,1),"")),""))</f>
        <v/>
      </c>
      <c r="E650" s="16">
        <f>IF($H650="","",IFERROR(INDEX(EvID,MATCH(INDEX(FormData,$H650,f_Event),EvID,0)),IFERROR(INDEX(EvID,MATCH(INDEX(FormData,$H650,f_Event),EvName,0)),IFERROR(INDEX(EvID,MATCH(INT($C650),EvDate,0)),"(no event that day)"))))</f>
        <v/>
      </c>
      <c r="F650" s="16">
        <f>IF($H650="","",IFERROR(IF(SUMPRODUCT(MAX((WhoKW&lt;&gt;"")*ISNUMBER(SEARCH(WhoKW,INDEX(FormData,$H650,f_Who)&amp;""))*(ROW(WhoKW)-MIN(ROW(WhoKW))+1)))=0,"",INDEX(WhoVal,SUMPRODUCT(MAX((WhoKW&lt;&gt;"")*ISNUMBER(SEARCH(WhoKW,INDEX(FormData,$H650,f_Who)&amp;""))*(ROW(WhoKW)-MIN(ROW(WhoKW))+1))))),""))</f>
        <v/>
      </c>
      <c r="G650" s="14">
        <f>IF($H650="","",IF(COUNTIF(People!$U$5:$U$604,$B650)+COUNTIF(People!$U$5:$U$604,$B650&amp;"")&gt;0,"✓ logged","→ add"))</f>
        <v/>
      </c>
      <c r="H650">
        <f>IFERROR(IF(INDEX(FormData,647,f_Id)&amp;""="","",647),"")</f>
        <v/>
      </c>
      <c r="I650" s="16">
        <f>IF($H650="","",IFERROR(INDEX(FormData,$H650,f_Need)&amp;"",""))</f>
        <v/>
      </c>
    </row>
    <row r="651">
      <c r="A651" s="14" t="n">
        <v>647</v>
      </c>
      <c r="B651" s="14">
        <f>IF($H651="","",INDEX(FormData,$H651,f_Id))</f>
        <v/>
      </c>
      <c r="C651" s="15">
        <f>IF($H651="","",IFERROR(INDEX(FormData,$H651,f_Time),""))</f>
        <v/>
      </c>
      <c r="D651" s="14">
        <f>IF($H651="","",IFERROR(UPPER(LEFT(TRIM(INDEX(FormData,$H651,f_Name)),1)&amp;IFERROR(MID(TRIM(INDEX(FormData,$H651,f_Name)),FIND("^",SUBSTITUTE(TRIM(INDEX(FormData,$H651,f_Name))," ","^",LEN(TRIM(INDEX(FormData,$H651,f_Name)))-LEN(SUBSTITUTE(TRIM(INDEX(FormData,$H651,f_Name))," ",""))))+1,1),"")),""))</f>
        <v/>
      </c>
      <c r="E651" s="16">
        <f>IF($H651="","",IFERROR(INDEX(EvID,MATCH(INDEX(FormData,$H651,f_Event),EvID,0)),IFERROR(INDEX(EvID,MATCH(INDEX(FormData,$H651,f_Event),EvName,0)),IFERROR(INDEX(EvID,MATCH(INT($C651),EvDate,0)),"(no event that day)"))))</f>
        <v/>
      </c>
      <c r="F651" s="16">
        <f>IF($H651="","",IFERROR(IF(SUMPRODUCT(MAX((WhoKW&lt;&gt;"")*ISNUMBER(SEARCH(WhoKW,INDEX(FormData,$H651,f_Who)&amp;""))*(ROW(WhoKW)-MIN(ROW(WhoKW))+1)))=0,"",INDEX(WhoVal,SUMPRODUCT(MAX((WhoKW&lt;&gt;"")*ISNUMBER(SEARCH(WhoKW,INDEX(FormData,$H651,f_Who)&amp;""))*(ROW(WhoKW)-MIN(ROW(WhoKW))+1))))),""))</f>
        <v/>
      </c>
      <c r="G651" s="14">
        <f>IF($H651="","",IF(COUNTIF(People!$U$5:$U$604,$B651)+COUNTIF(People!$U$5:$U$604,$B651&amp;"")&gt;0,"✓ logged","→ add"))</f>
        <v/>
      </c>
      <c r="H651">
        <f>IFERROR(IF(INDEX(FormData,648,f_Id)&amp;""="","",648),"")</f>
        <v/>
      </c>
      <c r="I651" s="16">
        <f>IF($H651="","",IFERROR(INDEX(FormData,$H651,f_Need)&amp;"",""))</f>
        <v/>
      </c>
    </row>
    <row r="652">
      <c r="A652" s="14" t="n">
        <v>648</v>
      </c>
      <c r="B652" s="14">
        <f>IF($H652="","",INDEX(FormData,$H652,f_Id))</f>
        <v/>
      </c>
      <c r="C652" s="15">
        <f>IF($H652="","",IFERROR(INDEX(FormData,$H652,f_Time),""))</f>
        <v/>
      </c>
      <c r="D652" s="14">
        <f>IF($H652="","",IFERROR(UPPER(LEFT(TRIM(INDEX(FormData,$H652,f_Name)),1)&amp;IFERROR(MID(TRIM(INDEX(FormData,$H652,f_Name)),FIND("^",SUBSTITUTE(TRIM(INDEX(FormData,$H652,f_Name))," ","^",LEN(TRIM(INDEX(FormData,$H652,f_Name)))-LEN(SUBSTITUTE(TRIM(INDEX(FormData,$H652,f_Name))," ",""))))+1,1),"")),""))</f>
        <v/>
      </c>
      <c r="E652" s="16">
        <f>IF($H652="","",IFERROR(INDEX(EvID,MATCH(INDEX(FormData,$H652,f_Event),EvID,0)),IFERROR(INDEX(EvID,MATCH(INDEX(FormData,$H652,f_Event),EvName,0)),IFERROR(INDEX(EvID,MATCH(INT($C652),EvDate,0)),"(no event that day)"))))</f>
        <v/>
      </c>
      <c r="F652" s="16">
        <f>IF($H652="","",IFERROR(IF(SUMPRODUCT(MAX((WhoKW&lt;&gt;"")*ISNUMBER(SEARCH(WhoKW,INDEX(FormData,$H652,f_Who)&amp;""))*(ROW(WhoKW)-MIN(ROW(WhoKW))+1)))=0,"",INDEX(WhoVal,SUMPRODUCT(MAX((WhoKW&lt;&gt;"")*ISNUMBER(SEARCH(WhoKW,INDEX(FormData,$H652,f_Who)&amp;""))*(ROW(WhoKW)-MIN(ROW(WhoKW))+1))))),""))</f>
        <v/>
      </c>
      <c r="G652" s="14">
        <f>IF($H652="","",IF(COUNTIF(People!$U$5:$U$604,$B652)+COUNTIF(People!$U$5:$U$604,$B652&amp;"")&gt;0,"✓ logged","→ add"))</f>
        <v/>
      </c>
      <c r="H652">
        <f>IFERROR(IF(INDEX(FormData,649,f_Id)&amp;""="","",649),"")</f>
        <v/>
      </c>
      <c r="I652" s="16">
        <f>IF($H652="","",IFERROR(INDEX(FormData,$H652,f_Need)&amp;"",""))</f>
        <v/>
      </c>
    </row>
    <row r="653">
      <c r="A653" s="14" t="n">
        <v>649</v>
      </c>
      <c r="B653" s="14">
        <f>IF($H653="","",INDEX(FormData,$H653,f_Id))</f>
        <v/>
      </c>
      <c r="C653" s="15">
        <f>IF($H653="","",IFERROR(INDEX(FormData,$H653,f_Time),""))</f>
        <v/>
      </c>
      <c r="D653" s="14">
        <f>IF($H653="","",IFERROR(UPPER(LEFT(TRIM(INDEX(FormData,$H653,f_Name)),1)&amp;IFERROR(MID(TRIM(INDEX(FormData,$H653,f_Name)),FIND("^",SUBSTITUTE(TRIM(INDEX(FormData,$H653,f_Name))," ","^",LEN(TRIM(INDEX(FormData,$H653,f_Name)))-LEN(SUBSTITUTE(TRIM(INDEX(FormData,$H653,f_Name))," ",""))))+1,1),"")),""))</f>
        <v/>
      </c>
      <c r="E653" s="16">
        <f>IF($H653="","",IFERROR(INDEX(EvID,MATCH(INDEX(FormData,$H653,f_Event),EvID,0)),IFERROR(INDEX(EvID,MATCH(INDEX(FormData,$H653,f_Event),EvName,0)),IFERROR(INDEX(EvID,MATCH(INT($C653),EvDate,0)),"(no event that day)"))))</f>
        <v/>
      </c>
      <c r="F653" s="16">
        <f>IF($H653="","",IFERROR(IF(SUMPRODUCT(MAX((WhoKW&lt;&gt;"")*ISNUMBER(SEARCH(WhoKW,INDEX(FormData,$H653,f_Who)&amp;""))*(ROW(WhoKW)-MIN(ROW(WhoKW))+1)))=0,"",INDEX(WhoVal,SUMPRODUCT(MAX((WhoKW&lt;&gt;"")*ISNUMBER(SEARCH(WhoKW,INDEX(FormData,$H653,f_Who)&amp;""))*(ROW(WhoKW)-MIN(ROW(WhoKW))+1))))),""))</f>
        <v/>
      </c>
      <c r="G653" s="14">
        <f>IF($H653="","",IF(COUNTIF(People!$U$5:$U$604,$B653)+COUNTIF(People!$U$5:$U$604,$B653&amp;"")&gt;0,"✓ logged","→ add"))</f>
        <v/>
      </c>
      <c r="H653">
        <f>IFERROR(IF(INDEX(FormData,650,f_Id)&amp;""="","",650),"")</f>
        <v/>
      </c>
      <c r="I653" s="16">
        <f>IF($H653="","",IFERROR(INDEX(FormData,$H653,f_Need)&amp;"",""))</f>
        <v/>
      </c>
    </row>
    <row r="654">
      <c r="A654" s="14" t="n">
        <v>650</v>
      </c>
      <c r="B654" s="14">
        <f>IF($H654="","",INDEX(FormData,$H654,f_Id))</f>
        <v/>
      </c>
      <c r="C654" s="15">
        <f>IF($H654="","",IFERROR(INDEX(FormData,$H654,f_Time),""))</f>
        <v/>
      </c>
      <c r="D654" s="14">
        <f>IF($H654="","",IFERROR(UPPER(LEFT(TRIM(INDEX(FormData,$H654,f_Name)),1)&amp;IFERROR(MID(TRIM(INDEX(FormData,$H654,f_Name)),FIND("^",SUBSTITUTE(TRIM(INDEX(FormData,$H654,f_Name))," ","^",LEN(TRIM(INDEX(FormData,$H654,f_Name)))-LEN(SUBSTITUTE(TRIM(INDEX(FormData,$H654,f_Name))," ",""))))+1,1),"")),""))</f>
        <v/>
      </c>
      <c r="E654" s="16">
        <f>IF($H654="","",IFERROR(INDEX(EvID,MATCH(INDEX(FormData,$H654,f_Event),EvID,0)),IFERROR(INDEX(EvID,MATCH(INDEX(FormData,$H654,f_Event),EvName,0)),IFERROR(INDEX(EvID,MATCH(INT($C654),EvDate,0)),"(no event that day)"))))</f>
        <v/>
      </c>
      <c r="F654" s="16">
        <f>IF($H654="","",IFERROR(IF(SUMPRODUCT(MAX((WhoKW&lt;&gt;"")*ISNUMBER(SEARCH(WhoKW,INDEX(FormData,$H654,f_Who)&amp;""))*(ROW(WhoKW)-MIN(ROW(WhoKW))+1)))=0,"",INDEX(WhoVal,SUMPRODUCT(MAX((WhoKW&lt;&gt;"")*ISNUMBER(SEARCH(WhoKW,INDEX(FormData,$H654,f_Who)&amp;""))*(ROW(WhoKW)-MIN(ROW(WhoKW))+1))))),""))</f>
        <v/>
      </c>
      <c r="G654" s="14">
        <f>IF($H654="","",IF(COUNTIF(People!$U$5:$U$604,$B654)+COUNTIF(People!$U$5:$U$604,$B654&amp;"")&gt;0,"✓ logged","→ add"))</f>
        <v/>
      </c>
      <c r="H654">
        <f>IFERROR(IF(INDEX(FormData,651,f_Id)&amp;""="","",651),"")</f>
        <v/>
      </c>
      <c r="I654" s="16">
        <f>IF($H654="","",IFERROR(INDEX(FormData,$H654,f_Need)&amp;"",""))</f>
        <v/>
      </c>
    </row>
    <row r="655">
      <c r="A655" s="14" t="n">
        <v>651</v>
      </c>
      <c r="B655" s="14">
        <f>IF($H655="","",INDEX(FormData,$H655,f_Id))</f>
        <v/>
      </c>
      <c r="C655" s="15">
        <f>IF($H655="","",IFERROR(INDEX(FormData,$H655,f_Time),""))</f>
        <v/>
      </c>
      <c r="D655" s="14">
        <f>IF($H655="","",IFERROR(UPPER(LEFT(TRIM(INDEX(FormData,$H655,f_Name)),1)&amp;IFERROR(MID(TRIM(INDEX(FormData,$H655,f_Name)),FIND("^",SUBSTITUTE(TRIM(INDEX(FormData,$H655,f_Name))," ","^",LEN(TRIM(INDEX(FormData,$H655,f_Name)))-LEN(SUBSTITUTE(TRIM(INDEX(FormData,$H655,f_Name))," ",""))))+1,1),"")),""))</f>
        <v/>
      </c>
      <c r="E655" s="16">
        <f>IF($H655="","",IFERROR(INDEX(EvID,MATCH(INDEX(FormData,$H655,f_Event),EvID,0)),IFERROR(INDEX(EvID,MATCH(INDEX(FormData,$H655,f_Event),EvName,0)),IFERROR(INDEX(EvID,MATCH(INT($C655),EvDate,0)),"(no event that day)"))))</f>
        <v/>
      </c>
      <c r="F655" s="16">
        <f>IF($H655="","",IFERROR(IF(SUMPRODUCT(MAX((WhoKW&lt;&gt;"")*ISNUMBER(SEARCH(WhoKW,INDEX(FormData,$H655,f_Who)&amp;""))*(ROW(WhoKW)-MIN(ROW(WhoKW))+1)))=0,"",INDEX(WhoVal,SUMPRODUCT(MAX((WhoKW&lt;&gt;"")*ISNUMBER(SEARCH(WhoKW,INDEX(FormData,$H655,f_Who)&amp;""))*(ROW(WhoKW)-MIN(ROW(WhoKW))+1))))),""))</f>
        <v/>
      </c>
      <c r="G655" s="14">
        <f>IF($H655="","",IF(COUNTIF(People!$U$5:$U$604,$B655)+COUNTIF(People!$U$5:$U$604,$B655&amp;"")&gt;0,"✓ logged","→ add"))</f>
        <v/>
      </c>
      <c r="H655">
        <f>IFERROR(IF(INDEX(FormData,652,f_Id)&amp;""="","",652),"")</f>
        <v/>
      </c>
      <c r="I655" s="16">
        <f>IF($H655="","",IFERROR(INDEX(FormData,$H655,f_Need)&amp;"",""))</f>
        <v/>
      </c>
    </row>
    <row r="656">
      <c r="A656" s="14" t="n">
        <v>652</v>
      </c>
      <c r="B656" s="14">
        <f>IF($H656="","",INDEX(FormData,$H656,f_Id))</f>
        <v/>
      </c>
      <c r="C656" s="15">
        <f>IF($H656="","",IFERROR(INDEX(FormData,$H656,f_Time),""))</f>
        <v/>
      </c>
      <c r="D656" s="14">
        <f>IF($H656="","",IFERROR(UPPER(LEFT(TRIM(INDEX(FormData,$H656,f_Name)),1)&amp;IFERROR(MID(TRIM(INDEX(FormData,$H656,f_Name)),FIND("^",SUBSTITUTE(TRIM(INDEX(FormData,$H656,f_Name))," ","^",LEN(TRIM(INDEX(FormData,$H656,f_Name)))-LEN(SUBSTITUTE(TRIM(INDEX(FormData,$H656,f_Name))," ",""))))+1,1),"")),""))</f>
        <v/>
      </c>
      <c r="E656" s="16">
        <f>IF($H656="","",IFERROR(INDEX(EvID,MATCH(INDEX(FormData,$H656,f_Event),EvID,0)),IFERROR(INDEX(EvID,MATCH(INDEX(FormData,$H656,f_Event),EvName,0)),IFERROR(INDEX(EvID,MATCH(INT($C656),EvDate,0)),"(no event that day)"))))</f>
        <v/>
      </c>
      <c r="F656" s="16">
        <f>IF($H656="","",IFERROR(IF(SUMPRODUCT(MAX((WhoKW&lt;&gt;"")*ISNUMBER(SEARCH(WhoKW,INDEX(FormData,$H656,f_Who)&amp;""))*(ROW(WhoKW)-MIN(ROW(WhoKW))+1)))=0,"",INDEX(WhoVal,SUMPRODUCT(MAX((WhoKW&lt;&gt;"")*ISNUMBER(SEARCH(WhoKW,INDEX(FormData,$H656,f_Who)&amp;""))*(ROW(WhoKW)-MIN(ROW(WhoKW))+1))))),""))</f>
        <v/>
      </c>
      <c r="G656" s="14">
        <f>IF($H656="","",IF(COUNTIF(People!$U$5:$U$604,$B656)+COUNTIF(People!$U$5:$U$604,$B656&amp;"")&gt;0,"✓ logged","→ add"))</f>
        <v/>
      </c>
      <c r="H656">
        <f>IFERROR(IF(INDEX(FormData,653,f_Id)&amp;""="","",653),"")</f>
        <v/>
      </c>
      <c r="I656" s="16">
        <f>IF($H656="","",IFERROR(INDEX(FormData,$H656,f_Need)&amp;"",""))</f>
        <v/>
      </c>
    </row>
    <row r="657">
      <c r="A657" s="14" t="n">
        <v>653</v>
      </c>
      <c r="B657" s="14">
        <f>IF($H657="","",INDEX(FormData,$H657,f_Id))</f>
        <v/>
      </c>
      <c r="C657" s="15">
        <f>IF($H657="","",IFERROR(INDEX(FormData,$H657,f_Time),""))</f>
        <v/>
      </c>
      <c r="D657" s="14">
        <f>IF($H657="","",IFERROR(UPPER(LEFT(TRIM(INDEX(FormData,$H657,f_Name)),1)&amp;IFERROR(MID(TRIM(INDEX(FormData,$H657,f_Name)),FIND("^",SUBSTITUTE(TRIM(INDEX(FormData,$H657,f_Name))," ","^",LEN(TRIM(INDEX(FormData,$H657,f_Name)))-LEN(SUBSTITUTE(TRIM(INDEX(FormData,$H657,f_Name))," ",""))))+1,1),"")),""))</f>
        <v/>
      </c>
      <c r="E657" s="16">
        <f>IF($H657="","",IFERROR(INDEX(EvID,MATCH(INDEX(FormData,$H657,f_Event),EvID,0)),IFERROR(INDEX(EvID,MATCH(INDEX(FormData,$H657,f_Event),EvName,0)),IFERROR(INDEX(EvID,MATCH(INT($C657),EvDate,0)),"(no event that day)"))))</f>
        <v/>
      </c>
      <c r="F657" s="16">
        <f>IF($H657="","",IFERROR(IF(SUMPRODUCT(MAX((WhoKW&lt;&gt;"")*ISNUMBER(SEARCH(WhoKW,INDEX(FormData,$H657,f_Who)&amp;""))*(ROW(WhoKW)-MIN(ROW(WhoKW))+1)))=0,"",INDEX(WhoVal,SUMPRODUCT(MAX((WhoKW&lt;&gt;"")*ISNUMBER(SEARCH(WhoKW,INDEX(FormData,$H657,f_Who)&amp;""))*(ROW(WhoKW)-MIN(ROW(WhoKW))+1))))),""))</f>
        <v/>
      </c>
      <c r="G657" s="14">
        <f>IF($H657="","",IF(COUNTIF(People!$U$5:$U$604,$B657)+COUNTIF(People!$U$5:$U$604,$B657&amp;"")&gt;0,"✓ logged","→ add"))</f>
        <v/>
      </c>
      <c r="H657">
        <f>IFERROR(IF(INDEX(FormData,654,f_Id)&amp;""="","",654),"")</f>
        <v/>
      </c>
      <c r="I657" s="16">
        <f>IF($H657="","",IFERROR(INDEX(FormData,$H657,f_Need)&amp;"",""))</f>
        <v/>
      </c>
    </row>
    <row r="658">
      <c r="A658" s="14" t="n">
        <v>654</v>
      </c>
      <c r="B658" s="14">
        <f>IF($H658="","",INDEX(FormData,$H658,f_Id))</f>
        <v/>
      </c>
      <c r="C658" s="15">
        <f>IF($H658="","",IFERROR(INDEX(FormData,$H658,f_Time),""))</f>
        <v/>
      </c>
      <c r="D658" s="14">
        <f>IF($H658="","",IFERROR(UPPER(LEFT(TRIM(INDEX(FormData,$H658,f_Name)),1)&amp;IFERROR(MID(TRIM(INDEX(FormData,$H658,f_Name)),FIND("^",SUBSTITUTE(TRIM(INDEX(FormData,$H658,f_Name))," ","^",LEN(TRIM(INDEX(FormData,$H658,f_Name)))-LEN(SUBSTITUTE(TRIM(INDEX(FormData,$H658,f_Name))," ",""))))+1,1),"")),""))</f>
        <v/>
      </c>
      <c r="E658" s="16">
        <f>IF($H658="","",IFERROR(INDEX(EvID,MATCH(INDEX(FormData,$H658,f_Event),EvID,0)),IFERROR(INDEX(EvID,MATCH(INDEX(FormData,$H658,f_Event),EvName,0)),IFERROR(INDEX(EvID,MATCH(INT($C658),EvDate,0)),"(no event that day)"))))</f>
        <v/>
      </c>
      <c r="F658" s="16">
        <f>IF($H658="","",IFERROR(IF(SUMPRODUCT(MAX((WhoKW&lt;&gt;"")*ISNUMBER(SEARCH(WhoKW,INDEX(FormData,$H658,f_Who)&amp;""))*(ROW(WhoKW)-MIN(ROW(WhoKW))+1)))=0,"",INDEX(WhoVal,SUMPRODUCT(MAX((WhoKW&lt;&gt;"")*ISNUMBER(SEARCH(WhoKW,INDEX(FormData,$H658,f_Who)&amp;""))*(ROW(WhoKW)-MIN(ROW(WhoKW))+1))))),""))</f>
        <v/>
      </c>
      <c r="G658" s="14">
        <f>IF($H658="","",IF(COUNTIF(People!$U$5:$U$604,$B658)+COUNTIF(People!$U$5:$U$604,$B658&amp;"")&gt;0,"✓ logged","→ add"))</f>
        <v/>
      </c>
      <c r="H658">
        <f>IFERROR(IF(INDEX(FormData,655,f_Id)&amp;""="","",655),"")</f>
        <v/>
      </c>
      <c r="I658" s="16">
        <f>IF($H658="","",IFERROR(INDEX(FormData,$H658,f_Need)&amp;"",""))</f>
        <v/>
      </c>
    </row>
    <row r="659">
      <c r="A659" s="14" t="n">
        <v>655</v>
      </c>
      <c r="B659" s="14">
        <f>IF($H659="","",INDEX(FormData,$H659,f_Id))</f>
        <v/>
      </c>
      <c r="C659" s="15">
        <f>IF($H659="","",IFERROR(INDEX(FormData,$H659,f_Time),""))</f>
        <v/>
      </c>
      <c r="D659" s="14">
        <f>IF($H659="","",IFERROR(UPPER(LEFT(TRIM(INDEX(FormData,$H659,f_Name)),1)&amp;IFERROR(MID(TRIM(INDEX(FormData,$H659,f_Name)),FIND("^",SUBSTITUTE(TRIM(INDEX(FormData,$H659,f_Name))," ","^",LEN(TRIM(INDEX(FormData,$H659,f_Name)))-LEN(SUBSTITUTE(TRIM(INDEX(FormData,$H659,f_Name))," ",""))))+1,1),"")),""))</f>
        <v/>
      </c>
      <c r="E659" s="16">
        <f>IF($H659="","",IFERROR(INDEX(EvID,MATCH(INDEX(FormData,$H659,f_Event),EvID,0)),IFERROR(INDEX(EvID,MATCH(INDEX(FormData,$H659,f_Event),EvName,0)),IFERROR(INDEX(EvID,MATCH(INT($C659),EvDate,0)),"(no event that day)"))))</f>
        <v/>
      </c>
      <c r="F659" s="16">
        <f>IF($H659="","",IFERROR(IF(SUMPRODUCT(MAX((WhoKW&lt;&gt;"")*ISNUMBER(SEARCH(WhoKW,INDEX(FormData,$H659,f_Who)&amp;""))*(ROW(WhoKW)-MIN(ROW(WhoKW))+1)))=0,"",INDEX(WhoVal,SUMPRODUCT(MAX((WhoKW&lt;&gt;"")*ISNUMBER(SEARCH(WhoKW,INDEX(FormData,$H659,f_Who)&amp;""))*(ROW(WhoKW)-MIN(ROW(WhoKW))+1))))),""))</f>
        <v/>
      </c>
      <c r="G659" s="14">
        <f>IF($H659="","",IF(COUNTIF(People!$U$5:$U$604,$B659)+COUNTIF(People!$U$5:$U$604,$B659&amp;"")&gt;0,"✓ logged","→ add"))</f>
        <v/>
      </c>
      <c r="H659">
        <f>IFERROR(IF(INDEX(FormData,656,f_Id)&amp;""="","",656),"")</f>
        <v/>
      </c>
      <c r="I659" s="16">
        <f>IF($H659="","",IFERROR(INDEX(FormData,$H659,f_Need)&amp;"",""))</f>
        <v/>
      </c>
    </row>
    <row r="660">
      <c r="A660" s="14" t="n">
        <v>656</v>
      </c>
      <c r="B660" s="14">
        <f>IF($H660="","",INDEX(FormData,$H660,f_Id))</f>
        <v/>
      </c>
      <c r="C660" s="15">
        <f>IF($H660="","",IFERROR(INDEX(FormData,$H660,f_Time),""))</f>
        <v/>
      </c>
      <c r="D660" s="14">
        <f>IF($H660="","",IFERROR(UPPER(LEFT(TRIM(INDEX(FormData,$H660,f_Name)),1)&amp;IFERROR(MID(TRIM(INDEX(FormData,$H660,f_Name)),FIND("^",SUBSTITUTE(TRIM(INDEX(FormData,$H660,f_Name))," ","^",LEN(TRIM(INDEX(FormData,$H660,f_Name)))-LEN(SUBSTITUTE(TRIM(INDEX(FormData,$H660,f_Name))," ",""))))+1,1),"")),""))</f>
        <v/>
      </c>
      <c r="E660" s="16">
        <f>IF($H660="","",IFERROR(INDEX(EvID,MATCH(INDEX(FormData,$H660,f_Event),EvID,0)),IFERROR(INDEX(EvID,MATCH(INDEX(FormData,$H660,f_Event),EvName,0)),IFERROR(INDEX(EvID,MATCH(INT($C660),EvDate,0)),"(no event that day)"))))</f>
        <v/>
      </c>
      <c r="F660" s="16">
        <f>IF($H660="","",IFERROR(IF(SUMPRODUCT(MAX((WhoKW&lt;&gt;"")*ISNUMBER(SEARCH(WhoKW,INDEX(FormData,$H660,f_Who)&amp;""))*(ROW(WhoKW)-MIN(ROW(WhoKW))+1)))=0,"",INDEX(WhoVal,SUMPRODUCT(MAX((WhoKW&lt;&gt;"")*ISNUMBER(SEARCH(WhoKW,INDEX(FormData,$H660,f_Who)&amp;""))*(ROW(WhoKW)-MIN(ROW(WhoKW))+1))))),""))</f>
        <v/>
      </c>
      <c r="G660" s="14">
        <f>IF($H660="","",IF(COUNTIF(People!$U$5:$U$604,$B660)+COUNTIF(People!$U$5:$U$604,$B660&amp;"")&gt;0,"✓ logged","→ add"))</f>
        <v/>
      </c>
      <c r="H660">
        <f>IFERROR(IF(INDEX(FormData,657,f_Id)&amp;""="","",657),"")</f>
        <v/>
      </c>
      <c r="I660" s="16">
        <f>IF($H660="","",IFERROR(INDEX(FormData,$H660,f_Need)&amp;"",""))</f>
        <v/>
      </c>
    </row>
    <row r="661">
      <c r="A661" s="14" t="n">
        <v>657</v>
      </c>
      <c r="B661" s="14">
        <f>IF($H661="","",INDEX(FormData,$H661,f_Id))</f>
        <v/>
      </c>
      <c r="C661" s="15">
        <f>IF($H661="","",IFERROR(INDEX(FormData,$H661,f_Time),""))</f>
        <v/>
      </c>
      <c r="D661" s="14">
        <f>IF($H661="","",IFERROR(UPPER(LEFT(TRIM(INDEX(FormData,$H661,f_Name)),1)&amp;IFERROR(MID(TRIM(INDEX(FormData,$H661,f_Name)),FIND("^",SUBSTITUTE(TRIM(INDEX(FormData,$H661,f_Name))," ","^",LEN(TRIM(INDEX(FormData,$H661,f_Name)))-LEN(SUBSTITUTE(TRIM(INDEX(FormData,$H661,f_Name))," ",""))))+1,1),"")),""))</f>
        <v/>
      </c>
      <c r="E661" s="16">
        <f>IF($H661="","",IFERROR(INDEX(EvID,MATCH(INDEX(FormData,$H661,f_Event),EvID,0)),IFERROR(INDEX(EvID,MATCH(INDEX(FormData,$H661,f_Event),EvName,0)),IFERROR(INDEX(EvID,MATCH(INT($C661),EvDate,0)),"(no event that day)"))))</f>
        <v/>
      </c>
      <c r="F661" s="16">
        <f>IF($H661="","",IFERROR(IF(SUMPRODUCT(MAX((WhoKW&lt;&gt;"")*ISNUMBER(SEARCH(WhoKW,INDEX(FormData,$H661,f_Who)&amp;""))*(ROW(WhoKW)-MIN(ROW(WhoKW))+1)))=0,"",INDEX(WhoVal,SUMPRODUCT(MAX((WhoKW&lt;&gt;"")*ISNUMBER(SEARCH(WhoKW,INDEX(FormData,$H661,f_Who)&amp;""))*(ROW(WhoKW)-MIN(ROW(WhoKW))+1))))),""))</f>
        <v/>
      </c>
      <c r="G661" s="14">
        <f>IF($H661="","",IF(COUNTIF(People!$U$5:$U$604,$B661)+COUNTIF(People!$U$5:$U$604,$B661&amp;"")&gt;0,"✓ logged","→ add"))</f>
        <v/>
      </c>
      <c r="H661">
        <f>IFERROR(IF(INDEX(FormData,658,f_Id)&amp;""="","",658),"")</f>
        <v/>
      </c>
      <c r="I661" s="16">
        <f>IF($H661="","",IFERROR(INDEX(FormData,$H661,f_Need)&amp;"",""))</f>
        <v/>
      </c>
    </row>
    <row r="662">
      <c r="A662" s="14" t="n">
        <v>658</v>
      </c>
      <c r="B662" s="14">
        <f>IF($H662="","",INDEX(FormData,$H662,f_Id))</f>
        <v/>
      </c>
      <c r="C662" s="15">
        <f>IF($H662="","",IFERROR(INDEX(FormData,$H662,f_Time),""))</f>
        <v/>
      </c>
      <c r="D662" s="14">
        <f>IF($H662="","",IFERROR(UPPER(LEFT(TRIM(INDEX(FormData,$H662,f_Name)),1)&amp;IFERROR(MID(TRIM(INDEX(FormData,$H662,f_Name)),FIND("^",SUBSTITUTE(TRIM(INDEX(FormData,$H662,f_Name))," ","^",LEN(TRIM(INDEX(FormData,$H662,f_Name)))-LEN(SUBSTITUTE(TRIM(INDEX(FormData,$H662,f_Name))," ",""))))+1,1),"")),""))</f>
        <v/>
      </c>
      <c r="E662" s="16">
        <f>IF($H662="","",IFERROR(INDEX(EvID,MATCH(INDEX(FormData,$H662,f_Event),EvID,0)),IFERROR(INDEX(EvID,MATCH(INDEX(FormData,$H662,f_Event),EvName,0)),IFERROR(INDEX(EvID,MATCH(INT($C662),EvDate,0)),"(no event that day)"))))</f>
        <v/>
      </c>
      <c r="F662" s="16">
        <f>IF($H662="","",IFERROR(IF(SUMPRODUCT(MAX((WhoKW&lt;&gt;"")*ISNUMBER(SEARCH(WhoKW,INDEX(FormData,$H662,f_Who)&amp;""))*(ROW(WhoKW)-MIN(ROW(WhoKW))+1)))=0,"",INDEX(WhoVal,SUMPRODUCT(MAX((WhoKW&lt;&gt;"")*ISNUMBER(SEARCH(WhoKW,INDEX(FormData,$H662,f_Who)&amp;""))*(ROW(WhoKW)-MIN(ROW(WhoKW))+1))))),""))</f>
        <v/>
      </c>
      <c r="G662" s="14">
        <f>IF($H662="","",IF(COUNTIF(People!$U$5:$U$604,$B662)+COUNTIF(People!$U$5:$U$604,$B662&amp;"")&gt;0,"✓ logged","→ add"))</f>
        <v/>
      </c>
      <c r="H662">
        <f>IFERROR(IF(INDEX(FormData,659,f_Id)&amp;""="","",659),"")</f>
        <v/>
      </c>
      <c r="I662" s="16">
        <f>IF($H662="","",IFERROR(INDEX(FormData,$H662,f_Need)&amp;"",""))</f>
        <v/>
      </c>
    </row>
    <row r="663">
      <c r="A663" s="14" t="n">
        <v>659</v>
      </c>
      <c r="B663" s="14">
        <f>IF($H663="","",INDEX(FormData,$H663,f_Id))</f>
        <v/>
      </c>
      <c r="C663" s="15">
        <f>IF($H663="","",IFERROR(INDEX(FormData,$H663,f_Time),""))</f>
        <v/>
      </c>
      <c r="D663" s="14">
        <f>IF($H663="","",IFERROR(UPPER(LEFT(TRIM(INDEX(FormData,$H663,f_Name)),1)&amp;IFERROR(MID(TRIM(INDEX(FormData,$H663,f_Name)),FIND("^",SUBSTITUTE(TRIM(INDEX(FormData,$H663,f_Name))," ","^",LEN(TRIM(INDEX(FormData,$H663,f_Name)))-LEN(SUBSTITUTE(TRIM(INDEX(FormData,$H663,f_Name))," ",""))))+1,1),"")),""))</f>
        <v/>
      </c>
      <c r="E663" s="16">
        <f>IF($H663="","",IFERROR(INDEX(EvID,MATCH(INDEX(FormData,$H663,f_Event),EvID,0)),IFERROR(INDEX(EvID,MATCH(INDEX(FormData,$H663,f_Event),EvName,0)),IFERROR(INDEX(EvID,MATCH(INT($C663),EvDate,0)),"(no event that day)"))))</f>
        <v/>
      </c>
      <c r="F663" s="16">
        <f>IF($H663="","",IFERROR(IF(SUMPRODUCT(MAX((WhoKW&lt;&gt;"")*ISNUMBER(SEARCH(WhoKW,INDEX(FormData,$H663,f_Who)&amp;""))*(ROW(WhoKW)-MIN(ROW(WhoKW))+1)))=0,"",INDEX(WhoVal,SUMPRODUCT(MAX((WhoKW&lt;&gt;"")*ISNUMBER(SEARCH(WhoKW,INDEX(FormData,$H663,f_Who)&amp;""))*(ROW(WhoKW)-MIN(ROW(WhoKW))+1))))),""))</f>
        <v/>
      </c>
      <c r="G663" s="14">
        <f>IF($H663="","",IF(COUNTIF(People!$U$5:$U$604,$B663)+COUNTIF(People!$U$5:$U$604,$B663&amp;"")&gt;0,"✓ logged","→ add"))</f>
        <v/>
      </c>
      <c r="H663">
        <f>IFERROR(IF(INDEX(FormData,660,f_Id)&amp;""="","",660),"")</f>
        <v/>
      </c>
      <c r="I663" s="16">
        <f>IF($H663="","",IFERROR(INDEX(FormData,$H663,f_Need)&amp;"",""))</f>
        <v/>
      </c>
    </row>
    <row r="664">
      <c r="A664" s="14" t="n">
        <v>660</v>
      </c>
      <c r="B664" s="14">
        <f>IF($H664="","",INDEX(FormData,$H664,f_Id))</f>
        <v/>
      </c>
      <c r="C664" s="15">
        <f>IF($H664="","",IFERROR(INDEX(FormData,$H664,f_Time),""))</f>
        <v/>
      </c>
      <c r="D664" s="14">
        <f>IF($H664="","",IFERROR(UPPER(LEFT(TRIM(INDEX(FormData,$H664,f_Name)),1)&amp;IFERROR(MID(TRIM(INDEX(FormData,$H664,f_Name)),FIND("^",SUBSTITUTE(TRIM(INDEX(FormData,$H664,f_Name))," ","^",LEN(TRIM(INDEX(FormData,$H664,f_Name)))-LEN(SUBSTITUTE(TRIM(INDEX(FormData,$H664,f_Name))," ",""))))+1,1),"")),""))</f>
        <v/>
      </c>
      <c r="E664" s="16">
        <f>IF($H664="","",IFERROR(INDEX(EvID,MATCH(INDEX(FormData,$H664,f_Event),EvID,0)),IFERROR(INDEX(EvID,MATCH(INDEX(FormData,$H664,f_Event),EvName,0)),IFERROR(INDEX(EvID,MATCH(INT($C664),EvDate,0)),"(no event that day)"))))</f>
        <v/>
      </c>
      <c r="F664" s="16">
        <f>IF($H664="","",IFERROR(IF(SUMPRODUCT(MAX((WhoKW&lt;&gt;"")*ISNUMBER(SEARCH(WhoKW,INDEX(FormData,$H664,f_Who)&amp;""))*(ROW(WhoKW)-MIN(ROW(WhoKW))+1)))=0,"",INDEX(WhoVal,SUMPRODUCT(MAX((WhoKW&lt;&gt;"")*ISNUMBER(SEARCH(WhoKW,INDEX(FormData,$H664,f_Who)&amp;""))*(ROW(WhoKW)-MIN(ROW(WhoKW))+1))))),""))</f>
        <v/>
      </c>
      <c r="G664" s="14">
        <f>IF($H664="","",IF(COUNTIF(People!$U$5:$U$604,$B664)+COUNTIF(People!$U$5:$U$604,$B664&amp;"")&gt;0,"✓ logged","→ add"))</f>
        <v/>
      </c>
      <c r="H664">
        <f>IFERROR(IF(INDEX(FormData,661,f_Id)&amp;""="","",661),"")</f>
        <v/>
      </c>
      <c r="I664" s="16">
        <f>IF($H664="","",IFERROR(INDEX(FormData,$H664,f_Need)&amp;"",""))</f>
        <v/>
      </c>
    </row>
    <row r="665">
      <c r="A665" s="14" t="n">
        <v>661</v>
      </c>
      <c r="B665" s="14">
        <f>IF($H665="","",INDEX(FormData,$H665,f_Id))</f>
        <v/>
      </c>
      <c r="C665" s="15">
        <f>IF($H665="","",IFERROR(INDEX(FormData,$H665,f_Time),""))</f>
        <v/>
      </c>
      <c r="D665" s="14">
        <f>IF($H665="","",IFERROR(UPPER(LEFT(TRIM(INDEX(FormData,$H665,f_Name)),1)&amp;IFERROR(MID(TRIM(INDEX(FormData,$H665,f_Name)),FIND("^",SUBSTITUTE(TRIM(INDEX(FormData,$H665,f_Name))," ","^",LEN(TRIM(INDEX(FormData,$H665,f_Name)))-LEN(SUBSTITUTE(TRIM(INDEX(FormData,$H665,f_Name))," ",""))))+1,1),"")),""))</f>
        <v/>
      </c>
      <c r="E665" s="16">
        <f>IF($H665="","",IFERROR(INDEX(EvID,MATCH(INDEX(FormData,$H665,f_Event),EvID,0)),IFERROR(INDEX(EvID,MATCH(INDEX(FormData,$H665,f_Event),EvName,0)),IFERROR(INDEX(EvID,MATCH(INT($C665),EvDate,0)),"(no event that day)"))))</f>
        <v/>
      </c>
      <c r="F665" s="16">
        <f>IF($H665="","",IFERROR(IF(SUMPRODUCT(MAX((WhoKW&lt;&gt;"")*ISNUMBER(SEARCH(WhoKW,INDEX(FormData,$H665,f_Who)&amp;""))*(ROW(WhoKW)-MIN(ROW(WhoKW))+1)))=0,"",INDEX(WhoVal,SUMPRODUCT(MAX((WhoKW&lt;&gt;"")*ISNUMBER(SEARCH(WhoKW,INDEX(FormData,$H665,f_Who)&amp;""))*(ROW(WhoKW)-MIN(ROW(WhoKW))+1))))),""))</f>
        <v/>
      </c>
      <c r="G665" s="14">
        <f>IF($H665="","",IF(COUNTIF(People!$U$5:$U$604,$B665)+COUNTIF(People!$U$5:$U$604,$B665&amp;"")&gt;0,"✓ logged","→ add"))</f>
        <v/>
      </c>
      <c r="H665">
        <f>IFERROR(IF(INDEX(FormData,662,f_Id)&amp;""="","",662),"")</f>
        <v/>
      </c>
      <c r="I665" s="16">
        <f>IF($H665="","",IFERROR(INDEX(FormData,$H665,f_Need)&amp;"",""))</f>
        <v/>
      </c>
    </row>
    <row r="666">
      <c r="A666" s="14" t="n">
        <v>662</v>
      </c>
      <c r="B666" s="14">
        <f>IF($H666="","",INDEX(FormData,$H666,f_Id))</f>
        <v/>
      </c>
      <c r="C666" s="15">
        <f>IF($H666="","",IFERROR(INDEX(FormData,$H666,f_Time),""))</f>
        <v/>
      </c>
      <c r="D666" s="14">
        <f>IF($H666="","",IFERROR(UPPER(LEFT(TRIM(INDEX(FormData,$H666,f_Name)),1)&amp;IFERROR(MID(TRIM(INDEX(FormData,$H666,f_Name)),FIND("^",SUBSTITUTE(TRIM(INDEX(FormData,$H666,f_Name))," ","^",LEN(TRIM(INDEX(FormData,$H666,f_Name)))-LEN(SUBSTITUTE(TRIM(INDEX(FormData,$H666,f_Name))," ",""))))+1,1),"")),""))</f>
        <v/>
      </c>
      <c r="E666" s="16">
        <f>IF($H666="","",IFERROR(INDEX(EvID,MATCH(INDEX(FormData,$H666,f_Event),EvID,0)),IFERROR(INDEX(EvID,MATCH(INDEX(FormData,$H666,f_Event),EvName,0)),IFERROR(INDEX(EvID,MATCH(INT($C666),EvDate,0)),"(no event that day)"))))</f>
        <v/>
      </c>
      <c r="F666" s="16">
        <f>IF($H666="","",IFERROR(IF(SUMPRODUCT(MAX((WhoKW&lt;&gt;"")*ISNUMBER(SEARCH(WhoKW,INDEX(FormData,$H666,f_Who)&amp;""))*(ROW(WhoKW)-MIN(ROW(WhoKW))+1)))=0,"",INDEX(WhoVal,SUMPRODUCT(MAX((WhoKW&lt;&gt;"")*ISNUMBER(SEARCH(WhoKW,INDEX(FormData,$H666,f_Who)&amp;""))*(ROW(WhoKW)-MIN(ROW(WhoKW))+1))))),""))</f>
        <v/>
      </c>
      <c r="G666" s="14">
        <f>IF($H666="","",IF(COUNTIF(People!$U$5:$U$604,$B666)+COUNTIF(People!$U$5:$U$604,$B666&amp;"")&gt;0,"✓ logged","→ add"))</f>
        <v/>
      </c>
      <c r="H666">
        <f>IFERROR(IF(INDEX(FormData,663,f_Id)&amp;""="","",663),"")</f>
        <v/>
      </c>
      <c r="I666" s="16">
        <f>IF($H666="","",IFERROR(INDEX(FormData,$H666,f_Need)&amp;"",""))</f>
        <v/>
      </c>
    </row>
    <row r="667">
      <c r="A667" s="14" t="n">
        <v>663</v>
      </c>
      <c r="B667" s="14">
        <f>IF($H667="","",INDEX(FormData,$H667,f_Id))</f>
        <v/>
      </c>
      <c r="C667" s="15">
        <f>IF($H667="","",IFERROR(INDEX(FormData,$H667,f_Time),""))</f>
        <v/>
      </c>
      <c r="D667" s="14">
        <f>IF($H667="","",IFERROR(UPPER(LEFT(TRIM(INDEX(FormData,$H667,f_Name)),1)&amp;IFERROR(MID(TRIM(INDEX(FormData,$H667,f_Name)),FIND("^",SUBSTITUTE(TRIM(INDEX(FormData,$H667,f_Name))," ","^",LEN(TRIM(INDEX(FormData,$H667,f_Name)))-LEN(SUBSTITUTE(TRIM(INDEX(FormData,$H667,f_Name))," ",""))))+1,1),"")),""))</f>
        <v/>
      </c>
      <c r="E667" s="16">
        <f>IF($H667="","",IFERROR(INDEX(EvID,MATCH(INDEX(FormData,$H667,f_Event),EvID,0)),IFERROR(INDEX(EvID,MATCH(INDEX(FormData,$H667,f_Event),EvName,0)),IFERROR(INDEX(EvID,MATCH(INT($C667),EvDate,0)),"(no event that day)"))))</f>
        <v/>
      </c>
      <c r="F667" s="16">
        <f>IF($H667="","",IFERROR(IF(SUMPRODUCT(MAX((WhoKW&lt;&gt;"")*ISNUMBER(SEARCH(WhoKW,INDEX(FormData,$H667,f_Who)&amp;""))*(ROW(WhoKW)-MIN(ROW(WhoKW))+1)))=0,"",INDEX(WhoVal,SUMPRODUCT(MAX((WhoKW&lt;&gt;"")*ISNUMBER(SEARCH(WhoKW,INDEX(FormData,$H667,f_Who)&amp;""))*(ROW(WhoKW)-MIN(ROW(WhoKW))+1))))),""))</f>
        <v/>
      </c>
      <c r="G667" s="14">
        <f>IF($H667="","",IF(COUNTIF(People!$U$5:$U$604,$B667)+COUNTIF(People!$U$5:$U$604,$B667&amp;"")&gt;0,"✓ logged","→ add"))</f>
        <v/>
      </c>
      <c r="H667">
        <f>IFERROR(IF(INDEX(FormData,664,f_Id)&amp;""="","",664),"")</f>
        <v/>
      </c>
      <c r="I667" s="16">
        <f>IF($H667="","",IFERROR(INDEX(FormData,$H667,f_Need)&amp;"",""))</f>
        <v/>
      </c>
    </row>
    <row r="668">
      <c r="A668" s="14" t="n">
        <v>664</v>
      </c>
      <c r="B668" s="14">
        <f>IF($H668="","",INDEX(FormData,$H668,f_Id))</f>
        <v/>
      </c>
      <c r="C668" s="15">
        <f>IF($H668="","",IFERROR(INDEX(FormData,$H668,f_Time),""))</f>
        <v/>
      </c>
      <c r="D668" s="14">
        <f>IF($H668="","",IFERROR(UPPER(LEFT(TRIM(INDEX(FormData,$H668,f_Name)),1)&amp;IFERROR(MID(TRIM(INDEX(FormData,$H668,f_Name)),FIND("^",SUBSTITUTE(TRIM(INDEX(FormData,$H668,f_Name))," ","^",LEN(TRIM(INDEX(FormData,$H668,f_Name)))-LEN(SUBSTITUTE(TRIM(INDEX(FormData,$H668,f_Name))," ",""))))+1,1),"")),""))</f>
        <v/>
      </c>
      <c r="E668" s="16">
        <f>IF($H668="","",IFERROR(INDEX(EvID,MATCH(INDEX(FormData,$H668,f_Event),EvID,0)),IFERROR(INDEX(EvID,MATCH(INDEX(FormData,$H668,f_Event),EvName,0)),IFERROR(INDEX(EvID,MATCH(INT($C668),EvDate,0)),"(no event that day)"))))</f>
        <v/>
      </c>
      <c r="F668" s="16">
        <f>IF($H668="","",IFERROR(IF(SUMPRODUCT(MAX((WhoKW&lt;&gt;"")*ISNUMBER(SEARCH(WhoKW,INDEX(FormData,$H668,f_Who)&amp;""))*(ROW(WhoKW)-MIN(ROW(WhoKW))+1)))=0,"",INDEX(WhoVal,SUMPRODUCT(MAX((WhoKW&lt;&gt;"")*ISNUMBER(SEARCH(WhoKW,INDEX(FormData,$H668,f_Who)&amp;""))*(ROW(WhoKW)-MIN(ROW(WhoKW))+1))))),""))</f>
        <v/>
      </c>
      <c r="G668" s="14">
        <f>IF($H668="","",IF(COUNTIF(People!$U$5:$U$604,$B668)+COUNTIF(People!$U$5:$U$604,$B668&amp;"")&gt;0,"✓ logged","→ add"))</f>
        <v/>
      </c>
      <c r="H668">
        <f>IFERROR(IF(INDEX(FormData,665,f_Id)&amp;""="","",665),"")</f>
        <v/>
      </c>
      <c r="I668" s="16">
        <f>IF($H668="","",IFERROR(INDEX(FormData,$H668,f_Need)&amp;"",""))</f>
        <v/>
      </c>
    </row>
    <row r="669">
      <c r="A669" s="14" t="n">
        <v>665</v>
      </c>
      <c r="B669" s="14">
        <f>IF($H669="","",INDEX(FormData,$H669,f_Id))</f>
        <v/>
      </c>
      <c r="C669" s="15">
        <f>IF($H669="","",IFERROR(INDEX(FormData,$H669,f_Time),""))</f>
        <v/>
      </c>
      <c r="D669" s="14">
        <f>IF($H669="","",IFERROR(UPPER(LEFT(TRIM(INDEX(FormData,$H669,f_Name)),1)&amp;IFERROR(MID(TRIM(INDEX(FormData,$H669,f_Name)),FIND("^",SUBSTITUTE(TRIM(INDEX(FormData,$H669,f_Name))," ","^",LEN(TRIM(INDEX(FormData,$H669,f_Name)))-LEN(SUBSTITUTE(TRIM(INDEX(FormData,$H669,f_Name))," ",""))))+1,1),"")),""))</f>
        <v/>
      </c>
      <c r="E669" s="16">
        <f>IF($H669="","",IFERROR(INDEX(EvID,MATCH(INDEX(FormData,$H669,f_Event),EvID,0)),IFERROR(INDEX(EvID,MATCH(INDEX(FormData,$H669,f_Event),EvName,0)),IFERROR(INDEX(EvID,MATCH(INT($C669),EvDate,0)),"(no event that day)"))))</f>
        <v/>
      </c>
      <c r="F669" s="16">
        <f>IF($H669="","",IFERROR(IF(SUMPRODUCT(MAX((WhoKW&lt;&gt;"")*ISNUMBER(SEARCH(WhoKW,INDEX(FormData,$H669,f_Who)&amp;""))*(ROW(WhoKW)-MIN(ROW(WhoKW))+1)))=0,"",INDEX(WhoVal,SUMPRODUCT(MAX((WhoKW&lt;&gt;"")*ISNUMBER(SEARCH(WhoKW,INDEX(FormData,$H669,f_Who)&amp;""))*(ROW(WhoKW)-MIN(ROW(WhoKW))+1))))),""))</f>
        <v/>
      </c>
      <c r="G669" s="14">
        <f>IF($H669="","",IF(COUNTIF(People!$U$5:$U$604,$B669)+COUNTIF(People!$U$5:$U$604,$B669&amp;"")&gt;0,"✓ logged","→ add"))</f>
        <v/>
      </c>
      <c r="H669">
        <f>IFERROR(IF(INDEX(FormData,666,f_Id)&amp;""="","",666),"")</f>
        <v/>
      </c>
      <c r="I669" s="16">
        <f>IF($H669="","",IFERROR(INDEX(FormData,$H669,f_Need)&amp;"",""))</f>
        <v/>
      </c>
    </row>
    <row r="670">
      <c r="A670" s="14" t="n">
        <v>666</v>
      </c>
      <c r="B670" s="14">
        <f>IF($H670="","",INDEX(FormData,$H670,f_Id))</f>
        <v/>
      </c>
      <c r="C670" s="15">
        <f>IF($H670="","",IFERROR(INDEX(FormData,$H670,f_Time),""))</f>
        <v/>
      </c>
      <c r="D670" s="14">
        <f>IF($H670="","",IFERROR(UPPER(LEFT(TRIM(INDEX(FormData,$H670,f_Name)),1)&amp;IFERROR(MID(TRIM(INDEX(FormData,$H670,f_Name)),FIND("^",SUBSTITUTE(TRIM(INDEX(FormData,$H670,f_Name))," ","^",LEN(TRIM(INDEX(FormData,$H670,f_Name)))-LEN(SUBSTITUTE(TRIM(INDEX(FormData,$H670,f_Name))," ",""))))+1,1),"")),""))</f>
        <v/>
      </c>
      <c r="E670" s="16">
        <f>IF($H670="","",IFERROR(INDEX(EvID,MATCH(INDEX(FormData,$H670,f_Event),EvID,0)),IFERROR(INDEX(EvID,MATCH(INDEX(FormData,$H670,f_Event),EvName,0)),IFERROR(INDEX(EvID,MATCH(INT($C670),EvDate,0)),"(no event that day)"))))</f>
        <v/>
      </c>
      <c r="F670" s="16">
        <f>IF($H670="","",IFERROR(IF(SUMPRODUCT(MAX((WhoKW&lt;&gt;"")*ISNUMBER(SEARCH(WhoKW,INDEX(FormData,$H670,f_Who)&amp;""))*(ROW(WhoKW)-MIN(ROW(WhoKW))+1)))=0,"",INDEX(WhoVal,SUMPRODUCT(MAX((WhoKW&lt;&gt;"")*ISNUMBER(SEARCH(WhoKW,INDEX(FormData,$H670,f_Who)&amp;""))*(ROW(WhoKW)-MIN(ROW(WhoKW))+1))))),""))</f>
        <v/>
      </c>
      <c r="G670" s="14">
        <f>IF($H670="","",IF(COUNTIF(People!$U$5:$U$604,$B670)+COUNTIF(People!$U$5:$U$604,$B670&amp;"")&gt;0,"✓ logged","→ add"))</f>
        <v/>
      </c>
      <c r="H670">
        <f>IFERROR(IF(INDEX(FormData,667,f_Id)&amp;""="","",667),"")</f>
        <v/>
      </c>
      <c r="I670" s="16">
        <f>IF($H670="","",IFERROR(INDEX(FormData,$H670,f_Need)&amp;"",""))</f>
        <v/>
      </c>
    </row>
    <row r="671">
      <c r="A671" s="14" t="n">
        <v>667</v>
      </c>
      <c r="B671" s="14">
        <f>IF($H671="","",INDEX(FormData,$H671,f_Id))</f>
        <v/>
      </c>
      <c r="C671" s="15">
        <f>IF($H671="","",IFERROR(INDEX(FormData,$H671,f_Time),""))</f>
        <v/>
      </c>
      <c r="D671" s="14">
        <f>IF($H671="","",IFERROR(UPPER(LEFT(TRIM(INDEX(FormData,$H671,f_Name)),1)&amp;IFERROR(MID(TRIM(INDEX(FormData,$H671,f_Name)),FIND("^",SUBSTITUTE(TRIM(INDEX(FormData,$H671,f_Name))," ","^",LEN(TRIM(INDEX(FormData,$H671,f_Name)))-LEN(SUBSTITUTE(TRIM(INDEX(FormData,$H671,f_Name))," ",""))))+1,1),"")),""))</f>
        <v/>
      </c>
      <c r="E671" s="16">
        <f>IF($H671="","",IFERROR(INDEX(EvID,MATCH(INDEX(FormData,$H671,f_Event),EvID,0)),IFERROR(INDEX(EvID,MATCH(INDEX(FormData,$H671,f_Event),EvName,0)),IFERROR(INDEX(EvID,MATCH(INT($C671),EvDate,0)),"(no event that day)"))))</f>
        <v/>
      </c>
      <c r="F671" s="16">
        <f>IF($H671="","",IFERROR(IF(SUMPRODUCT(MAX((WhoKW&lt;&gt;"")*ISNUMBER(SEARCH(WhoKW,INDEX(FormData,$H671,f_Who)&amp;""))*(ROW(WhoKW)-MIN(ROW(WhoKW))+1)))=0,"",INDEX(WhoVal,SUMPRODUCT(MAX((WhoKW&lt;&gt;"")*ISNUMBER(SEARCH(WhoKW,INDEX(FormData,$H671,f_Who)&amp;""))*(ROW(WhoKW)-MIN(ROW(WhoKW))+1))))),""))</f>
        <v/>
      </c>
      <c r="G671" s="14">
        <f>IF($H671="","",IF(COUNTIF(People!$U$5:$U$604,$B671)+COUNTIF(People!$U$5:$U$604,$B671&amp;"")&gt;0,"✓ logged","→ add"))</f>
        <v/>
      </c>
      <c r="H671">
        <f>IFERROR(IF(INDEX(FormData,668,f_Id)&amp;""="","",668),"")</f>
        <v/>
      </c>
      <c r="I671" s="16">
        <f>IF($H671="","",IFERROR(INDEX(FormData,$H671,f_Need)&amp;"",""))</f>
        <v/>
      </c>
    </row>
    <row r="672">
      <c r="A672" s="14" t="n">
        <v>668</v>
      </c>
      <c r="B672" s="14">
        <f>IF($H672="","",INDEX(FormData,$H672,f_Id))</f>
        <v/>
      </c>
      <c r="C672" s="15">
        <f>IF($H672="","",IFERROR(INDEX(FormData,$H672,f_Time),""))</f>
        <v/>
      </c>
      <c r="D672" s="14">
        <f>IF($H672="","",IFERROR(UPPER(LEFT(TRIM(INDEX(FormData,$H672,f_Name)),1)&amp;IFERROR(MID(TRIM(INDEX(FormData,$H672,f_Name)),FIND("^",SUBSTITUTE(TRIM(INDEX(FormData,$H672,f_Name))," ","^",LEN(TRIM(INDEX(FormData,$H672,f_Name)))-LEN(SUBSTITUTE(TRIM(INDEX(FormData,$H672,f_Name))," ",""))))+1,1),"")),""))</f>
        <v/>
      </c>
      <c r="E672" s="16">
        <f>IF($H672="","",IFERROR(INDEX(EvID,MATCH(INDEX(FormData,$H672,f_Event),EvID,0)),IFERROR(INDEX(EvID,MATCH(INDEX(FormData,$H672,f_Event),EvName,0)),IFERROR(INDEX(EvID,MATCH(INT($C672),EvDate,0)),"(no event that day)"))))</f>
        <v/>
      </c>
      <c r="F672" s="16">
        <f>IF($H672="","",IFERROR(IF(SUMPRODUCT(MAX((WhoKW&lt;&gt;"")*ISNUMBER(SEARCH(WhoKW,INDEX(FormData,$H672,f_Who)&amp;""))*(ROW(WhoKW)-MIN(ROW(WhoKW))+1)))=0,"",INDEX(WhoVal,SUMPRODUCT(MAX((WhoKW&lt;&gt;"")*ISNUMBER(SEARCH(WhoKW,INDEX(FormData,$H672,f_Who)&amp;""))*(ROW(WhoKW)-MIN(ROW(WhoKW))+1))))),""))</f>
        <v/>
      </c>
      <c r="G672" s="14">
        <f>IF($H672="","",IF(COUNTIF(People!$U$5:$U$604,$B672)+COUNTIF(People!$U$5:$U$604,$B672&amp;"")&gt;0,"✓ logged","→ add"))</f>
        <v/>
      </c>
      <c r="H672">
        <f>IFERROR(IF(INDEX(FormData,669,f_Id)&amp;""="","",669),"")</f>
        <v/>
      </c>
      <c r="I672" s="16">
        <f>IF($H672="","",IFERROR(INDEX(FormData,$H672,f_Need)&amp;"",""))</f>
        <v/>
      </c>
    </row>
    <row r="673">
      <c r="A673" s="14" t="n">
        <v>669</v>
      </c>
      <c r="B673" s="14">
        <f>IF($H673="","",INDEX(FormData,$H673,f_Id))</f>
        <v/>
      </c>
      <c r="C673" s="15">
        <f>IF($H673="","",IFERROR(INDEX(FormData,$H673,f_Time),""))</f>
        <v/>
      </c>
      <c r="D673" s="14">
        <f>IF($H673="","",IFERROR(UPPER(LEFT(TRIM(INDEX(FormData,$H673,f_Name)),1)&amp;IFERROR(MID(TRIM(INDEX(FormData,$H673,f_Name)),FIND("^",SUBSTITUTE(TRIM(INDEX(FormData,$H673,f_Name))," ","^",LEN(TRIM(INDEX(FormData,$H673,f_Name)))-LEN(SUBSTITUTE(TRIM(INDEX(FormData,$H673,f_Name))," ",""))))+1,1),"")),""))</f>
        <v/>
      </c>
      <c r="E673" s="16">
        <f>IF($H673="","",IFERROR(INDEX(EvID,MATCH(INDEX(FormData,$H673,f_Event),EvID,0)),IFERROR(INDEX(EvID,MATCH(INDEX(FormData,$H673,f_Event),EvName,0)),IFERROR(INDEX(EvID,MATCH(INT($C673),EvDate,0)),"(no event that day)"))))</f>
        <v/>
      </c>
      <c r="F673" s="16">
        <f>IF($H673="","",IFERROR(IF(SUMPRODUCT(MAX((WhoKW&lt;&gt;"")*ISNUMBER(SEARCH(WhoKW,INDEX(FormData,$H673,f_Who)&amp;""))*(ROW(WhoKW)-MIN(ROW(WhoKW))+1)))=0,"",INDEX(WhoVal,SUMPRODUCT(MAX((WhoKW&lt;&gt;"")*ISNUMBER(SEARCH(WhoKW,INDEX(FormData,$H673,f_Who)&amp;""))*(ROW(WhoKW)-MIN(ROW(WhoKW))+1))))),""))</f>
        <v/>
      </c>
      <c r="G673" s="14">
        <f>IF($H673="","",IF(COUNTIF(People!$U$5:$U$604,$B673)+COUNTIF(People!$U$5:$U$604,$B673&amp;"")&gt;0,"✓ logged","→ add"))</f>
        <v/>
      </c>
      <c r="H673">
        <f>IFERROR(IF(INDEX(FormData,670,f_Id)&amp;""="","",670),"")</f>
        <v/>
      </c>
      <c r="I673" s="16">
        <f>IF($H673="","",IFERROR(INDEX(FormData,$H673,f_Need)&amp;"",""))</f>
        <v/>
      </c>
    </row>
    <row r="674">
      <c r="A674" s="14" t="n">
        <v>670</v>
      </c>
      <c r="B674" s="14">
        <f>IF($H674="","",INDEX(FormData,$H674,f_Id))</f>
        <v/>
      </c>
      <c r="C674" s="15">
        <f>IF($H674="","",IFERROR(INDEX(FormData,$H674,f_Time),""))</f>
        <v/>
      </c>
      <c r="D674" s="14">
        <f>IF($H674="","",IFERROR(UPPER(LEFT(TRIM(INDEX(FormData,$H674,f_Name)),1)&amp;IFERROR(MID(TRIM(INDEX(FormData,$H674,f_Name)),FIND("^",SUBSTITUTE(TRIM(INDEX(FormData,$H674,f_Name))," ","^",LEN(TRIM(INDEX(FormData,$H674,f_Name)))-LEN(SUBSTITUTE(TRIM(INDEX(FormData,$H674,f_Name))," ",""))))+1,1),"")),""))</f>
        <v/>
      </c>
      <c r="E674" s="16">
        <f>IF($H674="","",IFERROR(INDEX(EvID,MATCH(INDEX(FormData,$H674,f_Event),EvID,0)),IFERROR(INDEX(EvID,MATCH(INDEX(FormData,$H674,f_Event),EvName,0)),IFERROR(INDEX(EvID,MATCH(INT($C674),EvDate,0)),"(no event that day)"))))</f>
        <v/>
      </c>
      <c r="F674" s="16">
        <f>IF($H674="","",IFERROR(IF(SUMPRODUCT(MAX((WhoKW&lt;&gt;"")*ISNUMBER(SEARCH(WhoKW,INDEX(FormData,$H674,f_Who)&amp;""))*(ROW(WhoKW)-MIN(ROW(WhoKW))+1)))=0,"",INDEX(WhoVal,SUMPRODUCT(MAX((WhoKW&lt;&gt;"")*ISNUMBER(SEARCH(WhoKW,INDEX(FormData,$H674,f_Who)&amp;""))*(ROW(WhoKW)-MIN(ROW(WhoKW))+1))))),""))</f>
        <v/>
      </c>
      <c r="G674" s="14">
        <f>IF($H674="","",IF(COUNTIF(People!$U$5:$U$604,$B674)+COUNTIF(People!$U$5:$U$604,$B674&amp;"")&gt;0,"✓ logged","→ add"))</f>
        <v/>
      </c>
      <c r="H674">
        <f>IFERROR(IF(INDEX(FormData,671,f_Id)&amp;""="","",671),"")</f>
        <v/>
      </c>
      <c r="I674" s="16">
        <f>IF($H674="","",IFERROR(INDEX(FormData,$H674,f_Need)&amp;"",""))</f>
        <v/>
      </c>
    </row>
    <row r="675">
      <c r="A675" s="14" t="n">
        <v>671</v>
      </c>
      <c r="B675" s="14">
        <f>IF($H675="","",INDEX(FormData,$H675,f_Id))</f>
        <v/>
      </c>
      <c r="C675" s="15">
        <f>IF($H675="","",IFERROR(INDEX(FormData,$H675,f_Time),""))</f>
        <v/>
      </c>
      <c r="D675" s="14">
        <f>IF($H675="","",IFERROR(UPPER(LEFT(TRIM(INDEX(FormData,$H675,f_Name)),1)&amp;IFERROR(MID(TRIM(INDEX(FormData,$H675,f_Name)),FIND("^",SUBSTITUTE(TRIM(INDEX(FormData,$H675,f_Name))," ","^",LEN(TRIM(INDEX(FormData,$H675,f_Name)))-LEN(SUBSTITUTE(TRIM(INDEX(FormData,$H675,f_Name))," ",""))))+1,1),"")),""))</f>
        <v/>
      </c>
      <c r="E675" s="16">
        <f>IF($H675="","",IFERROR(INDEX(EvID,MATCH(INDEX(FormData,$H675,f_Event),EvID,0)),IFERROR(INDEX(EvID,MATCH(INDEX(FormData,$H675,f_Event),EvName,0)),IFERROR(INDEX(EvID,MATCH(INT($C675),EvDate,0)),"(no event that day)"))))</f>
        <v/>
      </c>
      <c r="F675" s="16">
        <f>IF($H675="","",IFERROR(IF(SUMPRODUCT(MAX((WhoKW&lt;&gt;"")*ISNUMBER(SEARCH(WhoKW,INDEX(FormData,$H675,f_Who)&amp;""))*(ROW(WhoKW)-MIN(ROW(WhoKW))+1)))=0,"",INDEX(WhoVal,SUMPRODUCT(MAX((WhoKW&lt;&gt;"")*ISNUMBER(SEARCH(WhoKW,INDEX(FormData,$H675,f_Who)&amp;""))*(ROW(WhoKW)-MIN(ROW(WhoKW))+1))))),""))</f>
        <v/>
      </c>
      <c r="G675" s="14">
        <f>IF($H675="","",IF(COUNTIF(People!$U$5:$U$604,$B675)+COUNTIF(People!$U$5:$U$604,$B675&amp;"")&gt;0,"✓ logged","→ add"))</f>
        <v/>
      </c>
      <c r="H675">
        <f>IFERROR(IF(INDEX(FormData,672,f_Id)&amp;""="","",672),"")</f>
        <v/>
      </c>
      <c r="I675" s="16">
        <f>IF($H675="","",IFERROR(INDEX(FormData,$H675,f_Need)&amp;"",""))</f>
        <v/>
      </c>
    </row>
    <row r="676">
      <c r="A676" s="14" t="n">
        <v>672</v>
      </c>
      <c r="B676" s="14">
        <f>IF($H676="","",INDEX(FormData,$H676,f_Id))</f>
        <v/>
      </c>
      <c r="C676" s="15">
        <f>IF($H676="","",IFERROR(INDEX(FormData,$H676,f_Time),""))</f>
        <v/>
      </c>
      <c r="D676" s="14">
        <f>IF($H676="","",IFERROR(UPPER(LEFT(TRIM(INDEX(FormData,$H676,f_Name)),1)&amp;IFERROR(MID(TRIM(INDEX(FormData,$H676,f_Name)),FIND("^",SUBSTITUTE(TRIM(INDEX(FormData,$H676,f_Name))," ","^",LEN(TRIM(INDEX(FormData,$H676,f_Name)))-LEN(SUBSTITUTE(TRIM(INDEX(FormData,$H676,f_Name))," ",""))))+1,1),"")),""))</f>
        <v/>
      </c>
      <c r="E676" s="16">
        <f>IF($H676="","",IFERROR(INDEX(EvID,MATCH(INDEX(FormData,$H676,f_Event),EvID,0)),IFERROR(INDEX(EvID,MATCH(INDEX(FormData,$H676,f_Event),EvName,0)),IFERROR(INDEX(EvID,MATCH(INT($C676),EvDate,0)),"(no event that day)"))))</f>
        <v/>
      </c>
      <c r="F676" s="16">
        <f>IF($H676="","",IFERROR(IF(SUMPRODUCT(MAX((WhoKW&lt;&gt;"")*ISNUMBER(SEARCH(WhoKW,INDEX(FormData,$H676,f_Who)&amp;""))*(ROW(WhoKW)-MIN(ROW(WhoKW))+1)))=0,"",INDEX(WhoVal,SUMPRODUCT(MAX((WhoKW&lt;&gt;"")*ISNUMBER(SEARCH(WhoKW,INDEX(FormData,$H676,f_Who)&amp;""))*(ROW(WhoKW)-MIN(ROW(WhoKW))+1))))),""))</f>
        <v/>
      </c>
      <c r="G676" s="14">
        <f>IF($H676="","",IF(COUNTIF(People!$U$5:$U$604,$B676)+COUNTIF(People!$U$5:$U$604,$B676&amp;"")&gt;0,"✓ logged","→ add"))</f>
        <v/>
      </c>
      <c r="H676">
        <f>IFERROR(IF(INDEX(FormData,673,f_Id)&amp;""="","",673),"")</f>
        <v/>
      </c>
      <c r="I676" s="16">
        <f>IF($H676="","",IFERROR(INDEX(FormData,$H676,f_Need)&amp;"",""))</f>
        <v/>
      </c>
    </row>
    <row r="677">
      <c r="A677" s="14" t="n">
        <v>673</v>
      </c>
      <c r="B677" s="14">
        <f>IF($H677="","",INDEX(FormData,$H677,f_Id))</f>
        <v/>
      </c>
      <c r="C677" s="15">
        <f>IF($H677="","",IFERROR(INDEX(FormData,$H677,f_Time),""))</f>
        <v/>
      </c>
      <c r="D677" s="14">
        <f>IF($H677="","",IFERROR(UPPER(LEFT(TRIM(INDEX(FormData,$H677,f_Name)),1)&amp;IFERROR(MID(TRIM(INDEX(FormData,$H677,f_Name)),FIND("^",SUBSTITUTE(TRIM(INDEX(FormData,$H677,f_Name))," ","^",LEN(TRIM(INDEX(FormData,$H677,f_Name)))-LEN(SUBSTITUTE(TRIM(INDEX(FormData,$H677,f_Name))," ",""))))+1,1),"")),""))</f>
        <v/>
      </c>
      <c r="E677" s="16">
        <f>IF($H677="","",IFERROR(INDEX(EvID,MATCH(INDEX(FormData,$H677,f_Event),EvID,0)),IFERROR(INDEX(EvID,MATCH(INDEX(FormData,$H677,f_Event),EvName,0)),IFERROR(INDEX(EvID,MATCH(INT($C677),EvDate,0)),"(no event that day)"))))</f>
        <v/>
      </c>
      <c r="F677" s="16">
        <f>IF($H677="","",IFERROR(IF(SUMPRODUCT(MAX((WhoKW&lt;&gt;"")*ISNUMBER(SEARCH(WhoKW,INDEX(FormData,$H677,f_Who)&amp;""))*(ROW(WhoKW)-MIN(ROW(WhoKW))+1)))=0,"",INDEX(WhoVal,SUMPRODUCT(MAX((WhoKW&lt;&gt;"")*ISNUMBER(SEARCH(WhoKW,INDEX(FormData,$H677,f_Who)&amp;""))*(ROW(WhoKW)-MIN(ROW(WhoKW))+1))))),""))</f>
        <v/>
      </c>
      <c r="G677" s="14">
        <f>IF($H677="","",IF(COUNTIF(People!$U$5:$U$604,$B677)+COUNTIF(People!$U$5:$U$604,$B677&amp;"")&gt;0,"✓ logged","→ add"))</f>
        <v/>
      </c>
      <c r="H677">
        <f>IFERROR(IF(INDEX(FormData,674,f_Id)&amp;""="","",674),"")</f>
        <v/>
      </c>
      <c r="I677" s="16">
        <f>IF($H677="","",IFERROR(INDEX(FormData,$H677,f_Need)&amp;"",""))</f>
        <v/>
      </c>
    </row>
    <row r="678">
      <c r="A678" s="14" t="n">
        <v>674</v>
      </c>
      <c r="B678" s="14">
        <f>IF($H678="","",INDEX(FormData,$H678,f_Id))</f>
        <v/>
      </c>
      <c r="C678" s="15">
        <f>IF($H678="","",IFERROR(INDEX(FormData,$H678,f_Time),""))</f>
        <v/>
      </c>
      <c r="D678" s="14">
        <f>IF($H678="","",IFERROR(UPPER(LEFT(TRIM(INDEX(FormData,$H678,f_Name)),1)&amp;IFERROR(MID(TRIM(INDEX(FormData,$H678,f_Name)),FIND("^",SUBSTITUTE(TRIM(INDEX(FormData,$H678,f_Name))," ","^",LEN(TRIM(INDEX(FormData,$H678,f_Name)))-LEN(SUBSTITUTE(TRIM(INDEX(FormData,$H678,f_Name))," ",""))))+1,1),"")),""))</f>
        <v/>
      </c>
      <c r="E678" s="16">
        <f>IF($H678="","",IFERROR(INDEX(EvID,MATCH(INDEX(FormData,$H678,f_Event),EvID,0)),IFERROR(INDEX(EvID,MATCH(INDEX(FormData,$H678,f_Event),EvName,0)),IFERROR(INDEX(EvID,MATCH(INT($C678),EvDate,0)),"(no event that day)"))))</f>
        <v/>
      </c>
      <c r="F678" s="16">
        <f>IF($H678="","",IFERROR(IF(SUMPRODUCT(MAX((WhoKW&lt;&gt;"")*ISNUMBER(SEARCH(WhoKW,INDEX(FormData,$H678,f_Who)&amp;""))*(ROW(WhoKW)-MIN(ROW(WhoKW))+1)))=0,"",INDEX(WhoVal,SUMPRODUCT(MAX((WhoKW&lt;&gt;"")*ISNUMBER(SEARCH(WhoKW,INDEX(FormData,$H678,f_Who)&amp;""))*(ROW(WhoKW)-MIN(ROW(WhoKW))+1))))),""))</f>
        <v/>
      </c>
      <c r="G678" s="14">
        <f>IF($H678="","",IF(COUNTIF(People!$U$5:$U$604,$B678)+COUNTIF(People!$U$5:$U$604,$B678&amp;"")&gt;0,"✓ logged","→ add"))</f>
        <v/>
      </c>
      <c r="H678">
        <f>IFERROR(IF(INDEX(FormData,675,f_Id)&amp;""="","",675),"")</f>
        <v/>
      </c>
      <c r="I678" s="16">
        <f>IF($H678="","",IFERROR(INDEX(FormData,$H678,f_Need)&amp;"",""))</f>
        <v/>
      </c>
    </row>
    <row r="679">
      <c r="A679" s="14" t="n">
        <v>675</v>
      </c>
      <c r="B679" s="14">
        <f>IF($H679="","",INDEX(FormData,$H679,f_Id))</f>
        <v/>
      </c>
      <c r="C679" s="15">
        <f>IF($H679="","",IFERROR(INDEX(FormData,$H679,f_Time),""))</f>
        <v/>
      </c>
      <c r="D679" s="14">
        <f>IF($H679="","",IFERROR(UPPER(LEFT(TRIM(INDEX(FormData,$H679,f_Name)),1)&amp;IFERROR(MID(TRIM(INDEX(FormData,$H679,f_Name)),FIND("^",SUBSTITUTE(TRIM(INDEX(FormData,$H679,f_Name))," ","^",LEN(TRIM(INDEX(FormData,$H679,f_Name)))-LEN(SUBSTITUTE(TRIM(INDEX(FormData,$H679,f_Name))," ",""))))+1,1),"")),""))</f>
        <v/>
      </c>
      <c r="E679" s="16">
        <f>IF($H679="","",IFERROR(INDEX(EvID,MATCH(INDEX(FormData,$H679,f_Event),EvID,0)),IFERROR(INDEX(EvID,MATCH(INDEX(FormData,$H679,f_Event),EvName,0)),IFERROR(INDEX(EvID,MATCH(INT($C679),EvDate,0)),"(no event that day)"))))</f>
        <v/>
      </c>
      <c r="F679" s="16">
        <f>IF($H679="","",IFERROR(IF(SUMPRODUCT(MAX((WhoKW&lt;&gt;"")*ISNUMBER(SEARCH(WhoKW,INDEX(FormData,$H679,f_Who)&amp;""))*(ROW(WhoKW)-MIN(ROW(WhoKW))+1)))=0,"",INDEX(WhoVal,SUMPRODUCT(MAX((WhoKW&lt;&gt;"")*ISNUMBER(SEARCH(WhoKW,INDEX(FormData,$H679,f_Who)&amp;""))*(ROW(WhoKW)-MIN(ROW(WhoKW))+1))))),""))</f>
        <v/>
      </c>
      <c r="G679" s="14">
        <f>IF($H679="","",IF(COUNTIF(People!$U$5:$U$604,$B679)+COUNTIF(People!$U$5:$U$604,$B679&amp;"")&gt;0,"✓ logged","→ add"))</f>
        <v/>
      </c>
      <c r="H679">
        <f>IFERROR(IF(INDEX(FormData,676,f_Id)&amp;""="","",676),"")</f>
        <v/>
      </c>
      <c r="I679" s="16">
        <f>IF($H679="","",IFERROR(INDEX(FormData,$H679,f_Need)&amp;"",""))</f>
        <v/>
      </c>
    </row>
    <row r="680">
      <c r="A680" s="14" t="n">
        <v>676</v>
      </c>
      <c r="B680" s="14">
        <f>IF($H680="","",INDEX(FormData,$H680,f_Id))</f>
        <v/>
      </c>
      <c r="C680" s="15">
        <f>IF($H680="","",IFERROR(INDEX(FormData,$H680,f_Time),""))</f>
        <v/>
      </c>
      <c r="D680" s="14">
        <f>IF($H680="","",IFERROR(UPPER(LEFT(TRIM(INDEX(FormData,$H680,f_Name)),1)&amp;IFERROR(MID(TRIM(INDEX(FormData,$H680,f_Name)),FIND("^",SUBSTITUTE(TRIM(INDEX(FormData,$H680,f_Name))," ","^",LEN(TRIM(INDEX(FormData,$H680,f_Name)))-LEN(SUBSTITUTE(TRIM(INDEX(FormData,$H680,f_Name))," ",""))))+1,1),"")),""))</f>
        <v/>
      </c>
      <c r="E680" s="16">
        <f>IF($H680="","",IFERROR(INDEX(EvID,MATCH(INDEX(FormData,$H680,f_Event),EvID,0)),IFERROR(INDEX(EvID,MATCH(INDEX(FormData,$H680,f_Event),EvName,0)),IFERROR(INDEX(EvID,MATCH(INT($C680),EvDate,0)),"(no event that day)"))))</f>
        <v/>
      </c>
      <c r="F680" s="16">
        <f>IF($H680="","",IFERROR(IF(SUMPRODUCT(MAX((WhoKW&lt;&gt;"")*ISNUMBER(SEARCH(WhoKW,INDEX(FormData,$H680,f_Who)&amp;""))*(ROW(WhoKW)-MIN(ROW(WhoKW))+1)))=0,"",INDEX(WhoVal,SUMPRODUCT(MAX((WhoKW&lt;&gt;"")*ISNUMBER(SEARCH(WhoKW,INDEX(FormData,$H680,f_Who)&amp;""))*(ROW(WhoKW)-MIN(ROW(WhoKW))+1))))),""))</f>
        <v/>
      </c>
      <c r="G680" s="14">
        <f>IF($H680="","",IF(COUNTIF(People!$U$5:$U$604,$B680)+COUNTIF(People!$U$5:$U$604,$B680&amp;"")&gt;0,"✓ logged","→ add"))</f>
        <v/>
      </c>
      <c r="H680">
        <f>IFERROR(IF(INDEX(FormData,677,f_Id)&amp;""="","",677),"")</f>
        <v/>
      </c>
      <c r="I680" s="16">
        <f>IF($H680="","",IFERROR(INDEX(FormData,$H680,f_Need)&amp;"",""))</f>
        <v/>
      </c>
    </row>
    <row r="681">
      <c r="A681" s="14" t="n">
        <v>677</v>
      </c>
      <c r="B681" s="14">
        <f>IF($H681="","",INDEX(FormData,$H681,f_Id))</f>
        <v/>
      </c>
      <c r="C681" s="15">
        <f>IF($H681="","",IFERROR(INDEX(FormData,$H681,f_Time),""))</f>
        <v/>
      </c>
      <c r="D681" s="14">
        <f>IF($H681="","",IFERROR(UPPER(LEFT(TRIM(INDEX(FormData,$H681,f_Name)),1)&amp;IFERROR(MID(TRIM(INDEX(FormData,$H681,f_Name)),FIND("^",SUBSTITUTE(TRIM(INDEX(FormData,$H681,f_Name))," ","^",LEN(TRIM(INDEX(FormData,$H681,f_Name)))-LEN(SUBSTITUTE(TRIM(INDEX(FormData,$H681,f_Name))," ",""))))+1,1),"")),""))</f>
        <v/>
      </c>
      <c r="E681" s="16">
        <f>IF($H681="","",IFERROR(INDEX(EvID,MATCH(INDEX(FormData,$H681,f_Event),EvID,0)),IFERROR(INDEX(EvID,MATCH(INDEX(FormData,$H681,f_Event),EvName,0)),IFERROR(INDEX(EvID,MATCH(INT($C681),EvDate,0)),"(no event that day)"))))</f>
        <v/>
      </c>
      <c r="F681" s="16">
        <f>IF($H681="","",IFERROR(IF(SUMPRODUCT(MAX((WhoKW&lt;&gt;"")*ISNUMBER(SEARCH(WhoKW,INDEX(FormData,$H681,f_Who)&amp;""))*(ROW(WhoKW)-MIN(ROW(WhoKW))+1)))=0,"",INDEX(WhoVal,SUMPRODUCT(MAX((WhoKW&lt;&gt;"")*ISNUMBER(SEARCH(WhoKW,INDEX(FormData,$H681,f_Who)&amp;""))*(ROW(WhoKW)-MIN(ROW(WhoKW))+1))))),""))</f>
        <v/>
      </c>
      <c r="G681" s="14">
        <f>IF($H681="","",IF(COUNTIF(People!$U$5:$U$604,$B681)+COUNTIF(People!$U$5:$U$604,$B681&amp;"")&gt;0,"✓ logged","→ add"))</f>
        <v/>
      </c>
      <c r="H681">
        <f>IFERROR(IF(INDEX(FormData,678,f_Id)&amp;""="","",678),"")</f>
        <v/>
      </c>
      <c r="I681" s="16">
        <f>IF($H681="","",IFERROR(INDEX(FormData,$H681,f_Need)&amp;"",""))</f>
        <v/>
      </c>
    </row>
    <row r="682">
      <c r="A682" s="14" t="n">
        <v>678</v>
      </c>
      <c r="B682" s="14">
        <f>IF($H682="","",INDEX(FormData,$H682,f_Id))</f>
        <v/>
      </c>
      <c r="C682" s="15">
        <f>IF($H682="","",IFERROR(INDEX(FormData,$H682,f_Time),""))</f>
        <v/>
      </c>
      <c r="D682" s="14">
        <f>IF($H682="","",IFERROR(UPPER(LEFT(TRIM(INDEX(FormData,$H682,f_Name)),1)&amp;IFERROR(MID(TRIM(INDEX(FormData,$H682,f_Name)),FIND("^",SUBSTITUTE(TRIM(INDEX(FormData,$H682,f_Name))," ","^",LEN(TRIM(INDEX(FormData,$H682,f_Name)))-LEN(SUBSTITUTE(TRIM(INDEX(FormData,$H682,f_Name))," ",""))))+1,1),"")),""))</f>
        <v/>
      </c>
      <c r="E682" s="16">
        <f>IF($H682="","",IFERROR(INDEX(EvID,MATCH(INDEX(FormData,$H682,f_Event),EvID,0)),IFERROR(INDEX(EvID,MATCH(INDEX(FormData,$H682,f_Event),EvName,0)),IFERROR(INDEX(EvID,MATCH(INT($C682),EvDate,0)),"(no event that day)"))))</f>
        <v/>
      </c>
      <c r="F682" s="16">
        <f>IF($H682="","",IFERROR(IF(SUMPRODUCT(MAX((WhoKW&lt;&gt;"")*ISNUMBER(SEARCH(WhoKW,INDEX(FormData,$H682,f_Who)&amp;""))*(ROW(WhoKW)-MIN(ROW(WhoKW))+1)))=0,"",INDEX(WhoVal,SUMPRODUCT(MAX((WhoKW&lt;&gt;"")*ISNUMBER(SEARCH(WhoKW,INDEX(FormData,$H682,f_Who)&amp;""))*(ROW(WhoKW)-MIN(ROW(WhoKW))+1))))),""))</f>
        <v/>
      </c>
      <c r="G682" s="14">
        <f>IF($H682="","",IF(COUNTIF(People!$U$5:$U$604,$B682)+COUNTIF(People!$U$5:$U$604,$B682&amp;"")&gt;0,"✓ logged","→ add"))</f>
        <v/>
      </c>
      <c r="H682">
        <f>IFERROR(IF(INDEX(FormData,679,f_Id)&amp;""="","",679),"")</f>
        <v/>
      </c>
      <c r="I682" s="16">
        <f>IF($H682="","",IFERROR(INDEX(FormData,$H682,f_Need)&amp;"",""))</f>
        <v/>
      </c>
    </row>
    <row r="683">
      <c r="A683" s="14" t="n">
        <v>679</v>
      </c>
      <c r="B683" s="14">
        <f>IF($H683="","",INDEX(FormData,$H683,f_Id))</f>
        <v/>
      </c>
      <c r="C683" s="15">
        <f>IF($H683="","",IFERROR(INDEX(FormData,$H683,f_Time),""))</f>
        <v/>
      </c>
      <c r="D683" s="14">
        <f>IF($H683="","",IFERROR(UPPER(LEFT(TRIM(INDEX(FormData,$H683,f_Name)),1)&amp;IFERROR(MID(TRIM(INDEX(FormData,$H683,f_Name)),FIND("^",SUBSTITUTE(TRIM(INDEX(FormData,$H683,f_Name))," ","^",LEN(TRIM(INDEX(FormData,$H683,f_Name)))-LEN(SUBSTITUTE(TRIM(INDEX(FormData,$H683,f_Name))," ",""))))+1,1),"")),""))</f>
        <v/>
      </c>
      <c r="E683" s="16">
        <f>IF($H683="","",IFERROR(INDEX(EvID,MATCH(INDEX(FormData,$H683,f_Event),EvID,0)),IFERROR(INDEX(EvID,MATCH(INDEX(FormData,$H683,f_Event),EvName,0)),IFERROR(INDEX(EvID,MATCH(INT($C683),EvDate,0)),"(no event that day)"))))</f>
        <v/>
      </c>
      <c r="F683" s="16">
        <f>IF($H683="","",IFERROR(IF(SUMPRODUCT(MAX((WhoKW&lt;&gt;"")*ISNUMBER(SEARCH(WhoKW,INDEX(FormData,$H683,f_Who)&amp;""))*(ROW(WhoKW)-MIN(ROW(WhoKW))+1)))=0,"",INDEX(WhoVal,SUMPRODUCT(MAX((WhoKW&lt;&gt;"")*ISNUMBER(SEARCH(WhoKW,INDEX(FormData,$H683,f_Who)&amp;""))*(ROW(WhoKW)-MIN(ROW(WhoKW))+1))))),""))</f>
        <v/>
      </c>
      <c r="G683" s="14">
        <f>IF($H683="","",IF(COUNTIF(People!$U$5:$U$604,$B683)+COUNTIF(People!$U$5:$U$604,$B683&amp;"")&gt;0,"✓ logged","→ add"))</f>
        <v/>
      </c>
      <c r="H683">
        <f>IFERROR(IF(INDEX(FormData,680,f_Id)&amp;""="","",680),"")</f>
        <v/>
      </c>
      <c r="I683" s="16">
        <f>IF($H683="","",IFERROR(INDEX(FormData,$H683,f_Need)&amp;"",""))</f>
        <v/>
      </c>
    </row>
    <row r="684">
      <c r="A684" s="14" t="n">
        <v>680</v>
      </c>
      <c r="B684" s="14">
        <f>IF($H684="","",INDEX(FormData,$H684,f_Id))</f>
        <v/>
      </c>
      <c r="C684" s="15">
        <f>IF($H684="","",IFERROR(INDEX(FormData,$H684,f_Time),""))</f>
        <v/>
      </c>
      <c r="D684" s="14">
        <f>IF($H684="","",IFERROR(UPPER(LEFT(TRIM(INDEX(FormData,$H684,f_Name)),1)&amp;IFERROR(MID(TRIM(INDEX(FormData,$H684,f_Name)),FIND("^",SUBSTITUTE(TRIM(INDEX(FormData,$H684,f_Name))," ","^",LEN(TRIM(INDEX(FormData,$H684,f_Name)))-LEN(SUBSTITUTE(TRIM(INDEX(FormData,$H684,f_Name))," ",""))))+1,1),"")),""))</f>
        <v/>
      </c>
      <c r="E684" s="16">
        <f>IF($H684="","",IFERROR(INDEX(EvID,MATCH(INDEX(FormData,$H684,f_Event),EvID,0)),IFERROR(INDEX(EvID,MATCH(INDEX(FormData,$H684,f_Event),EvName,0)),IFERROR(INDEX(EvID,MATCH(INT($C684),EvDate,0)),"(no event that day)"))))</f>
        <v/>
      </c>
      <c r="F684" s="16">
        <f>IF($H684="","",IFERROR(IF(SUMPRODUCT(MAX((WhoKW&lt;&gt;"")*ISNUMBER(SEARCH(WhoKW,INDEX(FormData,$H684,f_Who)&amp;""))*(ROW(WhoKW)-MIN(ROW(WhoKW))+1)))=0,"",INDEX(WhoVal,SUMPRODUCT(MAX((WhoKW&lt;&gt;"")*ISNUMBER(SEARCH(WhoKW,INDEX(FormData,$H684,f_Who)&amp;""))*(ROW(WhoKW)-MIN(ROW(WhoKW))+1))))),""))</f>
        <v/>
      </c>
      <c r="G684" s="14">
        <f>IF($H684="","",IF(COUNTIF(People!$U$5:$U$604,$B684)+COUNTIF(People!$U$5:$U$604,$B684&amp;"")&gt;0,"✓ logged","→ add"))</f>
        <v/>
      </c>
      <c r="H684">
        <f>IFERROR(IF(INDEX(FormData,681,f_Id)&amp;""="","",681),"")</f>
        <v/>
      </c>
      <c r="I684" s="16">
        <f>IF($H684="","",IFERROR(INDEX(FormData,$H684,f_Need)&amp;"",""))</f>
        <v/>
      </c>
    </row>
    <row r="685">
      <c r="A685" s="14" t="n">
        <v>681</v>
      </c>
      <c r="B685" s="14">
        <f>IF($H685="","",INDEX(FormData,$H685,f_Id))</f>
        <v/>
      </c>
      <c r="C685" s="15">
        <f>IF($H685="","",IFERROR(INDEX(FormData,$H685,f_Time),""))</f>
        <v/>
      </c>
      <c r="D685" s="14">
        <f>IF($H685="","",IFERROR(UPPER(LEFT(TRIM(INDEX(FormData,$H685,f_Name)),1)&amp;IFERROR(MID(TRIM(INDEX(FormData,$H685,f_Name)),FIND("^",SUBSTITUTE(TRIM(INDEX(FormData,$H685,f_Name))," ","^",LEN(TRIM(INDEX(FormData,$H685,f_Name)))-LEN(SUBSTITUTE(TRIM(INDEX(FormData,$H685,f_Name))," ",""))))+1,1),"")),""))</f>
        <v/>
      </c>
      <c r="E685" s="16">
        <f>IF($H685="","",IFERROR(INDEX(EvID,MATCH(INDEX(FormData,$H685,f_Event),EvID,0)),IFERROR(INDEX(EvID,MATCH(INDEX(FormData,$H685,f_Event),EvName,0)),IFERROR(INDEX(EvID,MATCH(INT($C685),EvDate,0)),"(no event that day)"))))</f>
        <v/>
      </c>
      <c r="F685" s="16">
        <f>IF($H685="","",IFERROR(IF(SUMPRODUCT(MAX((WhoKW&lt;&gt;"")*ISNUMBER(SEARCH(WhoKW,INDEX(FormData,$H685,f_Who)&amp;""))*(ROW(WhoKW)-MIN(ROW(WhoKW))+1)))=0,"",INDEX(WhoVal,SUMPRODUCT(MAX((WhoKW&lt;&gt;"")*ISNUMBER(SEARCH(WhoKW,INDEX(FormData,$H685,f_Who)&amp;""))*(ROW(WhoKW)-MIN(ROW(WhoKW))+1))))),""))</f>
        <v/>
      </c>
      <c r="G685" s="14">
        <f>IF($H685="","",IF(COUNTIF(People!$U$5:$U$604,$B685)+COUNTIF(People!$U$5:$U$604,$B685&amp;"")&gt;0,"✓ logged","→ add"))</f>
        <v/>
      </c>
      <c r="H685">
        <f>IFERROR(IF(INDEX(FormData,682,f_Id)&amp;""="","",682),"")</f>
        <v/>
      </c>
      <c r="I685" s="16">
        <f>IF($H685="","",IFERROR(INDEX(FormData,$H685,f_Need)&amp;"",""))</f>
        <v/>
      </c>
    </row>
    <row r="686">
      <c r="A686" s="14" t="n">
        <v>682</v>
      </c>
      <c r="B686" s="14">
        <f>IF($H686="","",INDEX(FormData,$H686,f_Id))</f>
        <v/>
      </c>
      <c r="C686" s="15">
        <f>IF($H686="","",IFERROR(INDEX(FormData,$H686,f_Time),""))</f>
        <v/>
      </c>
      <c r="D686" s="14">
        <f>IF($H686="","",IFERROR(UPPER(LEFT(TRIM(INDEX(FormData,$H686,f_Name)),1)&amp;IFERROR(MID(TRIM(INDEX(FormData,$H686,f_Name)),FIND("^",SUBSTITUTE(TRIM(INDEX(FormData,$H686,f_Name))," ","^",LEN(TRIM(INDEX(FormData,$H686,f_Name)))-LEN(SUBSTITUTE(TRIM(INDEX(FormData,$H686,f_Name))," ",""))))+1,1),"")),""))</f>
        <v/>
      </c>
      <c r="E686" s="16">
        <f>IF($H686="","",IFERROR(INDEX(EvID,MATCH(INDEX(FormData,$H686,f_Event),EvID,0)),IFERROR(INDEX(EvID,MATCH(INDEX(FormData,$H686,f_Event),EvName,0)),IFERROR(INDEX(EvID,MATCH(INT($C686),EvDate,0)),"(no event that day)"))))</f>
        <v/>
      </c>
      <c r="F686" s="16">
        <f>IF($H686="","",IFERROR(IF(SUMPRODUCT(MAX((WhoKW&lt;&gt;"")*ISNUMBER(SEARCH(WhoKW,INDEX(FormData,$H686,f_Who)&amp;""))*(ROW(WhoKW)-MIN(ROW(WhoKW))+1)))=0,"",INDEX(WhoVal,SUMPRODUCT(MAX((WhoKW&lt;&gt;"")*ISNUMBER(SEARCH(WhoKW,INDEX(FormData,$H686,f_Who)&amp;""))*(ROW(WhoKW)-MIN(ROW(WhoKW))+1))))),""))</f>
        <v/>
      </c>
      <c r="G686" s="14">
        <f>IF($H686="","",IF(COUNTIF(People!$U$5:$U$604,$B686)+COUNTIF(People!$U$5:$U$604,$B686&amp;"")&gt;0,"✓ logged","→ add"))</f>
        <v/>
      </c>
      <c r="H686">
        <f>IFERROR(IF(INDEX(FormData,683,f_Id)&amp;""="","",683),"")</f>
        <v/>
      </c>
      <c r="I686" s="16">
        <f>IF($H686="","",IFERROR(INDEX(FormData,$H686,f_Need)&amp;"",""))</f>
        <v/>
      </c>
    </row>
    <row r="687">
      <c r="A687" s="14" t="n">
        <v>683</v>
      </c>
      <c r="B687" s="14">
        <f>IF($H687="","",INDEX(FormData,$H687,f_Id))</f>
        <v/>
      </c>
      <c r="C687" s="15">
        <f>IF($H687="","",IFERROR(INDEX(FormData,$H687,f_Time),""))</f>
        <v/>
      </c>
      <c r="D687" s="14">
        <f>IF($H687="","",IFERROR(UPPER(LEFT(TRIM(INDEX(FormData,$H687,f_Name)),1)&amp;IFERROR(MID(TRIM(INDEX(FormData,$H687,f_Name)),FIND("^",SUBSTITUTE(TRIM(INDEX(FormData,$H687,f_Name))," ","^",LEN(TRIM(INDEX(FormData,$H687,f_Name)))-LEN(SUBSTITUTE(TRIM(INDEX(FormData,$H687,f_Name))," ",""))))+1,1),"")),""))</f>
        <v/>
      </c>
      <c r="E687" s="16">
        <f>IF($H687="","",IFERROR(INDEX(EvID,MATCH(INDEX(FormData,$H687,f_Event),EvID,0)),IFERROR(INDEX(EvID,MATCH(INDEX(FormData,$H687,f_Event),EvName,0)),IFERROR(INDEX(EvID,MATCH(INT($C687),EvDate,0)),"(no event that day)"))))</f>
        <v/>
      </c>
      <c r="F687" s="16">
        <f>IF($H687="","",IFERROR(IF(SUMPRODUCT(MAX((WhoKW&lt;&gt;"")*ISNUMBER(SEARCH(WhoKW,INDEX(FormData,$H687,f_Who)&amp;""))*(ROW(WhoKW)-MIN(ROW(WhoKW))+1)))=0,"",INDEX(WhoVal,SUMPRODUCT(MAX((WhoKW&lt;&gt;"")*ISNUMBER(SEARCH(WhoKW,INDEX(FormData,$H687,f_Who)&amp;""))*(ROW(WhoKW)-MIN(ROW(WhoKW))+1))))),""))</f>
        <v/>
      </c>
      <c r="G687" s="14">
        <f>IF($H687="","",IF(COUNTIF(People!$U$5:$U$604,$B687)+COUNTIF(People!$U$5:$U$604,$B687&amp;"")&gt;0,"✓ logged","→ add"))</f>
        <v/>
      </c>
      <c r="H687">
        <f>IFERROR(IF(INDEX(FormData,684,f_Id)&amp;""="","",684),"")</f>
        <v/>
      </c>
      <c r="I687" s="16">
        <f>IF($H687="","",IFERROR(INDEX(FormData,$H687,f_Need)&amp;"",""))</f>
        <v/>
      </c>
    </row>
    <row r="688">
      <c r="A688" s="14" t="n">
        <v>684</v>
      </c>
      <c r="B688" s="14">
        <f>IF($H688="","",INDEX(FormData,$H688,f_Id))</f>
        <v/>
      </c>
      <c r="C688" s="15">
        <f>IF($H688="","",IFERROR(INDEX(FormData,$H688,f_Time),""))</f>
        <v/>
      </c>
      <c r="D688" s="14">
        <f>IF($H688="","",IFERROR(UPPER(LEFT(TRIM(INDEX(FormData,$H688,f_Name)),1)&amp;IFERROR(MID(TRIM(INDEX(FormData,$H688,f_Name)),FIND("^",SUBSTITUTE(TRIM(INDEX(FormData,$H688,f_Name))," ","^",LEN(TRIM(INDEX(FormData,$H688,f_Name)))-LEN(SUBSTITUTE(TRIM(INDEX(FormData,$H688,f_Name))," ",""))))+1,1),"")),""))</f>
        <v/>
      </c>
      <c r="E688" s="16">
        <f>IF($H688="","",IFERROR(INDEX(EvID,MATCH(INDEX(FormData,$H688,f_Event),EvID,0)),IFERROR(INDEX(EvID,MATCH(INDEX(FormData,$H688,f_Event),EvName,0)),IFERROR(INDEX(EvID,MATCH(INT($C688),EvDate,0)),"(no event that day)"))))</f>
        <v/>
      </c>
      <c r="F688" s="16">
        <f>IF($H688="","",IFERROR(IF(SUMPRODUCT(MAX((WhoKW&lt;&gt;"")*ISNUMBER(SEARCH(WhoKW,INDEX(FormData,$H688,f_Who)&amp;""))*(ROW(WhoKW)-MIN(ROW(WhoKW))+1)))=0,"",INDEX(WhoVal,SUMPRODUCT(MAX((WhoKW&lt;&gt;"")*ISNUMBER(SEARCH(WhoKW,INDEX(FormData,$H688,f_Who)&amp;""))*(ROW(WhoKW)-MIN(ROW(WhoKW))+1))))),""))</f>
        <v/>
      </c>
      <c r="G688" s="14">
        <f>IF($H688="","",IF(COUNTIF(People!$U$5:$U$604,$B688)+COUNTIF(People!$U$5:$U$604,$B688&amp;"")&gt;0,"✓ logged","→ add"))</f>
        <v/>
      </c>
      <c r="H688">
        <f>IFERROR(IF(INDEX(FormData,685,f_Id)&amp;""="","",685),"")</f>
        <v/>
      </c>
      <c r="I688" s="16">
        <f>IF($H688="","",IFERROR(INDEX(FormData,$H688,f_Need)&amp;"",""))</f>
        <v/>
      </c>
    </row>
    <row r="689">
      <c r="A689" s="14" t="n">
        <v>685</v>
      </c>
      <c r="B689" s="14">
        <f>IF($H689="","",INDEX(FormData,$H689,f_Id))</f>
        <v/>
      </c>
      <c r="C689" s="15">
        <f>IF($H689="","",IFERROR(INDEX(FormData,$H689,f_Time),""))</f>
        <v/>
      </c>
      <c r="D689" s="14">
        <f>IF($H689="","",IFERROR(UPPER(LEFT(TRIM(INDEX(FormData,$H689,f_Name)),1)&amp;IFERROR(MID(TRIM(INDEX(FormData,$H689,f_Name)),FIND("^",SUBSTITUTE(TRIM(INDEX(FormData,$H689,f_Name))," ","^",LEN(TRIM(INDEX(FormData,$H689,f_Name)))-LEN(SUBSTITUTE(TRIM(INDEX(FormData,$H689,f_Name))," ",""))))+1,1),"")),""))</f>
        <v/>
      </c>
      <c r="E689" s="16">
        <f>IF($H689="","",IFERROR(INDEX(EvID,MATCH(INDEX(FormData,$H689,f_Event),EvID,0)),IFERROR(INDEX(EvID,MATCH(INDEX(FormData,$H689,f_Event),EvName,0)),IFERROR(INDEX(EvID,MATCH(INT($C689),EvDate,0)),"(no event that day)"))))</f>
        <v/>
      </c>
      <c r="F689" s="16">
        <f>IF($H689="","",IFERROR(IF(SUMPRODUCT(MAX((WhoKW&lt;&gt;"")*ISNUMBER(SEARCH(WhoKW,INDEX(FormData,$H689,f_Who)&amp;""))*(ROW(WhoKW)-MIN(ROW(WhoKW))+1)))=0,"",INDEX(WhoVal,SUMPRODUCT(MAX((WhoKW&lt;&gt;"")*ISNUMBER(SEARCH(WhoKW,INDEX(FormData,$H689,f_Who)&amp;""))*(ROW(WhoKW)-MIN(ROW(WhoKW))+1))))),""))</f>
        <v/>
      </c>
      <c r="G689" s="14">
        <f>IF($H689="","",IF(COUNTIF(People!$U$5:$U$604,$B689)+COUNTIF(People!$U$5:$U$604,$B689&amp;"")&gt;0,"✓ logged","→ add"))</f>
        <v/>
      </c>
      <c r="H689">
        <f>IFERROR(IF(INDEX(FormData,686,f_Id)&amp;""="","",686),"")</f>
        <v/>
      </c>
      <c r="I689" s="16">
        <f>IF($H689="","",IFERROR(INDEX(FormData,$H689,f_Need)&amp;"",""))</f>
        <v/>
      </c>
    </row>
    <row r="690">
      <c r="A690" s="14" t="n">
        <v>686</v>
      </c>
      <c r="B690" s="14">
        <f>IF($H690="","",INDEX(FormData,$H690,f_Id))</f>
        <v/>
      </c>
      <c r="C690" s="15">
        <f>IF($H690="","",IFERROR(INDEX(FormData,$H690,f_Time),""))</f>
        <v/>
      </c>
      <c r="D690" s="14">
        <f>IF($H690="","",IFERROR(UPPER(LEFT(TRIM(INDEX(FormData,$H690,f_Name)),1)&amp;IFERROR(MID(TRIM(INDEX(FormData,$H690,f_Name)),FIND("^",SUBSTITUTE(TRIM(INDEX(FormData,$H690,f_Name))," ","^",LEN(TRIM(INDEX(FormData,$H690,f_Name)))-LEN(SUBSTITUTE(TRIM(INDEX(FormData,$H690,f_Name))," ",""))))+1,1),"")),""))</f>
        <v/>
      </c>
      <c r="E690" s="16">
        <f>IF($H690="","",IFERROR(INDEX(EvID,MATCH(INDEX(FormData,$H690,f_Event),EvID,0)),IFERROR(INDEX(EvID,MATCH(INDEX(FormData,$H690,f_Event),EvName,0)),IFERROR(INDEX(EvID,MATCH(INT($C690),EvDate,0)),"(no event that day)"))))</f>
        <v/>
      </c>
      <c r="F690" s="16">
        <f>IF($H690="","",IFERROR(IF(SUMPRODUCT(MAX((WhoKW&lt;&gt;"")*ISNUMBER(SEARCH(WhoKW,INDEX(FormData,$H690,f_Who)&amp;""))*(ROW(WhoKW)-MIN(ROW(WhoKW))+1)))=0,"",INDEX(WhoVal,SUMPRODUCT(MAX((WhoKW&lt;&gt;"")*ISNUMBER(SEARCH(WhoKW,INDEX(FormData,$H690,f_Who)&amp;""))*(ROW(WhoKW)-MIN(ROW(WhoKW))+1))))),""))</f>
        <v/>
      </c>
      <c r="G690" s="14">
        <f>IF($H690="","",IF(COUNTIF(People!$U$5:$U$604,$B690)+COUNTIF(People!$U$5:$U$604,$B690&amp;"")&gt;0,"✓ logged","→ add"))</f>
        <v/>
      </c>
      <c r="H690">
        <f>IFERROR(IF(INDEX(FormData,687,f_Id)&amp;""="","",687),"")</f>
        <v/>
      </c>
      <c r="I690" s="16">
        <f>IF($H690="","",IFERROR(INDEX(FormData,$H690,f_Need)&amp;"",""))</f>
        <v/>
      </c>
    </row>
    <row r="691">
      <c r="A691" s="14" t="n">
        <v>687</v>
      </c>
      <c r="B691" s="14">
        <f>IF($H691="","",INDEX(FormData,$H691,f_Id))</f>
        <v/>
      </c>
      <c r="C691" s="15">
        <f>IF($H691="","",IFERROR(INDEX(FormData,$H691,f_Time),""))</f>
        <v/>
      </c>
      <c r="D691" s="14">
        <f>IF($H691="","",IFERROR(UPPER(LEFT(TRIM(INDEX(FormData,$H691,f_Name)),1)&amp;IFERROR(MID(TRIM(INDEX(FormData,$H691,f_Name)),FIND("^",SUBSTITUTE(TRIM(INDEX(FormData,$H691,f_Name))," ","^",LEN(TRIM(INDEX(FormData,$H691,f_Name)))-LEN(SUBSTITUTE(TRIM(INDEX(FormData,$H691,f_Name))," ",""))))+1,1),"")),""))</f>
        <v/>
      </c>
      <c r="E691" s="16">
        <f>IF($H691="","",IFERROR(INDEX(EvID,MATCH(INDEX(FormData,$H691,f_Event),EvID,0)),IFERROR(INDEX(EvID,MATCH(INDEX(FormData,$H691,f_Event),EvName,0)),IFERROR(INDEX(EvID,MATCH(INT($C691),EvDate,0)),"(no event that day)"))))</f>
        <v/>
      </c>
      <c r="F691" s="16">
        <f>IF($H691="","",IFERROR(IF(SUMPRODUCT(MAX((WhoKW&lt;&gt;"")*ISNUMBER(SEARCH(WhoKW,INDEX(FormData,$H691,f_Who)&amp;""))*(ROW(WhoKW)-MIN(ROW(WhoKW))+1)))=0,"",INDEX(WhoVal,SUMPRODUCT(MAX((WhoKW&lt;&gt;"")*ISNUMBER(SEARCH(WhoKW,INDEX(FormData,$H691,f_Who)&amp;""))*(ROW(WhoKW)-MIN(ROW(WhoKW))+1))))),""))</f>
        <v/>
      </c>
      <c r="G691" s="14">
        <f>IF($H691="","",IF(COUNTIF(People!$U$5:$U$604,$B691)+COUNTIF(People!$U$5:$U$604,$B691&amp;"")&gt;0,"✓ logged","→ add"))</f>
        <v/>
      </c>
      <c r="H691">
        <f>IFERROR(IF(INDEX(FormData,688,f_Id)&amp;""="","",688),"")</f>
        <v/>
      </c>
      <c r="I691" s="16">
        <f>IF($H691="","",IFERROR(INDEX(FormData,$H691,f_Need)&amp;"",""))</f>
        <v/>
      </c>
    </row>
    <row r="692">
      <c r="A692" s="14" t="n">
        <v>688</v>
      </c>
      <c r="B692" s="14">
        <f>IF($H692="","",INDEX(FormData,$H692,f_Id))</f>
        <v/>
      </c>
      <c r="C692" s="15">
        <f>IF($H692="","",IFERROR(INDEX(FormData,$H692,f_Time),""))</f>
        <v/>
      </c>
      <c r="D692" s="14">
        <f>IF($H692="","",IFERROR(UPPER(LEFT(TRIM(INDEX(FormData,$H692,f_Name)),1)&amp;IFERROR(MID(TRIM(INDEX(FormData,$H692,f_Name)),FIND("^",SUBSTITUTE(TRIM(INDEX(FormData,$H692,f_Name))," ","^",LEN(TRIM(INDEX(FormData,$H692,f_Name)))-LEN(SUBSTITUTE(TRIM(INDEX(FormData,$H692,f_Name))," ",""))))+1,1),"")),""))</f>
        <v/>
      </c>
      <c r="E692" s="16">
        <f>IF($H692="","",IFERROR(INDEX(EvID,MATCH(INDEX(FormData,$H692,f_Event),EvID,0)),IFERROR(INDEX(EvID,MATCH(INDEX(FormData,$H692,f_Event),EvName,0)),IFERROR(INDEX(EvID,MATCH(INT($C692),EvDate,0)),"(no event that day)"))))</f>
        <v/>
      </c>
      <c r="F692" s="16">
        <f>IF($H692="","",IFERROR(IF(SUMPRODUCT(MAX((WhoKW&lt;&gt;"")*ISNUMBER(SEARCH(WhoKW,INDEX(FormData,$H692,f_Who)&amp;""))*(ROW(WhoKW)-MIN(ROW(WhoKW))+1)))=0,"",INDEX(WhoVal,SUMPRODUCT(MAX((WhoKW&lt;&gt;"")*ISNUMBER(SEARCH(WhoKW,INDEX(FormData,$H692,f_Who)&amp;""))*(ROW(WhoKW)-MIN(ROW(WhoKW))+1))))),""))</f>
        <v/>
      </c>
      <c r="G692" s="14">
        <f>IF($H692="","",IF(COUNTIF(People!$U$5:$U$604,$B692)+COUNTIF(People!$U$5:$U$604,$B692&amp;"")&gt;0,"✓ logged","→ add"))</f>
        <v/>
      </c>
      <c r="H692">
        <f>IFERROR(IF(INDEX(FormData,689,f_Id)&amp;""="","",689),"")</f>
        <v/>
      </c>
      <c r="I692" s="16">
        <f>IF($H692="","",IFERROR(INDEX(FormData,$H692,f_Need)&amp;"",""))</f>
        <v/>
      </c>
    </row>
    <row r="693">
      <c r="A693" s="14" t="n">
        <v>689</v>
      </c>
      <c r="B693" s="14">
        <f>IF($H693="","",INDEX(FormData,$H693,f_Id))</f>
        <v/>
      </c>
      <c r="C693" s="15">
        <f>IF($H693="","",IFERROR(INDEX(FormData,$H693,f_Time),""))</f>
        <v/>
      </c>
      <c r="D693" s="14">
        <f>IF($H693="","",IFERROR(UPPER(LEFT(TRIM(INDEX(FormData,$H693,f_Name)),1)&amp;IFERROR(MID(TRIM(INDEX(FormData,$H693,f_Name)),FIND("^",SUBSTITUTE(TRIM(INDEX(FormData,$H693,f_Name))," ","^",LEN(TRIM(INDEX(FormData,$H693,f_Name)))-LEN(SUBSTITUTE(TRIM(INDEX(FormData,$H693,f_Name))," ",""))))+1,1),"")),""))</f>
        <v/>
      </c>
      <c r="E693" s="16">
        <f>IF($H693="","",IFERROR(INDEX(EvID,MATCH(INDEX(FormData,$H693,f_Event),EvID,0)),IFERROR(INDEX(EvID,MATCH(INDEX(FormData,$H693,f_Event),EvName,0)),IFERROR(INDEX(EvID,MATCH(INT($C693),EvDate,0)),"(no event that day)"))))</f>
        <v/>
      </c>
      <c r="F693" s="16">
        <f>IF($H693="","",IFERROR(IF(SUMPRODUCT(MAX((WhoKW&lt;&gt;"")*ISNUMBER(SEARCH(WhoKW,INDEX(FormData,$H693,f_Who)&amp;""))*(ROW(WhoKW)-MIN(ROW(WhoKW))+1)))=0,"",INDEX(WhoVal,SUMPRODUCT(MAX((WhoKW&lt;&gt;"")*ISNUMBER(SEARCH(WhoKW,INDEX(FormData,$H693,f_Who)&amp;""))*(ROW(WhoKW)-MIN(ROW(WhoKW))+1))))),""))</f>
        <v/>
      </c>
      <c r="G693" s="14">
        <f>IF($H693="","",IF(COUNTIF(People!$U$5:$U$604,$B693)+COUNTIF(People!$U$5:$U$604,$B693&amp;"")&gt;0,"✓ logged","→ add"))</f>
        <v/>
      </c>
      <c r="H693">
        <f>IFERROR(IF(INDEX(FormData,690,f_Id)&amp;""="","",690),"")</f>
        <v/>
      </c>
      <c r="I693" s="16">
        <f>IF($H693="","",IFERROR(INDEX(FormData,$H693,f_Need)&amp;"",""))</f>
        <v/>
      </c>
    </row>
    <row r="694">
      <c r="A694" s="14" t="n">
        <v>690</v>
      </c>
      <c r="B694" s="14">
        <f>IF($H694="","",INDEX(FormData,$H694,f_Id))</f>
        <v/>
      </c>
      <c r="C694" s="15">
        <f>IF($H694="","",IFERROR(INDEX(FormData,$H694,f_Time),""))</f>
        <v/>
      </c>
      <c r="D694" s="14">
        <f>IF($H694="","",IFERROR(UPPER(LEFT(TRIM(INDEX(FormData,$H694,f_Name)),1)&amp;IFERROR(MID(TRIM(INDEX(FormData,$H694,f_Name)),FIND("^",SUBSTITUTE(TRIM(INDEX(FormData,$H694,f_Name))," ","^",LEN(TRIM(INDEX(FormData,$H694,f_Name)))-LEN(SUBSTITUTE(TRIM(INDEX(FormData,$H694,f_Name))," ",""))))+1,1),"")),""))</f>
        <v/>
      </c>
      <c r="E694" s="16">
        <f>IF($H694="","",IFERROR(INDEX(EvID,MATCH(INDEX(FormData,$H694,f_Event),EvID,0)),IFERROR(INDEX(EvID,MATCH(INDEX(FormData,$H694,f_Event),EvName,0)),IFERROR(INDEX(EvID,MATCH(INT($C694),EvDate,0)),"(no event that day)"))))</f>
        <v/>
      </c>
      <c r="F694" s="16">
        <f>IF($H694="","",IFERROR(IF(SUMPRODUCT(MAX((WhoKW&lt;&gt;"")*ISNUMBER(SEARCH(WhoKW,INDEX(FormData,$H694,f_Who)&amp;""))*(ROW(WhoKW)-MIN(ROW(WhoKW))+1)))=0,"",INDEX(WhoVal,SUMPRODUCT(MAX((WhoKW&lt;&gt;"")*ISNUMBER(SEARCH(WhoKW,INDEX(FormData,$H694,f_Who)&amp;""))*(ROW(WhoKW)-MIN(ROW(WhoKW))+1))))),""))</f>
        <v/>
      </c>
      <c r="G694" s="14">
        <f>IF($H694="","",IF(COUNTIF(People!$U$5:$U$604,$B694)+COUNTIF(People!$U$5:$U$604,$B694&amp;"")&gt;0,"✓ logged","→ add"))</f>
        <v/>
      </c>
      <c r="H694">
        <f>IFERROR(IF(INDEX(FormData,691,f_Id)&amp;""="","",691),"")</f>
        <v/>
      </c>
      <c r="I694" s="16">
        <f>IF($H694="","",IFERROR(INDEX(FormData,$H694,f_Need)&amp;"",""))</f>
        <v/>
      </c>
    </row>
    <row r="695">
      <c r="A695" s="14" t="n">
        <v>691</v>
      </c>
      <c r="B695" s="14">
        <f>IF($H695="","",INDEX(FormData,$H695,f_Id))</f>
        <v/>
      </c>
      <c r="C695" s="15">
        <f>IF($H695="","",IFERROR(INDEX(FormData,$H695,f_Time),""))</f>
        <v/>
      </c>
      <c r="D695" s="14">
        <f>IF($H695="","",IFERROR(UPPER(LEFT(TRIM(INDEX(FormData,$H695,f_Name)),1)&amp;IFERROR(MID(TRIM(INDEX(FormData,$H695,f_Name)),FIND("^",SUBSTITUTE(TRIM(INDEX(FormData,$H695,f_Name))," ","^",LEN(TRIM(INDEX(FormData,$H695,f_Name)))-LEN(SUBSTITUTE(TRIM(INDEX(FormData,$H695,f_Name))," ",""))))+1,1),"")),""))</f>
        <v/>
      </c>
      <c r="E695" s="16">
        <f>IF($H695="","",IFERROR(INDEX(EvID,MATCH(INDEX(FormData,$H695,f_Event),EvID,0)),IFERROR(INDEX(EvID,MATCH(INDEX(FormData,$H695,f_Event),EvName,0)),IFERROR(INDEX(EvID,MATCH(INT($C695),EvDate,0)),"(no event that day)"))))</f>
        <v/>
      </c>
      <c r="F695" s="16">
        <f>IF($H695="","",IFERROR(IF(SUMPRODUCT(MAX((WhoKW&lt;&gt;"")*ISNUMBER(SEARCH(WhoKW,INDEX(FormData,$H695,f_Who)&amp;""))*(ROW(WhoKW)-MIN(ROW(WhoKW))+1)))=0,"",INDEX(WhoVal,SUMPRODUCT(MAX((WhoKW&lt;&gt;"")*ISNUMBER(SEARCH(WhoKW,INDEX(FormData,$H695,f_Who)&amp;""))*(ROW(WhoKW)-MIN(ROW(WhoKW))+1))))),""))</f>
        <v/>
      </c>
      <c r="G695" s="14">
        <f>IF($H695="","",IF(COUNTIF(People!$U$5:$U$604,$B695)+COUNTIF(People!$U$5:$U$604,$B695&amp;"")&gt;0,"✓ logged","→ add"))</f>
        <v/>
      </c>
      <c r="H695">
        <f>IFERROR(IF(INDEX(FormData,692,f_Id)&amp;""="","",692),"")</f>
        <v/>
      </c>
      <c r="I695" s="16">
        <f>IF($H695="","",IFERROR(INDEX(FormData,$H695,f_Need)&amp;"",""))</f>
        <v/>
      </c>
    </row>
    <row r="696">
      <c r="A696" s="14" t="n">
        <v>692</v>
      </c>
      <c r="B696" s="14">
        <f>IF($H696="","",INDEX(FormData,$H696,f_Id))</f>
        <v/>
      </c>
      <c r="C696" s="15">
        <f>IF($H696="","",IFERROR(INDEX(FormData,$H696,f_Time),""))</f>
        <v/>
      </c>
      <c r="D696" s="14">
        <f>IF($H696="","",IFERROR(UPPER(LEFT(TRIM(INDEX(FormData,$H696,f_Name)),1)&amp;IFERROR(MID(TRIM(INDEX(FormData,$H696,f_Name)),FIND("^",SUBSTITUTE(TRIM(INDEX(FormData,$H696,f_Name))," ","^",LEN(TRIM(INDEX(FormData,$H696,f_Name)))-LEN(SUBSTITUTE(TRIM(INDEX(FormData,$H696,f_Name))," ",""))))+1,1),"")),""))</f>
        <v/>
      </c>
      <c r="E696" s="16">
        <f>IF($H696="","",IFERROR(INDEX(EvID,MATCH(INDEX(FormData,$H696,f_Event),EvID,0)),IFERROR(INDEX(EvID,MATCH(INDEX(FormData,$H696,f_Event),EvName,0)),IFERROR(INDEX(EvID,MATCH(INT($C696),EvDate,0)),"(no event that day)"))))</f>
        <v/>
      </c>
      <c r="F696" s="16">
        <f>IF($H696="","",IFERROR(IF(SUMPRODUCT(MAX((WhoKW&lt;&gt;"")*ISNUMBER(SEARCH(WhoKW,INDEX(FormData,$H696,f_Who)&amp;""))*(ROW(WhoKW)-MIN(ROW(WhoKW))+1)))=0,"",INDEX(WhoVal,SUMPRODUCT(MAX((WhoKW&lt;&gt;"")*ISNUMBER(SEARCH(WhoKW,INDEX(FormData,$H696,f_Who)&amp;""))*(ROW(WhoKW)-MIN(ROW(WhoKW))+1))))),""))</f>
        <v/>
      </c>
      <c r="G696" s="14">
        <f>IF($H696="","",IF(COUNTIF(People!$U$5:$U$604,$B696)+COUNTIF(People!$U$5:$U$604,$B696&amp;"")&gt;0,"✓ logged","→ add"))</f>
        <v/>
      </c>
      <c r="H696">
        <f>IFERROR(IF(INDEX(FormData,693,f_Id)&amp;""="","",693),"")</f>
        <v/>
      </c>
      <c r="I696" s="16">
        <f>IF($H696="","",IFERROR(INDEX(FormData,$H696,f_Need)&amp;"",""))</f>
        <v/>
      </c>
    </row>
    <row r="697">
      <c r="A697" s="14" t="n">
        <v>693</v>
      </c>
      <c r="B697" s="14">
        <f>IF($H697="","",INDEX(FormData,$H697,f_Id))</f>
        <v/>
      </c>
      <c r="C697" s="15">
        <f>IF($H697="","",IFERROR(INDEX(FormData,$H697,f_Time),""))</f>
        <v/>
      </c>
      <c r="D697" s="14">
        <f>IF($H697="","",IFERROR(UPPER(LEFT(TRIM(INDEX(FormData,$H697,f_Name)),1)&amp;IFERROR(MID(TRIM(INDEX(FormData,$H697,f_Name)),FIND("^",SUBSTITUTE(TRIM(INDEX(FormData,$H697,f_Name))," ","^",LEN(TRIM(INDEX(FormData,$H697,f_Name)))-LEN(SUBSTITUTE(TRIM(INDEX(FormData,$H697,f_Name))," ",""))))+1,1),"")),""))</f>
        <v/>
      </c>
      <c r="E697" s="16">
        <f>IF($H697="","",IFERROR(INDEX(EvID,MATCH(INDEX(FormData,$H697,f_Event),EvID,0)),IFERROR(INDEX(EvID,MATCH(INDEX(FormData,$H697,f_Event),EvName,0)),IFERROR(INDEX(EvID,MATCH(INT($C697),EvDate,0)),"(no event that day)"))))</f>
        <v/>
      </c>
      <c r="F697" s="16">
        <f>IF($H697="","",IFERROR(IF(SUMPRODUCT(MAX((WhoKW&lt;&gt;"")*ISNUMBER(SEARCH(WhoKW,INDEX(FormData,$H697,f_Who)&amp;""))*(ROW(WhoKW)-MIN(ROW(WhoKW))+1)))=0,"",INDEX(WhoVal,SUMPRODUCT(MAX((WhoKW&lt;&gt;"")*ISNUMBER(SEARCH(WhoKW,INDEX(FormData,$H697,f_Who)&amp;""))*(ROW(WhoKW)-MIN(ROW(WhoKW))+1))))),""))</f>
        <v/>
      </c>
      <c r="G697" s="14">
        <f>IF($H697="","",IF(COUNTIF(People!$U$5:$U$604,$B697)+COUNTIF(People!$U$5:$U$604,$B697&amp;"")&gt;0,"✓ logged","→ add"))</f>
        <v/>
      </c>
      <c r="H697">
        <f>IFERROR(IF(INDEX(FormData,694,f_Id)&amp;""="","",694),"")</f>
        <v/>
      </c>
      <c r="I697" s="16">
        <f>IF($H697="","",IFERROR(INDEX(FormData,$H697,f_Need)&amp;"",""))</f>
        <v/>
      </c>
    </row>
    <row r="698">
      <c r="A698" s="14" t="n">
        <v>694</v>
      </c>
      <c r="B698" s="14">
        <f>IF($H698="","",INDEX(FormData,$H698,f_Id))</f>
        <v/>
      </c>
      <c r="C698" s="15">
        <f>IF($H698="","",IFERROR(INDEX(FormData,$H698,f_Time),""))</f>
        <v/>
      </c>
      <c r="D698" s="14">
        <f>IF($H698="","",IFERROR(UPPER(LEFT(TRIM(INDEX(FormData,$H698,f_Name)),1)&amp;IFERROR(MID(TRIM(INDEX(FormData,$H698,f_Name)),FIND("^",SUBSTITUTE(TRIM(INDEX(FormData,$H698,f_Name))," ","^",LEN(TRIM(INDEX(FormData,$H698,f_Name)))-LEN(SUBSTITUTE(TRIM(INDEX(FormData,$H698,f_Name))," ",""))))+1,1),"")),""))</f>
        <v/>
      </c>
      <c r="E698" s="16">
        <f>IF($H698="","",IFERROR(INDEX(EvID,MATCH(INDEX(FormData,$H698,f_Event),EvID,0)),IFERROR(INDEX(EvID,MATCH(INDEX(FormData,$H698,f_Event),EvName,0)),IFERROR(INDEX(EvID,MATCH(INT($C698),EvDate,0)),"(no event that day)"))))</f>
        <v/>
      </c>
      <c r="F698" s="16">
        <f>IF($H698="","",IFERROR(IF(SUMPRODUCT(MAX((WhoKW&lt;&gt;"")*ISNUMBER(SEARCH(WhoKW,INDEX(FormData,$H698,f_Who)&amp;""))*(ROW(WhoKW)-MIN(ROW(WhoKW))+1)))=0,"",INDEX(WhoVal,SUMPRODUCT(MAX((WhoKW&lt;&gt;"")*ISNUMBER(SEARCH(WhoKW,INDEX(FormData,$H698,f_Who)&amp;""))*(ROW(WhoKW)-MIN(ROW(WhoKW))+1))))),""))</f>
        <v/>
      </c>
      <c r="G698" s="14">
        <f>IF($H698="","",IF(COUNTIF(People!$U$5:$U$604,$B698)+COUNTIF(People!$U$5:$U$604,$B698&amp;"")&gt;0,"✓ logged","→ add"))</f>
        <v/>
      </c>
      <c r="H698">
        <f>IFERROR(IF(INDEX(FormData,695,f_Id)&amp;""="","",695),"")</f>
        <v/>
      </c>
      <c r="I698" s="16">
        <f>IF($H698="","",IFERROR(INDEX(FormData,$H698,f_Need)&amp;"",""))</f>
        <v/>
      </c>
    </row>
    <row r="699">
      <c r="A699" s="14" t="n">
        <v>695</v>
      </c>
      <c r="B699" s="14">
        <f>IF($H699="","",INDEX(FormData,$H699,f_Id))</f>
        <v/>
      </c>
      <c r="C699" s="15">
        <f>IF($H699="","",IFERROR(INDEX(FormData,$H699,f_Time),""))</f>
        <v/>
      </c>
      <c r="D699" s="14">
        <f>IF($H699="","",IFERROR(UPPER(LEFT(TRIM(INDEX(FormData,$H699,f_Name)),1)&amp;IFERROR(MID(TRIM(INDEX(FormData,$H699,f_Name)),FIND("^",SUBSTITUTE(TRIM(INDEX(FormData,$H699,f_Name))," ","^",LEN(TRIM(INDEX(FormData,$H699,f_Name)))-LEN(SUBSTITUTE(TRIM(INDEX(FormData,$H699,f_Name))," ",""))))+1,1),"")),""))</f>
        <v/>
      </c>
      <c r="E699" s="16">
        <f>IF($H699="","",IFERROR(INDEX(EvID,MATCH(INDEX(FormData,$H699,f_Event),EvID,0)),IFERROR(INDEX(EvID,MATCH(INDEX(FormData,$H699,f_Event),EvName,0)),IFERROR(INDEX(EvID,MATCH(INT($C699),EvDate,0)),"(no event that day)"))))</f>
        <v/>
      </c>
      <c r="F699" s="16">
        <f>IF($H699="","",IFERROR(IF(SUMPRODUCT(MAX((WhoKW&lt;&gt;"")*ISNUMBER(SEARCH(WhoKW,INDEX(FormData,$H699,f_Who)&amp;""))*(ROW(WhoKW)-MIN(ROW(WhoKW))+1)))=0,"",INDEX(WhoVal,SUMPRODUCT(MAX((WhoKW&lt;&gt;"")*ISNUMBER(SEARCH(WhoKW,INDEX(FormData,$H699,f_Who)&amp;""))*(ROW(WhoKW)-MIN(ROW(WhoKW))+1))))),""))</f>
        <v/>
      </c>
      <c r="G699" s="14">
        <f>IF($H699="","",IF(COUNTIF(People!$U$5:$U$604,$B699)+COUNTIF(People!$U$5:$U$604,$B699&amp;"")&gt;0,"✓ logged","→ add"))</f>
        <v/>
      </c>
      <c r="H699">
        <f>IFERROR(IF(INDEX(FormData,696,f_Id)&amp;""="","",696),"")</f>
        <v/>
      </c>
      <c r="I699" s="16">
        <f>IF($H699="","",IFERROR(INDEX(FormData,$H699,f_Need)&amp;"",""))</f>
        <v/>
      </c>
    </row>
    <row r="700">
      <c r="A700" s="14" t="n">
        <v>696</v>
      </c>
      <c r="B700" s="14">
        <f>IF($H700="","",INDEX(FormData,$H700,f_Id))</f>
        <v/>
      </c>
      <c r="C700" s="15">
        <f>IF($H700="","",IFERROR(INDEX(FormData,$H700,f_Time),""))</f>
        <v/>
      </c>
      <c r="D700" s="14">
        <f>IF($H700="","",IFERROR(UPPER(LEFT(TRIM(INDEX(FormData,$H700,f_Name)),1)&amp;IFERROR(MID(TRIM(INDEX(FormData,$H700,f_Name)),FIND("^",SUBSTITUTE(TRIM(INDEX(FormData,$H700,f_Name))," ","^",LEN(TRIM(INDEX(FormData,$H700,f_Name)))-LEN(SUBSTITUTE(TRIM(INDEX(FormData,$H700,f_Name))," ",""))))+1,1),"")),""))</f>
        <v/>
      </c>
      <c r="E700" s="16">
        <f>IF($H700="","",IFERROR(INDEX(EvID,MATCH(INDEX(FormData,$H700,f_Event),EvID,0)),IFERROR(INDEX(EvID,MATCH(INDEX(FormData,$H700,f_Event),EvName,0)),IFERROR(INDEX(EvID,MATCH(INT($C700),EvDate,0)),"(no event that day)"))))</f>
        <v/>
      </c>
      <c r="F700" s="16">
        <f>IF($H700="","",IFERROR(IF(SUMPRODUCT(MAX((WhoKW&lt;&gt;"")*ISNUMBER(SEARCH(WhoKW,INDEX(FormData,$H700,f_Who)&amp;""))*(ROW(WhoKW)-MIN(ROW(WhoKW))+1)))=0,"",INDEX(WhoVal,SUMPRODUCT(MAX((WhoKW&lt;&gt;"")*ISNUMBER(SEARCH(WhoKW,INDEX(FormData,$H700,f_Who)&amp;""))*(ROW(WhoKW)-MIN(ROW(WhoKW))+1))))),""))</f>
        <v/>
      </c>
      <c r="G700" s="14">
        <f>IF($H700="","",IF(COUNTIF(People!$U$5:$U$604,$B700)+COUNTIF(People!$U$5:$U$604,$B700&amp;"")&gt;0,"✓ logged","→ add"))</f>
        <v/>
      </c>
      <c r="H700">
        <f>IFERROR(IF(INDEX(FormData,697,f_Id)&amp;""="","",697),"")</f>
        <v/>
      </c>
      <c r="I700" s="16">
        <f>IF($H700="","",IFERROR(INDEX(FormData,$H700,f_Need)&amp;"",""))</f>
        <v/>
      </c>
    </row>
    <row r="701">
      <c r="A701" s="14" t="n">
        <v>697</v>
      </c>
      <c r="B701" s="14">
        <f>IF($H701="","",INDEX(FormData,$H701,f_Id))</f>
        <v/>
      </c>
      <c r="C701" s="15">
        <f>IF($H701="","",IFERROR(INDEX(FormData,$H701,f_Time),""))</f>
        <v/>
      </c>
      <c r="D701" s="14">
        <f>IF($H701="","",IFERROR(UPPER(LEFT(TRIM(INDEX(FormData,$H701,f_Name)),1)&amp;IFERROR(MID(TRIM(INDEX(FormData,$H701,f_Name)),FIND("^",SUBSTITUTE(TRIM(INDEX(FormData,$H701,f_Name))," ","^",LEN(TRIM(INDEX(FormData,$H701,f_Name)))-LEN(SUBSTITUTE(TRIM(INDEX(FormData,$H701,f_Name))," ",""))))+1,1),"")),""))</f>
        <v/>
      </c>
      <c r="E701" s="16">
        <f>IF($H701="","",IFERROR(INDEX(EvID,MATCH(INDEX(FormData,$H701,f_Event),EvID,0)),IFERROR(INDEX(EvID,MATCH(INDEX(FormData,$H701,f_Event),EvName,0)),IFERROR(INDEX(EvID,MATCH(INT($C701),EvDate,0)),"(no event that day)"))))</f>
        <v/>
      </c>
      <c r="F701" s="16">
        <f>IF($H701="","",IFERROR(IF(SUMPRODUCT(MAX((WhoKW&lt;&gt;"")*ISNUMBER(SEARCH(WhoKW,INDEX(FormData,$H701,f_Who)&amp;""))*(ROW(WhoKW)-MIN(ROW(WhoKW))+1)))=0,"",INDEX(WhoVal,SUMPRODUCT(MAX((WhoKW&lt;&gt;"")*ISNUMBER(SEARCH(WhoKW,INDEX(FormData,$H701,f_Who)&amp;""))*(ROW(WhoKW)-MIN(ROW(WhoKW))+1))))),""))</f>
        <v/>
      </c>
      <c r="G701" s="14">
        <f>IF($H701="","",IF(COUNTIF(People!$U$5:$U$604,$B701)+COUNTIF(People!$U$5:$U$604,$B701&amp;"")&gt;0,"✓ logged","→ add"))</f>
        <v/>
      </c>
      <c r="H701">
        <f>IFERROR(IF(INDEX(FormData,698,f_Id)&amp;""="","",698),"")</f>
        <v/>
      </c>
      <c r="I701" s="16">
        <f>IF($H701="","",IFERROR(INDEX(FormData,$H701,f_Need)&amp;"",""))</f>
        <v/>
      </c>
    </row>
    <row r="702">
      <c r="A702" s="14" t="n">
        <v>698</v>
      </c>
      <c r="B702" s="14">
        <f>IF($H702="","",INDEX(FormData,$H702,f_Id))</f>
        <v/>
      </c>
      <c r="C702" s="15">
        <f>IF($H702="","",IFERROR(INDEX(FormData,$H702,f_Time),""))</f>
        <v/>
      </c>
      <c r="D702" s="14">
        <f>IF($H702="","",IFERROR(UPPER(LEFT(TRIM(INDEX(FormData,$H702,f_Name)),1)&amp;IFERROR(MID(TRIM(INDEX(FormData,$H702,f_Name)),FIND("^",SUBSTITUTE(TRIM(INDEX(FormData,$H702,f_Name))," ","^",LEN(TRIM(INDEX(FormData,$H702,f_Name)))-LEN(SUBSTITUTE(TRIM(INDEX(FormData,$H702,f_Name))," ",""))))+1,1),"")),""))</f>
        <v/>
      </c>
      <c r="E702" s="16">
        <f>IF($H702="","",IFERROR(INDEX(EvID,MATCH(INDEX(FormData,$H702,f_Event),EvID,0)),IFERROR(INDEX(EvID,MATCH(INDEX(FormData,$H702,f_Event),EvName,0)),IFERROR(INDEX(EvID,MATCH(INT($C702),EvDate,0)),"(no event that day)"))))</f>
        <v/>
      </c>
      <c r="F702" s="16">
        <f>IF($H702="","",IFERROR(IF(SUMPRODUCT(MAX((WhoKW&lt;&gt;"")*ISNUMBER(SEARCH(WhoKW,INDEX(FormData,$H702,f_Who)&amp;""))*(ROW(WhoKW)-MIN(ROW(WhoKW))+1)))=0,"",INDEX(WhoVal,SUMPRODUCT(MAX((WhoKW&lt;&gt;"")*ISNUMBER(SEARCH(WhoKW,INDEX(FormData,$H702,f_Who)&amp;""))*(ROW(WhoKW)-MIN(ROW(WhoKW))+1))))),""))</f>
        <v/>
      </c>
      <c r="G702" s="14">
        <f>IF($H702="","",IF(COUNTIF(People!$U$5:$U$604,$B702)+COUNTIF(People!$U$5:$U$604,$B702&amp;"")&gt;0,"✓ logged","→ add"))</f>
        <v/>
      </c>
      <c r="H702">
        <f>IFERROR(IF(INDEX(FormData,699,f_Id)&amp;""="","",699),"")</f>
        <v/>
      </c>
      <c r="I702" s="16">
        <f>IF($H702="","",IFERROR(INDEX(FormData,$H702,f_Need)&amp;"",""))</f>
        <v/>
      </c>
    </row>
    <row r="703">
      <c r="A703" s="14" t="n">
        <v>699</v>
      </c>
      <c r="B703" s="14">
        <f>IF($H703="","",INDEX(FormData,$H703,f_Id))</f>
        <v/>
      </c>
      <c r="C703" s="15">
        <f>IF($H703="","",IFERROR(INDEX(FormData,$H703,f_Time),""))</f>
        <v/>
      </c>
      <c r="D703" s="14">
        <f>IF($H703="","",IFERROR(UPPER(LEFT(TRIM(INDEX(FormData,$H703,f_Name)),1)&amp;IFERROR(MID(TRIM(INDEX(FormData,$H703,f_Name)),FIND("^",SUBSTITUTE(TRIM(INDEX(FormData,$H703,f_Name))," ","^",LEN(TRIM(INDEX(FormData,$H703,f_Name)))-LEN(SUBSTITUTE(TRIM(INDEX(FormData,$H703,f_Name))," ",""))))+1,1),"")),""))</f>
        <v/>
      </c>
      <c r="E703" s="16">
        <f>IF($H703="","",IFERROR(INDEX(EvID,MATCH(INDEX(FormData,$H703,f_Event),EvID,0)),IFERROR(INDEX(EvID,MATCH(INDEX(FormData,$H703,f_Event),EvName,0)),IFERROR(INDEX(EvID,MATCH(INT($C703),EvDate,0)),"(no event that day)"))))</f>
        <v/>
      </c>
      <c r="F703" s="16">
        <f>IF($H703="","",IFERROR(IF(SUMPRODUCT(MAX((WhoKW&lt;&gt;"")*ISNUMBER(SEARCH(WhoKW,INDEX(FormData,$H703,f_Who)&amp;""))*(ROW(WhoKW)-MIN(ROW(WhoKW))+1)))=0,"",INDEX(WhoVal,SUMPRODUCT(MAX((WhoKW&lt;&gt;"")*ISNUMBER(SEARCH(WhoKW,INDEX(FormData,$H703,f_Who)&amp;""))*(ROW(WhoKW)-MIN(ROW(WhoKW))+1))))),""))</f>
        <v/>
      </c>
      <c r="G703" s="14">
        <f>IF($H703="","",IF(COUNTIF(People!$U$5:$U$604,$B703)+COUNTIF(People!$U$5:$U$604,$B703&amp;"")&gt;0,"✓ logged","→ add"))</f>
        <v/>
      </c>
      <c r="H703">
        <f>IFERROR(IF(INDEX(FormData,700,f_Id)&amp;""="","",700),"")</f>
        <v/>
      </c>
      <c r="I703" s="16">
        <f>IF($H703="","",IFERROR(INDEX(FormData,$H703,f_Need)&amp;"",""))</f>
        <v/>
      </c>
    </row>
    <row r="704">
      <c r="A704" s="14" t="n">
        <v>700</v>
      </c>
      <c r="B704" s="14">
        <f>IF($H704="","",INDEX(FormData,$H704,f_Id))</f>
        <v/>
      </c>
      <c r="C704" s="15">
        <f>IF($H704="","",IFERROR(INDEX(FormData,$H704,f_Time),""))</f>
        <v/>
      </c>
      <c r="D704" s="14">
        <f>IF($H704="","",IFERROR(UPPER(LEFT(TRIM(INDEX(FormData,$H704,f_Name)),1)&amp;IFERROR(MID(TRIM(INDEX(FormData,$H704,f_Name)),FIND("^",SUBSTITUTE(TRIM(INDEX(FormData,$H704,f_Name))," ","^",LEN(TRIM(INDEX(FormData,$H704,f_Name)))-LEN(SUBSTITUTE(TRIM(INDEX(FormData,$H704,f_Name))," ",""))))+1,1),"")),""))</f>
        <v/>
      </c>
      <c r="E704" s="16">
        <f>IF($H704="","",IFERROR(INDEX(EvID,MATCH(INDEX(FormData,$H704,f_Event),EvID,0)),IFERROR(INDEX(EvID,MATCH(INDEX(FormData,$H704,f_Event),EvName,0)),IFERROR(INDEX(EvID,MATCH(INT($C704),EvDate,0)),"(no event that day)"))))</f>
        <v/>
      </c>
      <c r="F704" s="16">
        <f>IF($H704="","",IFERROR(IF(SUMPRODUCT(MAX((WhoKW&lt;&gt;"")*ISNUMBER(SEARCH(WhoKW,INDEX(FormData,$H704,f_Who)&amp;""))*(ROW(WhoKW)-MIN(ROW(WhoKW))+1)))=0,"",INDEX(WhoVal,SUMPRODUCT(MAX((WhoKW&lt;&gt;"")*ISNUMBER(SEARCH(WhoKW,INDEX(FormData,$H704,f_Who)&amp;""))*(ROW(WhoKW)-MIN(ROW(WhoKW))+1))))),""))</f>
        <v/>
      </c>
      <c r="G704" s="14">
        <f>IF($H704="","",IF(COUNTIF(People!$U$5:$U$604,$B704)+COUNTIF(People!$U$5:$U$604,$B704&amp;"")&gt;0,"✓ logged","→ add"))</f>
        <v/>
      </c>
      <c r="H704">
        <f>IFERROR(IF(INDEX(FormData,701,f_Id)&amp;""="","",701),"")</f>
        <v/>
      </c>
      <c r="I704" s="16">
        <f>IF($H704="","",IFERROR(INDEX(FormData,$H704,f_Need)&amp;"",""))</f>
        <v/>
      </c>
    </row>
    <row r="705">
      <c r="A705" s="14" t="n">
        <v>701</v>
      </c>
      <c r="B705" s="14">
        <f>IF($H705="","",INDEX(FormData,$H705,f_Id))</f>
        <v/>
      </c>
      <c r="C705" s="15">
        <f>IF($H705="","",IFERROR(INDEX(FormData,$H705,f_Time),""))</f>
        <v/>
      </c>
      <c r="D705" s="14">
        <f>IF($H705="","",IFERROR(UPPER(LEFT(TRIM(INDEX(FormData,$H705,f_Name)),1)&amp;IFERROR(MID(TRIM(INDEX(FormData,$H705,f_Name)),FIND("^",SUBSTITUTE(TRIM(INDEX(FormData,$H705,f_Name))," ","^",LEN(TRIM(INDEX(FormData,$H705,f_Name)))-LEN(SUBSTITUTE(TRIM(INDEX(FormData,$H705,f_Name))," ",""))))+1,1),"")),""))</f>
        <v/>
      </c>
      <c r="E705" s="16">
        <f>IF($H705="","",IFERROR(INDEX(EvID,MATCH(INDEX(FormData,$H705,f_Event),EvID,0)),IFERROR(INDEX(EvID,MATCH(INDEX(FormData,$H705,f_Event),EvName,0)),IFERROR(INDEX(EvID,MATCH(INT($C705),EvDate,0)),"(no event that day)"))))</f>
        <v/>
      </c>
      <c r="F705" s="16">
        <f>IF($H705="","",IFERROR(IF(SUMPRODUCT(MAX((WhoKW&lt;&gt;"")*ISNUMBER(SEARCH(WhoKW,INDEX(FormData,$H705,f_Who)&amp;""))*(ROW(WhoKW)-MIN(ROW(WhoKW))+1)))=0,"",INDEX(WhoVal,SUMPRODUCT(MAX((WhoKW&lt;&gt;"")*ISNUMBER(SEARCH(WhoKW,INDEX(FormData,$H705,f_Who)&amp;""))*(ROW(WhoKW)-MIN(ROW(WhoKW))+1))))),""))</f>
        <v/>
      </c>
      <c r="G705" s="14">
        <f>IF($H705="","",IF(COUNTIF(People!$U$5:$U$604,$B705)+COUNTIF(People!$U$5:$U$604,$B705&amp;"")&gt;0,"✓ logged","→ add"))</f>
        <v/>
      </c>
      <c r="H705">
        <f>IFERROR(IF(INDEX(FormData,702,f_Id)&amp;""="","",702),"")</f>
        <v/>
      </c>
      <c r="I705" s="16">
        <f>IF($H705="","",IFERROR(INDEX(FormData,$H705,f_Need)&amp;"",""))</f>
        <v/>
      </c>
    </row>
    <row r="706">
      <c r="A706" s="14" t="n">
        <v>702</v>
      </c>
      <c r="B706" s="14">
        <f>IF($H706="","",INDEX(FormData,$H706,f_Id))</f>
        <v/>
      </c>
      <c r="C706" s="15">
        <f>IF($H706="","",IFERROR(INDEX(FormData,$H706,f_Time),""))</f>
        <v/>
      </c>
      <c r="D706" s="14">
        <f>IF($H706="","",IFERROR(UPPER(LEFT(TRIM(INDEX(FormData,$H706,f_Name)),1)&amp;IFERROR(MID(TRIM(INDEX(FormData,$H706,f_Name)),FIND("^",SUBSTITUTE(TRIM(INDEX(FormData,$H706,f_Name))," ","^",LEN(TRIM(INDEX(FormData,$H706,f_Name)))-LEN(SUBSTITUTE(TRIM(INDEX(FormData,$H706,f_Name))," ",""))))+1,1),"")),""))</f>
        <v/>
      </c>
      <c r="E706" s="16">
        <f>IF($H706="","",IFERROR(INDEX(EvID,MATCH(INDEX(FormData,$H706,f_Event),EvID,0)),IFERROR(INDEX(EvID,MATCH(INDEX(FormData,$H706,f_Event),EvName,0)),IFERROR(INDEX(EvID,MATCH(INT($C706),EvDate,0)),"(no event that day)"))))</f>
        <v/>
      </c>
      <c r="F706" s="16">
        <f>IF($H706="","",IFERROR(IF(SUMPRODUCT(MAX((WhoKW&lt;&gt;"")*ISNUMBER(SEARCH(WhoKW,INDEX(FormData,$H706,f_Who)&amp;""))*(ROW(WhoKW)-MIN(ROW(WhoKW))+1)))=0,"",INDEX(WhoVal,SUMPRODUCT(MAX((WhoKW&lt;&gt;"")*ISNUMBER(SEARCH(WhoKW,INDEX(FormData,$H706,f_Who)&amp;""))*(ROW(WhoKW)-MIN(ROW(WhoKW))+1))))),""))</f>
        <v/>
      </c>
      <c r="G706" s="14">
        <f>IF($H706="","",IF(COUNTIF(People!$U$5:$U$604,$B706)+COUNTIF(People!$U$5:$U$604,$B706&amp;"")&gt;0,"✓ logged","→ add"))</f>
        <v/>
      </c>
      <c r="H706">
        <f>IFERROR(IF(INDEX(FormData,703,f_Id)&amp;""="","",703),"")</f>
        <v/>
      </c>
      <c r="I706" s="16">
        <f>IF($H706="","",IFERROR(INDEX(FormData,$H706,f_Need)&amp;"",""))</f>
        <v/>
      </c>
    </row>
    <row r="707">
      <c r="A707" s="14" t="n">
        <v>703</v>
      </c>
      <c r="B707" s="14">
        <f>IF($H707="","",INDEX(FormData,$H707,f_Id))</f>
        <v/>
      </c>
      <c r="C707" s="15">
        <f>IF($H707="","",IFERROR(INDEX(FormData,$H707,f_Time),""))</f>
        <v/>
      </c>
      <c r="D707" s="14">
        <f>IF($H707="","",IFERROR(UPPER(LEFT(TRIM(INDEX(FormData,$H707,f_Name)),1)&amp;IFERROR(MID(TRIM(INDEX(FormData,$H707,f_Name)),FIND("^",SUBSTITUTE(TRIM(INDEX(FormData,$H707,f_Name))," ","^",LEN(TRIM(INDEX(FormData,$H707,f_Name)))-LEN(SUBSTITUTE(TRIM(INDEX(FormData,$H707,f_Name))," ",""))))+1,1),"")),""))</f>
        <v/>
      </c>
      <c r="E707" s="16">
        <f>IF($H707="","",IFERROR(INDEX(EvID,MATCH(INDEX(FormData,$H707,f_Event),EvID,0)),IFERROR(INDEX(EvID,MATCH(INDEX(FormData,$H707,f_Event),EvName,0)),IFERROR(INDEX(EvID,MATCH(INT($C707),EvDate,0)),"(no event that day)"))))</f>
        <v/>
      </c>
      <c r="F707" s="16">
        <f>IF($H707="","",IFERROR(IF(SUMPRODUCT(MAX((WhoKW&lt;&gt;"")*ISNUMBER(SEARCH(WhoKW,INDEX(FormData,$H707,f_Who)&amp;""))*(ROW(WhoKW)-MIN(ROW(WhoKW))+1)))=0,"",INDEX(WhoVal,SUMPRODUCT(MAX((WhoKW&lt;&gt;"")*ISNUMBER(SEARCH(WhoKW,INDEX(FormData,$H707,f_Who)&amp;""))*(ROW(WhoKW)-MIN(ROW(WhoKW))+1))))),""))</f>
        <v/>
      </c>
      <c r="G707" s="14">
        <f>IF($H707="","",IF(COUNTIF(People!$U$5:$U$604,$B707)+COUNTIF(People!$U$5:$U$604,$B707&amp;"")&gt;0,"✓ logged","→ add"))</f>
        <v/>
      </c>
      <c r="H707">
        <f>IFERROR(IF(INDEX(FormData,704,f_Id)&amp;""="","",704),"")</f>
        <v/>
      </c>
      <c r="I707" s="16">
        <f>IF($H707="","",IFERROR(INDEX(FormData,$H707,f_Need)&amp;"",""))</f>
        <v/>
      </c>
    </row>
    <row r="708">
      <c r="A708" s="14" t="n">
        <v>704</v>
      </c>
      <c r="B708" s="14">
        <f>IF($H708="","",INDEX(FormData,$H708,f_Id))</f>
        <v/>
      </c>
      <c r="C708" s="15">
        <f>IF($H708="","",IFERROR(INDEX(FormData,$H708,f_Time),""))</f>
        <v/>
      </c>
      <c r="D708" s="14">
        <f>IF($H708="","",IFERROR(UPPER(LEFT(TRIM(INDEX(FormData,$H708,f_Name)),1)&amp;IFERROR(MID(TRIM(INDEX(FormData,$H708,f_Name)),FIND("^",SUBSTITUTE(TRIM(INDEX(FormData,$H708,f_Name))," ","^",LEN(TRIM(INDEX(FormData,$H708,f_Name)))-LEN(SUBSTITUTE(TRIM(INDEX(FormData,$H708,f_Name))," ",""))))+1,1),"")),""))</f>
        <v/>
      </c>
      <c r="E708" s="16">
        <f>IF($H708="","",IFERROR(INDEX(EvID,MATCH(INDEX(FormData,$H708,f_Event),EvID,0)),IFERROR(INDEX(EvID,MATCH(INDEX(FormData,$H708,f_Event),EvName,0)),IFERROR(INDEX(EvID,MATCH(INT($C708),EvDate,0)),"(no event that day)"))))</f>
        <v/>
      </c>
      <c r="F708" s="16">
        <f>IF($H708="","",IFERROR(IF(SUMPRODUCT(MAX((WhoKW&lt;&gt;"")*ISNUMBER(SEARCH(WhoKW,INDEX(FormData,$H708,f_Who)&amp;""))*(ROW(WhoKW)-MIN(ROW(WhoKW))+1)))=0,"",INDEX(WhoVal,SUMPRODUCT(MAX((WhoKW&lt;&gt;"")*ISNUMBER(SEARCH(WhoKW,INDEX(FormData,$H708,f_Who)&amp;""))*(ROW(WhoKW)-MIN(ROW(WhoKW))+1))))),""))</f>
        <v/>
      </c>
      <c r="G708" s="14">
        <f>IF($H708="","",IF(COUNTIF(People!$U$5:$U$604,$B708)+COUNTIF(People!$U$5:$U$604,$B708&amp;"")&gt;0,"✓ logged","→ add"))</f>
        <v/>
      </c>
      <c r="H708">
        <f>IFERROR(IF(INDEX(FormData,705,f_Id)&amp;""="","",705),"")</f>
        <v/>
      </c>
      <c r="I708" s="16">
        <f>IF($H708="","",IFERROR(INDEX(FormData,$H708,f_Need)&amp;"",""))</f>
        <v/>
      </c>
    </row>
    <row r="709">
      <c r="A709" s="14" t="n">
        <v>705</v>
      </c>
      <c r="B709" s="14">
        <f>IF($H709="","",INDEX(FormData,$H709,f_Id))</f>
        <v/>
      </c>
      <c r="C709" s="15">
        <f>IF($H709="","",IFERROR(INDEX(FormData,$H709,f_Time),""))</f>
        <v/>
      </c>
      <c r="D709" s="14">
        <f>IF($H709="","",IFERROR(UPPER(LEFT(TRIM(INDEX(FormData,$H709,f_Name)),1)&amp;IFERROR(MID(TRIM(INDEX(FormData,$H709,f_Name)),FIND("^",SUBSTITUTE(TRIM(INDEX(FormData,$H709,f_Name))," ","^",LEN(TRIM(INDEX(FormData,$H709,f_Name)))-LEN(SUBSTITUTE(TRIM(INDEX(FormData,$H709,f_Name))," ",""))))+1,1),"")),""))</f>
        <v/>
      </c>
      <c r="E709" s="16">
        <f>IF($H709="","",IFERROR(INDEX(EvID,MATCH(INDEX(FormData,$H709,f_Event),EvID,0)),IFERROR(INDEX(EvID,MATCH(INDEX(FormData,$H709,f_Event),EvName,0)),IFERROR(INDEX(EvID,MATCH(INT($C709),EvDate,0)),"(no event that day)"))))</f>
        <v/>
      </c>
      <c r="F709" s="16">
        <f>IF($H709="","",IFERROR(IF(SUMPRODUCT(MAX((WhoKW&lt;&gt;"")*ISNUMBER(SEARCH(WhoKW,INDEX(FormData,$H709,f_Who)&amp;""))*(ROW(WhoKW)-MIN(ROW(WhoKW))+1)))=0,"",INDEX(WhoVal,SUMPRODUCT(MAX((WhoKW&lt;&gt;"")*ISNUMBER(SEARCH(WhoKW,INDEX(FormData,$H709,f_Who)&amp;""))*(ROW(WhoKW)-MIN(ROW(WhoKW))+1))))),""))</f>
        <v/>
      </c>
      <c r="G709" s="14">
        <f>IF($H709="","",IF(COUNTIF(People!$U$5:$U$604,$B709)+COUNTIF(People!$U$5:$U$604,$B709&amp;"")&gt;0,"✓ logged","→ add"))</f>
        <v/>
      </c>
      <c r="H709">
        <f>IFERROR(IF(INDEX(FormData,706,f_Id)&amp;""="","",706),"")</f>
        <v/>
      </c>
      <c r="I709" s="16">
        <f>IF($H709="","",IFERROR(INDEX(FormData,$H709,f_Need)&amp;"",""))</f>
        <v/>
      </c>
    </row>
    <row r="710">
      <c r="A710" s="14" t="n">
        <v>706</v>
      </c>
      <c r="B710" s="14">
        <f>IF($H710="","",INDEX(FormData,$H710,f_Id))</f>
        <v/>
      </c>
      <c r="C710" s="15">
        <f>IF($H710="","",IFERROR(INDEX(FormData,$H710,f_Time),""))</f>
        <v/>
      </c>
      <c r="D710" s="14">
        <f>IF($H710="","",IFERROR(UPPER(LEFT(TRIM(INDEX(FormData,$H710,f_Name)),1)&amp;IFERROR(MID(TRIM(INDEX(FormData,$H710,f_Name)),FIND("^",SUBSTITUTE(TRIM(INDEX(FormData,$H710,f_Name))," ","^",LEN(TRIM(INDEX(FormData,$H710,f_Name)))-LEN(SUBSTITUTE(TRIM(INDEX(FormData,$H710,f_Name))," ",""))))+1,1),"")),""))</f>
        <v/>
      </c>
      <c r="E710" s="16">
        <f>IF($H710="","",IFERROR(INDEX(EvID,MATCH(INDEX(FormData,$H710,f_Event),EvID,0)),IFERROR(INDEX(EvID,MATCH(INDEX(FormData,$H710,f_Event),EvName,0)),IFERROR(INDEX(EvID,MATCH(INT($C710),EvDate,0)),"(no event that day)"))))</f>
        <v/>
      </c>
      <c r="F710" s="16">
        <f>IF($H710="","",IFERROR(IF(SUMPRODUCT(MAX((WhoKW&lt;&gt;"")*ISNUMBER(SEARCH(WhoKW,INDEX(FormData,$H710,f_Who)&amp;""))*(ROW(WhoKW)-MIN(ROW(WhoKW))+1)))=0,"",INDEX(WhoVal,SUMPRODUCT(MAX((WhoKW&lt;&gt;"")*ISNUMBER(SEARCH(WhoKW,INDEX(FormData,$H710,f_Who)&amp;""))*(ROW(WhoKW)-MIN(ROW(WhoKW))+1))))),""))</f>
        <v/>
      </c>
      <c r="G710" s="14">
        <f>IF($H710="","",IF(COUNTIF(People!$U$5:$U$604,$B710)+COUNTIF(People!$U$5:$U$604,$B710&amp;"")&gt;0,"✓ logged","→ add"))</f>
        <v/>
      </c>
      <c r="H710">
        <f>IFERROR(IF(INDEX(FormData,707,f_Id)&amp;""="","",707),"")</f>
        <v/>
      </c>
      <c r="I710" s="16">
        <f>IF($H710="","",IFERROR(INDEX(FormData,$H710,f_Need)&amp;"",""))</f>
        <v/>
      </c>
    </row>
    <row r="711">
      <c r="A711" s="14" t="n">
        <v>707</v>
      </c>
      <c r="B711" s="14">
        <f>IF($H711="","",INDEX(FormData,$H711,f_Id))</f>
        <v/>
      </c>
      <c r="C711" s="15">
        <f>IF($H711="","",IFERROR(INDEX(FormData,$H711,f_Time),""))</f>
        <v/>
      </c>
      <c r="D711" s="14">
        <f>IF($H711="","",IFERROR(UPPER(LEFT(TRIM(INDEX(FormData,$H711,f_Name)),1)&amp;IFERROR(MID(TRIM(INDEX(FormData,$H711,f_Name)),FIND("^",SUBSTITUTE(TRIM(INDEX(FormData,$H711,f_Name))," ","^",LEN(TRIM(INDEX(FormData,$H711,f_Name)))-LEN(SUBSTITUTE(TRIM(INDEX(FormData,$H711,f_Name))," ",""))))+1,1),"")),""))</f>
        <v/>
      </c>
      <c r="E711" s="16">
        <f>IF($H711="","",IFERROR(INDEX(EvID,MATCH(INDEX(FormData,$H711,f_Event),EvID,0)),IFERROR(INDEX(EvID,MATCH(INDEX(FormData,$H711,f_Event),EvName,0)),IFERROR(INDEX(EvID,MATCH(INT($C711),EvDate,0)),"(no event that day)"))))</f>
        <v/>
      </c>
      <c r="F711" s="16">
        <f>IF($H711="","",IFERROR(IF(SUMPRODUCT(MAX((WhoKW&lt;&gt;"")*ISNUMBER(SEARCH(WhoKW,INDEX(FormData,$H711,f_Who)&amp;""))*(ROW(WhoKW)-MIN(ROW(WhoKW))+1)))=0,"",INDEX(WhoVal,SUMPRODUCT(MAX((WhoKW&lt;&gt;"")*ISNUMBER(SEARCH(WhoKW,INDEX(FormData,$H711,f_Who)&amp;""))*(ROW(WhoKW)-MIN(ROW(WhoKW))+1))))),""))</f>
        <v/>
      </c>
      <c r="G711" s="14">
        <f>IF($H711="","",IF(COUNTIF(People!$U$5:$U$604,$B711)+COUNTIF(People!$U$5:$U$604,$B711&amp;"")&gt;0,"✓ logged","→ add"))</f>
        <v/>
      </c>
      <c r="H711">
        <f>IFERROR(IF(INDEX(FormData,708,f_Id)&amp;""="","",708),"")</f>
        <v/>
      </c>
      <c r="I711" s="16">
        <f>IF($H711="","",IFERROR(INDEX(FormData,$H711,f_Need)&amp;"",""))</f>
        <v/>
      </c>
    </row>
    <row r="712">
      <c r="A712" s="14" t="n">
        <v>708</v>
      </c>
      <c r="B712" s="14">
        <f>IF($H712="","",INDEX(FormData,$H712,f_Id))</f>
        <v/>
      </c>
      <c r="C712" s="15">
        <f>IF($H712="","",IFERROR(INDEX(FormData,$H712,f_Time),""))</f>
        <v/>
      </c>
      <c r="D712" s="14">
        <f>IF($H712="","",IFERROR(UPPER(LEFT(TRIM(INDEX(FormData,$H712,f_Name)),1)&amp;IFERROR(MID(TRIM(INDEX(FormData,$H712,f_Name)),FIND("^",SUBSTITUTE(TRIM(INDEX(FormData,$H712,f_Name))," ","^",LEN(TRIM(INDEX(FormData,$H712,f_Name)))-LEN(SUBSTITUTE(TRIM(INDEX(FormData,$H712,f_Name))," ",""))))+1,1),"")),""))</f>
        <v/>
      </c>
      <c r="E712" s="16">
        <f>IF($H712="","",IFERROR(INDEX(EvID,MATCH(INDEX(FormData,$H712,f_Event),EvID,0)),IFERROR(INDEX(EvID,MATCH(INDEX(FormData,$H712,f_Event),EvName,0)),IFERROR(INDEX(EvID,MATCH(INT($C712),EvDate,0)),"(no event that day)"))))</f>
        <v/>
      </c>
      <c r="F712" s="16">
        <f>IF($H712="","",IFERROR(IF(SUMPRODUCT(MAX((WhoKW&lt;&gt;"")*ISNUMBER(SEARCH(WhoKW,INDEX(FormData,$H712,f_Who)&amp;""))*(ROW(WhoKW)-MIN(ROW(WhoKW))+1)))=0,"",INDEX(WhoVal,SUMPRODUCT(MAX((WhoKW&lt;&gt;"")*ISNUMBER(SEARCH(WhoKW,INDEX(FormData,$H712,f_Who)&amp;""))*(ROW(WhoKW)-MIN(ROW(WhoKW))+1))))),""))</f>
        <v/>
      </c>
      <c r="G712" s="14">
        <f>IF($H712="","",IF(COUNTIF(People!$U$5:$U$604,$B712)+COUNTIF(People!$U$5:$U$604,$B712&amp;"")&gt;0,"✓ logged","→ add"))</f>
        <v/>
      </c>
      <c r="H712">
        <f>IFERROR(IF(INDEX(FormData,709,f_Id)&amp;""="","",709),"")</f>
        <v/>
      </c>
      <c r="I712" s="16">
        <f>IF($H712="","",IFERROR(INDEX(FormData,$H712,f_Need)&amp;"",""))</f>
        <v/>
      </c>
    </row>
    <row r="713">
      <c r="A713" s="14" t="n">
        <v>709</v>
      </c>
      <c r="B713" s="14">
        <f>IF($H713="","",INDEX(FormData,$H713,f_Id))</f>
        <v/>
      </c>
      <c r="C713" s="15">
        <f>IF($H713="","",IFERROR(INDEX(FormData,$H713,f_Time),""))</f>
        <v/>
      </c>
      <c r="D713" s="14">
        <f>IF($H713="","",IFERROR(UPPER(LEFT(TRIM(INDEX(FormData,$H713,f_Name)),1)&amp;IFERROR(MID(TRIM(INDEX(FormData,$H713,f_Name)),FIND("^",SUBSTITUTE(TRIM(INDEX(FormData,$H713,f_Name))," ","^",LEN(TRIM(INDEX(FormData,$H713,f_Name)))-LEN(SUBSTITUTE(TRIM(INDEX(FormData,$H713,f_Name))," ",""))))+1,1),"")),""))</f>
        <v/>
      </c>
      <c r="E713" s="16">
        <f>IF($H713="","",IFERROR(INDEX(EvID,MATCH(INDEX(FormData,$H713,f_Event),EvID,0)),IFERROR(INDEX(EvID,MATCH(INDEX(FormData,$H713,f_Event),EvName,0)),IFERROR(INDEX(EvID,MATCH(INT($C713),EvDate,0)),"(no event that day)"))))</f>
        <v/>
      </c>
      <c r="F713" s="16">
        <f>IF($H713="","",IFERROR(IF(SUMPRODUCT(MAX((WhoKW&lt;&gt;"")*ISNUMBER(SEARCH(WhoKW,INDEX(FormData,$H713,f_Who)&amp;""))*(ROW(WhoKW)-MIN(ROW(WhoKW))+1)))=0,"",INDEX(WhoVal,SUMPRODUCT(MAX((WhoKW&lt;&gt;"")*ISNUMBER(SEARCH(WhoKW,INDEX(FormData,$H713,f_Who)&amp;""))*(ROW(WhoKW)-MIN(ROW(WhoKW))+1))))),""))</f>
        <v/>
      </c>
      <c r="G713" s="14">
        <f>IF($H713="","",IF(COUNTIF(People!$U$5:$U$604,$B713)+COUNTIF(People!$U$5:$U$604,$B713&amp;"")&gt;0,"✓ logged","→ add"))</f>
        <v/>
      </c>
      <c r="H713">
        <f>IFERROR(IF(INDEX(FormData,710,f_Id)&amp;""="","",710),"")</f>
        <v/>
      </c>
      <c r="I713" s="16">
        <f>IF($H713="","",IFERROR(INDEX(FormData,$H713,f_Need)&amp;"",""))</f>
        <v/>
      </c>
    </row>
    <row r="714">
      <c r="A714" s="14" t="n">
        <v>710</v>
      </c>
      <c r="B714" s="14">
        <f>IF($H714="","",INDEX(FormData,$H714,f_Id))</f>
        <v/>
      </c>
      <c r="C714" s="15">
        <f>IF($H714="","",IFERROR(INDEX(FormData,$H714,f_Time),""))</f>
        <v/>
      </c>
      <c r="D714" s="14">
        <f>IF($H714="","",IFERROR(UPPER(LEFT(TRIM(INDEX(FormData,$H714,f_Name)),1)&amp;IFERROR(MID(TRIM(INDEX(FormData,$H714,f_Name)),FIND("^",SUBSTITUTE(TRIM(INDEX(FormData,$H714,f_Name))," ","^",LEN(TRIM(INDEX(FormData,$H714,f_Name)))-LEN(SUBSTITUTE(TRIM(INDEX(FormData,$H714,f_Name))," ",""))))+1,1),"")),""))</f>
        <v/>
      </c>
      <c r="E714" s="16">
        <f>IF($H714="","",IFERROR(INDEX(EvID,MATCH(INDEX(FormData,$H714,f_Event),EvID,0)),IFERROR(INDEX(EvID,MATCH(INDEX(FormData,$H714,f_Event),EvName,0)),IFERROR(INDEX(EvID,MATCH(INT($C714),EvDate,0)),"(no event that day)"))))</f>
        <v/>
      </c>
      <c r="F714" s="16">
        <f>IF($H714="","",IFERROR(IF(SUMPRODUCT(MAX((WhoKW&lt;&gt;"")*ISNUMBER(SEARCH(WhoKW,INDEX(FormData,$H714,f_Who)&amp;""))*(ROW(WhoKW)-MIN(ROW(WhoKW))+1)))=0,"",INDEX(WhoVal,SUMPRODUCT(MAX((WhoKW&lt;&gt;"")*ISNUMBER(SEARCH(WhoKW,INDEX(FormData,$H714,f_Who)&amp;""))*(ROW(WhoKW)-MIN(ROW(WhoKW))+1))))),""))</f>
        <v/>
      </c>
      <c r="G714" s="14">
        <f>IF($H714="","",IF(COUNTIF(People!$U$5:$U$604,$B714)+COUNTIF(People!$U$5:$U$604,$B714&amp;"")&gt;0,"✓ logged","→ add"))</f>
        <v/>
      </c>
      <c r="H714">
        <f>IFERROR(IF(INDEX(FormData,711,f_Id)&amp;""="","",711),"")</f>
        <v/>
      </c>
      <c r="I714" s="16">
        <f>IF($H714="","",IFERROR(INDEX(FormData,$H714,f_Need)&amp;"",""))</f>
        <v/>
      </c>
    </row>
    <row r="715">
      <c r="A715" s="14" t="n">
        <v>711</v>
      </c>
      <c r="B715" s="14">
        <f>IF($H715="","",INDEX(FormData,$H715,f_Id))</f>
        <v/>
      </c>
      <c r="C715" s="15">
        <f>IF($H715="","",IFERROR(INDEX(FormData,$H715,f_Time),""))</f>
        <v/>
      </c>
      <c r="D715" s="14">
        <f>IF($H715="","",IFERROR(UPPER(LEFT(TRIM(INDEX(FormData,$H715,f_Name)),1)&amp;IFERROR(MID(TRIM(INDEX(FormData,$H715,f_Name)),FIND("^",SUBSTITUTE(TRIM(INDEX(FormData,$H715,f_Name))," ","^",LEN(TRIM(INDEX(FormData,$H715,f_Name)))-LEN(SUBSTITUTE(TRIM(INDEX(FormData,$H715,f_Name))," ",""))))+1,1),"")),""))</f>
        <v/>
      </c>
      <c r="E715" s="16">
        <f>IF($H715="","",IFERROR(INDEX(EvID,MATCH(INDEX(FormData,$H715,f_Event),EvID,0)),IFERROR(INDEX(EvID,MATCH(INDEX(FormData,$H715,f_Event),EvName,0)),IFERROR(INDEX(EvID,MATCH(INT($C715),EvDate,0)),"(no event that day)"))))</f>
        <v/>
      </c>
      <c r="F715" s="16">
        <f>IF($H715="","",IFERROR(IF(SUMPRODUCT(MAX((WhoKW&lt;&gt;"")*ISNUMBER(SEARCH(WhoKW,INDEX(FormData,$H715,f_Who)&amp;""))*(ROW(WhoKW)-MIN(ROW(WhoKW))+1)))=0,"",INDEX(WhoVal,SUMPRODUCT(MAX((WhoKW&lt;&gt;"")*ISNUMBER(SEARCH(WhoKW,INDEX(FormData,$H715,f_Who)&amp;""))*(ROW(WhoKW)-MIN(ROW(WhoKW))+1))))),""))</f>
        <v/>
      </c>
      <c r="G715" s="14">
        <f>IF($H715="","",IF(COUNTIF(People!$U$5:$U$604,$B715)+COUNTIF(People!$U$5:$U$604,$B715&amp;"")&gt;0,"✓ logged","→ add"))</f>
        <v/>
      </c>
      <c r="H715">
        <f>IFERROR(IF(INDEX(FormData,712,f_Id)&amp;""="","",712),"")</f>
        <v/>
      </c>
      <c r="I715" s="16">
        <f>IF($H715="","",IFERROR(INDEX(FormData,$H715,f_Need)&amp;"",""))</f>
        <v/>
      </c>
    </row>
    <row r="716">
      <c r="A716" s="14" t="n">
        <v>712</v>
      </c>
      <c r="B716" s="14">
        <f>IF($H716="","",INDEX(FormData,$H716,f_Id))</f>
        <v/>
      </c>
      <c r="C716" s="15">
        <f>IF($H716="","",IFERROR(INDEX(FormData,$H716,f_Time),""))</f>
        <v/>
      </c>
      <c r="D716" s="14">
        <f>IF($H716="","",IFERROR(UPPER(LEFT(TRIM(INDEX(FormData,$H716,f_Name)),1)&amp;IFERROR(MID(TRIM(INDEX(FormData,$H716,f_Name)),FIND("^",SUBSTITUTE(TRIM(INDEX(FormData,$H716,f_Name))," ","^",LEN(TRIM(INDEX(FormData,$H716,f_Name)))-LEN(SUBSTITUTE(TRIM(INDEX(FormData,$H716,f_Name))," ",""))))+1,1),"")),""))</f>
        <v/>
      </c>
      <c r="E716" s="16">
        <f>IF($H716="","",IFERROR(INDEX(EvID,MATCH(INDEX(FormData,$H716,f_Event),EvID,0)),IFERROR(INDEX(EvID,MATCH(INDEX(FormData,$H716,f_Event),EvName,0)),IFERROR(INDEX(EvID,MATCH(INT($C716),EvDate,0)),"(no event that day)"))))</f>
        <v/>
      </c>
      <c r="F716" s="16">
        <f>IF($H716="","",IFERROR(IF(SUMPRODUCT(MAX((WhoKW&lt;&gt;"")*ISNUMBER(SEARCH(WhoKW,INDEX(FormData,$H716,f_Who)&amp;""))*(ROW(WhoKW)-MIN(ROW(WhoKW))+1)))=0,"",INDEX(WhoVal,SUMPRODUCT(MAX((WhoKW&lt;&gt;"")*ISNUMBER(SEARCH(WhoKW,INDEX(FormData,$H716,f_Who)&amp;""))*(ROW(WhoKW)-MIN(ROW(WhoKW))+1))))),""))</f>
        <v/>
      </c>
      <c r="G716" s="14">
        <f>IF($H716="","",IF(COUNTIF(People!$U$5:$U$604,$B716)+COUNTIF(People!$U$5:$U$604,$B716&amp;"")&gt;0,"✓ logged","→ add"))</f>
        <v/>
      </c>
      <c r="H716">
        <f>IFERROR(IF(INDEX(FormData,713,f_Id)&amp;""="","",713),"")</f>
        <v/>
      </c>
      <c r="I716" s="16">
        <f>IF($H716="","",IFERROR(INDEX(FormData,$H716,f_Need)&amp;"",""))</f>
        <v/>
      </c>
    </row>
    <row r="717">
      <c r="A717" s="14" t="n">
        <v>713</v>
      </c>
      <c r="B717" s="14">
        <f>IF($H717="","",INDEX(FormData,$H717,f_Id))</f>
        <v/>
      </c>
      <c r="C717" s="15">
        <f>IF($H717="","",IFERROR(INDEX(FormData,$H717,f_Time),""))</f>
        <v/>
      </c>
      <c r="D717" s="14">
        <f>IF($H717="","",IFERROR(UPPER(LEFT(TRIM(INDEX(FormData,$H717,f_Name)),1)&amp;IFERROR(MID(TRIM(INDEX(FormData,$H717,f_Name)),FIND("^",SUBSTITUTE(TRIM(INDEX(FormData,$H717,f_Name))," ","^",LEN(TRIM(INDEX(FormData,$H717,f_Name)))-LEN(SUBSTITUTE(TRIM(INDEX(FormData,$H717,f_Name))," ",""))))+1,1),"")),""))</f>
        <v/>
      </c>
      <c r="E717" s="16">
        <f>IF($H717="","",IFERROR(INDEX(EvID,MATCH(INDEX(FormData,$H717,f_Event),EvID,0)),IFERROR(INDEX(EvID,MATCH(INDEX(FormData,$H717,f_Event),EvName,0)),IFERROR(INDEX(EvID,MATCH(INT($C717),EvDate,0)),"(no event that day)"))))</f>
        <v/>
      </c>
      <c r="F717" s="16">
        <f>IF($H717="","",IFERROR(IF(SUMPRODUCT(MAX((WhoKW&lt;&gt;"")*ISNUMBER(SEARCH(WhoKW,INDEX(FormData,$H717,f_Who)&amp;""))*(ROW(WhoKW)-MIN(ROW(WhoKW))+1)))=0,"",INDEX(WhoVal,SUMPRODUCT(MAX((WhoKW&lt;&gt;"")*ISNUMBER(SEARCH(WhoKW,INDEX(FormData,$H717,f_Who)&amp;""))*(ROW(WhoKW)-MIN(ROW(WhoKW))+1))))),""))</f>
        <v/>
      </c>
      <c r="G717" s="14">
        <f>IF($H717="","",IF(COUNTIF(People!$U$5:$U$604,$B717)+COUNTIF(People!$U$5:$U$604,$B717&amp;"")&gt;0,"✓ logged","→ add"))</f>
        <v/>
      </c>
      <c r="H717">
        <f>IFERROR(IF(INDEX(FormData,714,f_Id)&amp;""="","",714),"")</f>
        <v/>
      </c>
      <c r="I717" s="16">
        <f>IF($H717="","",IFERROR(INDEX(FormData,$H717,f_Need)&amp;"",""))</f>
        <v/>
      </c>
    </row>
    <row r="718">
      <c r="A718" s="14" t="n">
        <v>714</v>
      </c>
      <c r="B718" s="14">
        <f>IF($H718="","",INDEX(FormData,$H718,f_Id))</f>
        <v/>
      </c>
      <c r="C718" s="15">
        <f>IF($H718="","",IFERROR(INDEX(FormData,$H718,f_Time),""))</f>
        <v/>
      </c>
      <c r="D718" s="14">
        <f>IF($H718="","",IFERROR(UPPER(LEFT(TRIM(INDEX(FormData,$H718,f_Name)),1)&amp;IFERROR(MID(TRIM(INDEX(FormData,$H718,f_Name)),FIND("^",SUBSTITUTE(TRIM(INDEX(FormData,$H718,f_Name))," ","^",LEN(TRIM(INDEX(FormData,$H718,f_Name)))-LEN(SUBSTITUTE(TRIM(INDEX(FormData,$H718,f_Name))," ",""))))+1,1),"")),""))</f>
        <v/>
      </c>
      <c r="E718" s="16">
        <f>IF($H718="","",IFERROR(INDEX(EvID,MATCH(INDEX(FormData,$H718,f_Event),EvID,0)),IFERROR(INDEX(EvID,MATCH(INDEX(FormData,$H718,f_Event),EvName,0)),IFERROR(INDEX(EvID,MATCH(INT($C718),EvDate,0)),"(no event that day)"))))</f>
        <v/>
      </c>
      <c r="F718" s="16">
        <f>IF($H718="","",IFERROR(IF(SUMPRODUCT(MAX((WhoKW&lt;&gt;"")*ISNUMBER(SEARCH(WhoKW,INDEX(FormData,$H718,f_Who)&amp;""))*(ROW(WhoKW)-MIN(ROW(WhoKW))+1)))=0,"",INDEX(WhoVal,SUMPRODUCT(MAX((WhoKW&lt;&gt;"")*ISNUMBER(SEARCH(WhoKW,INDEX(FormData,$H718,f_Who)&amp;""))*(ROW(WhoKW)-MIN(ROW(WhoKW))+1))))),""))</f>
        <v/>
      </c>
      <c r="G718" s="14">
        <f>IF($H718="","",IF(COUNTIF(People!$U$5:$U$604,$B718)+COUNTIF(People!$U$5:$U$604,$B718&amp;"")&gt;0,"✓ logged","→ add"))</f>
        <v/>
      </c>
      <c r="H718">
        <f>IFERROR(IF(INDEX(FormData,715,f_Id)&amp;""="","",715),"")</f>
        <v/>
      </c>
      <c r="I718" s="16">
        <f>IF($H718="","",IFERROR(INDEX(FormData,$H718,f_Need)&amp;"",""))</f>
        <v/>
      </c>
    </row>
    <row r="719">
      <c r="A719" s="14" t="n">
        <v>715</v>
      </c>
      <c r="B719" s="14">
        <f>IF($H719="","",INDEX(FormData,$H719,f_Id))</f>
        <v/>
      </c>
      <c r="C719" s="15">
        <f>IF($H719="","",IFERROR(INDEX(FormData,$H719,f_Time),""))</f>
        <v/>
      </c>
      <c r="D719" s="14">
        <f>IF($H719="","",IFERROR(UPPER(LEFT(TRIM(INDEX(FormData,$H719,f_Name)),1)&amp;IFERROR(MID(TRIM(INDEX(FormData,$H719,f_Name)),FIND("^",SUBSTITUTE(TRIM(INDEX(FormData,$H719,f_Name))," ","^",LEN(TRIM(INDEX(FormData,$H719,f_Name)))-LEN(SUBSTITUTE(TRIM(INDEX(FormData,$H719,f_Name))," ",""))))+1,1),"")),""))</f>
        <v/>
      </c>
      <c r="E719" s="16">
        <f>IF($H719="","",IFERROR(INDEX(EvID,MATCH(INDEX(FormData,$H719,f_Event),EvID,0)),IFERROR(INDEX(EvID,MATCH(INDEX(FormData,$H719,f_Event),EvName,0)),IFERROR(INDEX(EvID,MATCH(INT($C719),EvDate,0)),"(no event that day)"))))</f>
        <v/>
      </c>
      <c r="F719" s="16">
        <f>IF($H719="","",IFERROR(IF(SUMPRODUCT(MAX((WhoKW&lt;&gt;"")*ISNUMBER(SEARCH(WhoKW,INDEX(FormData,$H719,f_Who)&amp;""))*(ROW(WhoKW)-MIN(ROW(WhoKW))+1)))=0,"",INDEX(WhoVal,SUMPRODUCT(MAX((WhoKW&lt;&gt;"")*ISNUMBER(SEARCH(WhoKW,INDEX(FormData,$H719,f_Who)&amp;""))*(ROW(WhoKW)-MIN(ROW(WhoKW))+1))))),""))</f>
        <v/>
      </c>
      <c r="G719" s="14">
        <f>IF($H719="","",IF(COUNTIF(People!$U$5:$U$604,$B719)+COUNTIF(People!$U$5:$U$604,$B719&amp;"")&gt;0,"✓ logged","→ add"))</f>
        <v/>
      </c>
      <c r="H719">
        <f>IFERROR(IF(INDEX(FormData,716,f_Id)&amp;""="","",716),"")</f>
        <v/>
      </c>
      <c r="I719" s="16">
        <f>IF($H719="","",IFERROR(INDEX(FormData,$H719,f_Need)&amp;"",""))</f>
        <v/>
      </c>
    </row>
    <row r="720">
      <c r="A720" s="14" t="n">
        <v>716</v>
      </c>
      <c r="B720" s="14">
        <f>IF($H720="","",INDEX(FormData,$H720,f_Id))</f>
        <v/>
      </c>
      <c r="C720" s="15">
        <f>IF($H720="","",IFERROR(INDEX(FormData,$H720,f_Time),""))</f>
        <v/>
      </c>
      <c r="D720" s="14">
        <f>IF($H720="","",IFERROR(UPPER(LEFT(TRIM(INDEX(FormData,$H720,f_Name)),1)&amp;IFERROR(MID(TRIM(INDEX(FormData,$H720,f_Name)),FIND("^",SUBSTITUTE(TRIM(INDEX(FormData,$H720,f_Name))," ","^",LEN(TRIM(INDEX(FormData,$H720,f_Name)))-LEN(SUBSTITUTE(TRIM(INDEX(FormData,$H720,f_Name))," ",""))))+1,1),"")),""))</f>
        <v/>
      </c>
      <c r="E720" s="16">
        <f>IF($H720="","",IFERROR(INDEX(EvID,MATCH(INDEX(FormData,$H720,f_Event),EvID,0)),IFERROR(INDEX(EvID,MATCH(INDEX(FormData,$H720,f_Event),EvName,0)),IFERROR(INDEX(EvID,MATCH(INT($C720),EvDate,0)),"(no event that day)"))))</f>
        <v/>
      </c>
      <c r="F720" s="16">
        <f>IF($H720="","",IFERROR(IF(SUMPRODUCT(MAX((WhoKW&lt;&gt;"")*ISNUMBER(SEARCH(WhoKW,INDEX(FormData,$H720,f_Who)&amp;""))*(ROW(WhoKW)-MIN(ROW(WhoKW))+1)))=0,"",INDEX(WhoVal,SUMPRODUCT(MAX((WhoKW&lt;&gt;"")*ISNUMBER(SEARCH(WhoKW,INDEX(FormData,$H720,f_Who)&amp;""))*(ROW(WhoKW)-MIN(ROW(WhoKW))+1))))),""))</f>
        <v/>
      </c>
      <c r="G720" s="14">
        <f>IF($H720="","",IF(COUNTIF(People!$U$5:$U$604,$B720)+COUNTIF(People!$U$5:$U$604,$B720&amp;"")&gt;0,"✓ logged","→ add"))</f>
        <v/>
      </c>
      <c r="H720">
        <f>IFERROR(IF(INDEX(FormData,717,f_Id)&amp;""="","",717),"")</f>
        <v/>
      </c>
      <c r="I720" s="16">
        <f>IF($H720="","",IFERROR(INDEX(FormData,$H720,f_Need)&amp;"",""))</f>
        <v/>
      </c>
    </row>
    <row r="721">
      <c r="A721" s="14" t="n">
        <v>717</v>
      </c>
      <c r="B721" s="14">
        <f>IF($H721="","",INDEX(FormData,$H721,f_Id))</f>
        <v/>
      </c>
      <c r="C721" s="15">
        <f>IF($H721="","",IFERROR(INDEX(FormData,$H721,f_Time),""))</f>
        <v/>
      </c>
      <c r="D721" s="14">
        <f>IF($H721="","",IFERROR(UPPER(LEFT(TRIM(INDEX(FormData,$H721,f_Name)),1)&amp;IFERROR(MID(TRIM(INDEX(FormData,$H721,f_Name)),FIND("^",SUBSTITUTE(TRIM(INDEX(FormData,$H721,f_Name))," ","^",LEN(TRIM(INDEX(FormData,$H721,f_Name)))-LEN(SUBSTITUTE(TRIM(INDEX(FormData,$H721,f_Name))," ",""))))+1,1),"")),""))</f>
        <v/>
      </c>
      <c r="E721" s="16">
        <f>IF($H721="","",IFERROR(INDEX(EvID,MATCH(INDEX(FormData,$H721,f_Event),EvID,0)),IFERROR(INDEX(EvID,MATCH(INDEX(FormData,$H721,f_Event),EvName,0)),IFERROR(INDEX(EvID,MATCH(INT($C721),EvDate,0)),"(no event that day)"))))</f>
        <v/>
      </c>
      <c r="F721" s="16">
        <f>IF($H721="","",IFERROR(IF(SUMPRODUCT(MAX((WhoKW&lt;&gt;"")*ISNUMBER(SEARCH(WhoKW,INDEX(FormData,$H721,f_Who)&amp;""))*(ROW(WhoKW)-MIN(ROW(WhoKW))+1)))=0,"",INDEX(WhoVal,SUMPRODUCT(MAX((WhoKW&lt;&gt;"")*ISNUMBER(SEARCH(WhoKW,INDEX(FormData,$H721,f_Who)&amp;""))*(ROW(WhoKW)-MIN(ROW(WhoKW))+1))))),""))</f>
        <v/>
      </c>
      <c r="G721" s="14">
        <f>IF($H721="","",IF(COUNTIF(People!$U$5:$U$604,$B721)+COUNTIF(People!$U$5:$U$604,$B721&amp;"")&gt;0,"✓ logged","→ add"))</f>
        <v/>
      </c>
      <c r="H721">
        <f>IFERROR(IF(INDEX(FormData,718,f_Id)&amp;""="","",718),"")</f>
        <v/>
      </c>
      <c r="I721" s="16">
        <f>IF($H721="","",IFERROR(INDEX(FormData,$H721,f_Need)&amp;"",""))</f>
        <v/>
      </c>
    </row>
    <row r="722">
      <c r="A722" s="14" t="n">
        <v>718</v>
      </c>
      <c r="B722" s="14">
        <f>IF($H722="","",INDEX(FormData,$H722,f_Id))</f>
        <v/>
      </c>
      <c r="C722" s="15">
        <f>IF($H722="","",IFERROR(INDEX(FormData,$H722,f_Time),""))</f>
        <v/>
      </c>
      <c r="D722" s="14">
        <f>IF($H722="","",IFERROR(UPPER(LEFT(TRIM(INDEX(FormData,$H722,f_Name)),1)&amp;IFERROR(MID(TRIM(INDEX(FormData,$H722,f_Name)),FIND("^",SUBSTITUTE(TRIM(INDEX(FormData,$H722,f_Name))," ","^",LEN(TRIM(INDEX(FormData,$H722,f_Name)))-LEN(SUBSTITUTE(TRIM(INDEX(FormData,$H722,f_Name))," ",""))))+1,1),"")),""))</f>
        <v/>
      </c>
      <c r="E722" s="16">
        <f>IF($H722="","",IFERROR(INDEX(EvID,MATCH(INDEX(FormData,$H722,f_Event),EvID,0)),IFERROR(INDEX(EvID,MATCH(INDEX(FormData,$H722,f_Event),EvName,0)),IFERROR(INDEX(EvID,MATCH(INT($C722),EvDate,0)),"(no event that day)"))))</f>
        <v/>
      </c>
      <c r="F722" s="16">
        <f>IF($H722="","",IFERROR(IF(SUMPRODUCT(MAX((WhoKW&lt;&gt;"")*ISNUMBER(SEARCH(WhoKW,INDEX(FormData,$H722,f_Who)&amp;""))*(ROW(WhoKW)-MIN(ROW(WhoKW))+1)))=0,"",INDEX(WhoVal,SUMPRODUCT(MAX((WhoKW&lt;&gt;"")*ISNUMBER(SEARCH(WhoKW,INDEX(FormData,$H722,f_Who)&amp;""))*(ROW(WhoKW)-MIN(ROW(WhoKW))+1))))),""))</f>
        <v/>
      </c>
      <c r="G722" s="14">
        <f>IF($H722="","",IF(COUNTIF(People!$U$5:$U$604,$B722)+COUNTIF(People!$U$5:$U$604,$B722&amp;"")&gt;0,"✓ logged","→ add"))</f>
        <v/>
      </c>
      <c r="H722">
        <f>IFERROR(IF(INDEX(FormData,719,f_Id)&amp;""="","",719),"")</f>
        <v/>
      </c>
      <c r="I722" s="16">
        <f>IF($H722="","",IFERROR(INDEX(FormData,$H722,f_Need)&amp;"",""))</f>
        <v/>
      </c>
    </row>
    <row r="723">
      <c r="A723" s="14" t="n">
        <v>719</v>
      </c>
      <c r="B723" s="14">
        <f>IF($H723="","",INDEX(FormData,$H723,f_Id))</f>
        <v/>
      </c>
      <c r="C723" s="15">
        <f>IF($H723="","",IFERROR(INDEX(FormData,$H723,f_Time),""))</f>
        <v/>
      </c>
      <c r="D723" s="14">
        <f>IF($H723="","",IFERROR(UPPER(LEFT(TRIM(INDEX(FormData,$H723,f_Name)),1)&amp;IFERROR(MID(TRIM(INDEX(FormData,$H723,f_Name)),FIND("^",SUBSTITUTE(TRIM(INDEX(FormData,$H723,f_Name))," ","^",LEN(TRIM(INDEX(FormData,$H723,f_Name)))-LEN(SUBSTITUTE(TRIM(INDEX(FormData,$H723,f_Name))," ",""))))+1,1),"")),""))</f>
        <v/>
      </c>
      <c r="E723" s="16">
        <f>IF($H723="","",IFERROR(INDEX(EvID,MATCH(INDEX(FormData,$H723,f_Event),EvID,0)),IFERROR(INDEX(EvID,MATCH(INDEX(FormData,$H723,f_Event),EvName,0)),IFERROR(INDEX(EvID,MATCH(INT($C723),EvDate,0)),"(no event that day)"))))</f>
        <v/>
      </c>
      <c r="F723" s="16">
        <f>IF($H723="","",IFERROR(IF(SUMPRODUCT(MAX((WhoKW&lt;&gt;"")*ISNUMBER(SEARCH(WhoKW,INDEX(FormData,$H723,f_Who)&amp;""))*(ROW(WhoKW)-MIN(ROW(WhoKW))+1)))=0,"",INDEX(WhoVal,SUMPRODUCT(MAX((WhoKW&lt;&gt;"")*ISNUMBER(SEARCH(WhoKW,INDEX(FormData,$H723,f_Who)&amp;""))*(ROW(WhoKW)-MIN(ROW(WhoKW))+1))))),""))</f>
        <v/>
      </c>
      <c r="G723" s="14">
        <f>IF($H723="","",IF(COUNTIF(People!$U$5:$U$604,$B723)+COUNTIF(People!$U$5:$U$604,$B723&amp;"")&gt;0,"✓ logged","→ add"))</f>
        <v/>
      </c>
      <c r="H723">
        <f>IFERROR(IF(INDEX(FormData,720,f_Id)&amp;""="","",720),"")</f>
        <v/>
      </c>
      <c r="I723" s="16">
        <f>IF($H723="","",IFERROR(INDEX(FormData,$H723,f_Need)&amp;"",""))</f>
        <v/>
      </c>
    </row>
    <row r="724">
      <c r="A724" s="14" t="n">
        <v>720</v>
      </c>
      <c r="B724" s="14">
        <f>IF($H724="","",INDEX(FormData,$H724,f_Id))</f>
        <v/>
      </c>
      <c r="C724" s="15">
        <f>IF($H724="","",IFERROR(INDEX(FormData,$H724,f_Time),""))</f>
        <v/>
      </c>
      <c r="D724" s="14">
        <f>IF($H724="","",IFERROR(UPPER(LEFT(TRIM(INDEX(FormData,$H724,f_Name)),1)&amp;IFERROR(MID(TRIM(INDEX(FormData,$H724,f_Name)),FIND("^",SUBSTITUTE(TRIM(INDEX(FormData,$H724,f_Name))," ","^",LEN(TRIM(INDEX(FormData,$H724,f_Name)))-LEN(SUBSTITUTE(TRIM(INDEX(FormData,$H724,f_Name))," ",""))))+1,1),"")),""))</f>
        <v/>
      </c>
      <c r="E724" s="16">
        <f>IF($H724="","",IFERROR(INDEX(EvID,MATCH(INDEX(FormData,$H724,f_Event),EvID,0)),IFERROR(INDEX(EvID,MATCH(INDEX(FormData,$H724,f_Event),EvName,0)),IFERROR(INDEX(EvID,MATCH(INT($C724),EvDate,0)),"(no event that day)"))))</f>
        <v/>
      </c>
      <c r="F724" s="16">
        <f>IF($H724="","",IFERROR(IF(SUMPRODUCT(MAX((WhoKW&lt;&gt;"")*ISNUMBER(SEARCH(WhoKW,INDEX(FormData,$H724,f_Who)&amp;""))*(ROW(WhoKW)-MIN(ROW(WhoKW))+1)))=0,"",INDEX(WhoVal,SUMPRODUCT(MAX((WhoKW&lt;&gt;"")*ISNUMBER(SEARCH(WhoKW,INDEX(FormData,$H724,f_Who)&amp;""))*(ROW(WhoKW)-MIN(ROW(WhoKW))+1))))),""))</f>
        <v/>
      </c>
      <c r="G724" s="14">
        <f>IF($H724="","",IF(COUNTIF(People!$U$5:$U$604,$B724)+COUNTIF(People!$U$5:$U$604,$B724&amp;"")&gt;0,"✓ logged","→ add"))</f>
        <v/>
      </c>
      <c r="H724">
        <f>IFERROR(IF(INDEX(FormData,721,f_Id)&amp;""="","",721),"")</f>
        <v/>
      </c>
      <c r="I724" s="16">
        <f>IF($H724="","",IFERROR(INDEX(FormData,$H724,f_Need)&amp;"",""))</f>
        <v/>
      </c>
    </row>
    <row r="725">
      <c r="A725" s="14" t="n">
        <v>721</v>
      </c>
      <c r="B725" s="14">
        <f>IF($H725="","",INDEX(FormData,$H725,f_Id))</f>
        <v/>
      </c>
      <c r="C725" s="15">
        <f>IF($H725="","",IFERROR(INDEX(FormData,$H725,f_Time),""))</f>
        <v/>
      </c>
      <c r="D725" s="14">
        <f>IF($H725="","",IFERROR(UPPER(LEFT(TRIM(INDEX(FormData,$H725,f_Name)),1)&amp;IFERROR(MID(TRIM(INDEX(FormData,$H725,f_Name)),FIND("^",SUBSTITUTE(TRIM(INDEX(FormData,$H725,f_Name))," ","^",LEN(TRIM(INDEX(FormData,$H725,f_Name)))-LEN(SUBSTITUTE(TRIM(INDEX(FormData,$H725,f_Name))," ",""))))+1,1),"")),""))</f>
        <v/>
      </c>
      <c r="E725" s="16">
        <f>IF($H725="","",IFERROR(INDEX(EvID,MATCH(INDEX(FormData,$H725,f_Event),EvID,0)),IFERROR(INDEX(EvID,MATCH(INDEX(FormData,$H725,f_Event),EvName,0)),IFERROR(INDEX(EvID,MATCH(INT($C725),EvDate,0)),"(no event that day)"))))</f>
        <v/>
      </c>
      <c r="F725" s="16">
        <f>IF($H725="","",IFERROR(IF(SUMPRODUCT(MAX((WhoKW&lt;&gt;"")*ISNUMBER(SEARCH(WhoKW,INDEX(FormData,$H725,f_Who)&amp;""))*(ROW(WhoKW)-MIN(ROW(WhoKW))+1)))=0,"",INDEX(WhoVal,SUMPRODUCT(MAX((WhoKW&lt;&gt;"")*ISNUMBER(SEARCH(WhoKW,INDEX(FormData,$H725,f_Who)&amp;""))*(ROW(WhoKW)-MIN(ROW(WhoKW))+1))))),""))</f>
        <v/>
      </c>
      <c r="G725" s="14">
        <f>IF($H725="","",IF(COUNTIF(People!$U$5:$U$604,$B725)+COUNTIF(People!$U$5:$U$604,$B725&amp;"")&gt;0,"✓ logged","→ add"))</f>
        <v/>
      </c>
      <c r="H725">
        <f>IFERROR(IF(INDEX(FormData,722,f_Id)&amp;""="","",722),"")</f>
        <v/>
      </c>
      <c r="I725" s="16">
        <f>IF($H725="","",IFERROR(INDEX(FormData,$H725,f_Need)&amp;"",""))</f>
        <v/>
      </c>
    </row>
    <row r="726">
      <c r="A726" s="14" t="n">
        <v>722</v>
      </c>
      <c r="B726" s="14">
        <f>IF($H726="","",INDEX(FormData,$H726,f_Id))</f>
        <v/>
      </c>
      <c r="C726" s="15">
        <f>IF($H726="","",IFERROR(INDEX(FormData,$H726,f_Time),""))</f>
        <v/>
      </c>
      <c r="D726" s="14">
        <f>IF($H726="","",IFERROR(UPPER(LEFT(TRIM(INDEX(FormData,$H726,f_Name)),1)&amp;IFERROR(MID(TRIM(INDEX(FormData,$H726,f_Name)),FIND("^",SUBSTITUTE(TRIM(INDEX(FormData,$H726,f_Name))," ","^",LEN(TRIM(INDEX(FormData,$H726,f_Name)))-LEN(SUBSTITUTE(TRIM(INDEX(FormData,$H726,f_Name))," ",""))))+1,1),"")),""))</f>
        <v/>
      </c>
      <c r="E726" s="16">
        <f>IF($H726="","",IFERROR(INDEX(EvID,MATCH(INDEX(FormData,$H726,f_Event),EvID,0)),IFERROR(INDEX(EvID,MATCH(INDEX(FormData,$H726,f_Event),EvName,0)),IFERROR(INDEX(EvID,MATCH(INT($C726),EvDate,0)),"(no event that day)"))))</f>
        <v/>
      </c>
      <c r="F726" s="16">
        <f>IF($H726="","",IFERROR(IF(SUMPRODUCT(MAX((WhoKW&lt;&gt;"")*ISNUMBER(SEARCH(WhoKW,INDEX(FormData,$H726,f_Who)&amp;""))*(ROW(WhoKW)-MIN(ROW(WhoKW))+1)))=0,"",INDEX(WhoVal,SUMPRODUCT(MAX((WhoKW&lt;&gt;"")*ISNUMBER(SEARCH(WhoKW,INDEX(FormData,$H726,f_Who)&amp;""))*(ROW(WhoKW)-MIN(ROW(WhoKW))+1))))),""))</f>
        <v/>
      </c>
      <c r="G726" s="14">
        <f>IF($H726="","",IF(COUNTIF(People!$U$5:$U$604,$B726)+COUNTIF(People!$U$5:$U$604,$B726&amp;"")&gt;0,"✓ logged","→ add"))</f>
        <v/>
      </c>
      <c r="H726">
        <f>IFERROR(IF(INDEX(FormData,723,f_Id)&amp;""="","",723),"")</f>
        <v/>
      </c>
      <c r="I726" s="16">
        <f>IF($H726="","",IFERROR(INDEX(FormData,$H726,f_Need)&amp;"",""))</f>
        <v/>
      </c>
    </row>
    <row r="727">
      <c r="A727" s="14" t="n">
        <v>723</v>
      </c>
      <c r="B727" s="14">
        <f>IF($H727="","",INDEX(FormData,$H727,f_Id))</f>
        <v/>
      </c>
      <c r="C727" s="15">
        <f>IF($H727="","",IFERROR(INDEX(FormData,$H727,f_Time),""))</f>
        <v/>
      </c>
      <c r="D727" s="14">
        <f>IF($H727="","",IFERROR(UPPER(LEFT(TRIM(INDEX(FormData,$H727,f_Name)),1)&amp;IFERROR(MID(TRIM(INDEX(FormData,$H727,f_Name)),FIND("^",SUBSTITUTE(TRIM(INDEX(FormData,$H727,f_Name))," ","^",LEN(TRIM(INDEX(FormData,$H727,f_Name)))-LEN(SUBSTITUTE(TRIM(INDEX(FormData,$H727,f_Name))," ",""))))+1,1),"")),""))</f>
        <v/>
      </c>
      <c r="E727" s="16">
        <f>IF($H727="","",IFERROR(INDEX(EvID,MATCH(INDEX(FormData,$H727,f_Event),EvID,0)),IFERROR(INDEX(EvID,MATCH(INDEX(FormData,$H727,f_Event),EvName,0)),IFERROR(INDEX(EvID,MATCH(INT($C727),EvDate,0)),"(no event that day)"))))</f>
        <v/>
      </c>
      <c r="F727" s="16">
        <f>IF($H727="","",IFERROR(IF(SUMPRODUCT(MAX((WhoKW&lt;&gt;"")*ISNUMBER(SEARCH(WhoKW,INDEX(FormData,$H727,f_Who)&amp;""))*(ROW(WhoKW)-MIN(ROW(WhoKW))+1)))=0,"",INDEX(WhoVal,SUMPRODUCT(MAX((WhoKW&lt;&gt;"")*ISNUMBER(SEARCH(WhoKW,INDEX(FormData,$H727,f_Who)&amp;""))*(ROW(WhoKW)-MIN(ROW(WhoKW))+1))))),""))</f>
        <v/>
      </c>
      <c r="G727" s="14">
        <f>IF($H727="","",IF(COUNTIF(People!$U$5:$U$604,$B727)+COUNTIF(People!$U$5:$U$604,$B727&amp;"")&gt;0,"✓ logged","→ add"))</f>
        <v/>
      </c>
      <c r="H727">
        <f>IFERROR(IF(INDEX(FormData,724,f_Id)&amp;""="","",724),"")</f>
        <v/>
      </c>
      <c r="I727" s="16">
        <f>IF($H727="","",IFERROR(INDEX(FormData,$H727,f_Need)&amp;"",""))</f>
        <v/>
      </c>
    </row>
    <row r="728">
      <c r="A728" s="14" t="n">
        <v>724</v>
      </c>
      <c r="B728" s="14">
        <f>IF($H728="","",INDEX(FormData,$H728,f_Id))</f>
        <v/>
      </c>
      <c r="C728" s="15">
        <f>IF($H728="","",IFERROR(INDEX(FormData,$H728,f_Time),""))</f>
        <v/>
      </c>
      <c r="D728" s="14">
        <f>IF($H728="","",IFERROR(UPPER(LEFT(TRIM(INDEX(FormData,$H728,f_Name)),1)&amp;IFERROR(MID(TRIM(INDEX(FormData,$H728,f_Name)),FIND("^",SUBSTITUTE(TRIM(INDEX(FormData,$H728,f_Name))," ","^",LEN(TRIM(INDEX(FormData,$H728,f_Name)))-LEN(SUBSTITUTE(TRIM(INDEX(FormData,$H728,f_Name))," ",""))))+1,1),"")),""))</f>
        <v/>
      </c>
      <c r="E728" s="16">
        <f>IF($H728="","",IFERROR(INDEX(EvID,MATCH(INDEX(FormData,$H728,f_Event),EvID,0)),IFERROR(INDEX(EvID,MATCH(INDEX(FormData,$H728,f_Event),EvName,0)),IFERROR(INDEX(EvID,MATCH(INT($C728),EvDate,0)),"(no event that day)"))))</f>
        <v/>
      </c>
      <c r="F728" s="16">
        <f>IF($H728="","",IFERROR(IF(SUMPRODUCT(MAX((WhoKW&lt;&gt;"")*ISNUMBER(SEARCH(WhoKW,INDEX(FormData,$H728,f_Who)&amp;""))*(ROW(WhoKW)-MIN(ROW(WhoKW))+1)))=0,"",INDEX(WhoVal,SUMPRODUCT(MAX((WhoKW&lt;&gt;"")*ISNUMBER(SEARCH(WhoKW,INDEX(FormData,$H728,f_Who)&amp;""))*(ROW(WhoKW)-MIN(ROW(WhoKW))+1))))),""))</f>
        <v/>
      </c>
      <c r="G728" s="14">
        <f>IF($H728="","",IF(COUNTIF(People!$U$5:$U$604,$B728)+COUNTIF(People!$U$5:$U$604,$B728&amp;"")&gt;0,"✓ logged","→ add"))</f>
        <v/>
      </c>
      <c r="H728">
        <f>IFERROR(IF(INDEX(FormData,725,f_Id)&amp;""="","",725),"")</f>
        <v/>
      </c>
      <c r="I728" s="16">
        <f>IF($H728="","",IFERROR(INDEX(FormData,$H728,f_Need)&amp;"",""))</f>
        <v/>
      </c>
    </row>
    <row r="729">
      <c r="A729" s="14" t="n">
        <v>725</v>
      </c>
      <c r="B729" s="14">
        <f>IF($H729="","",INDEX(FormData,$H729,f_Id))</f>
        <v/>
      </c>
      <c r="C729" s="15">
        <f>IF($H729="","",IFERROR(INDEX(FormData,$H729,f_Time),""))</f>
        <v/>
      </c>
      <c r="D729" s="14">
        <f>IF($H729="","",IFERROR(UPPER(LEFT(TRIM(INDEX(FormData,$H729,f_Name)),1)&amp;IFERROR(MID(TRIM(INDEX(FormData,$H729,f_Name)),FIND("^",SUBSTITUTE(TRIM(INDEX(FormData,$H729,f_Name))," ","^",LEN(TRIM(INDEX(FormData,$H729,f_Name)))-LEN(SUBSTITUTE(TRIM(INDEX(FormData,$H729,f_Name))," ",""))))+1,1),"")),""))</f>
        <v/>
      </c>
      <c r="E729" s="16">
        <f>IF($H729="","",IFERROR(INDEX(EvID,MATCH(INDEX(FormData,$H729,f_Event),EvID,0)),IFERROR(INDEX(EvID,MATCH(INDEX(FormData,$H729,f_Event),EvName,0)),IFERROR(INDEX(EvID,MATCH(INT($C729),EvDate,0)),"(no event that day)"))))</f>
        <v/>
      </c>
      <c r="F729" s="16">
        <f>IF($H729="","",IFERROR(IF(SUMPRODUCT(MAX((WhoKW&lt;&gt;"")*ISNUMBER(SEARCH(WhoKW,INDEX(FormData,$H729,f_Who)&amp;""))*(ROW(WhoKW)-MIN(ROW(WhoKW))+1)))=0,"",INDEX(WhoVal,SUMPRODUCT(MAX((WhoKW&lt;&gt;"")*ISNUMBER(SEARCH(WhoKW,INDEX(FormData,$H729,f_Who)&amp;""))*(ROW(WhoKW)-MIN(ROW(WhoKW))+1))))),""))</f>
        <v/>
      </c>
      <c r="G729" s="14">
        <f>IF($H729="","",IF(COUNTIF(People!$U$5:$U$604,$B729)+COUNTIF(People!$U$5:$U$604,$B729&amp;"")&gt;0,"✓ logged","→ add"))</f>
        <v/>
      </c>
      <c r="H729">
        <f>IFERROR(IF(INDEX(FormData,726,f_Id)&amp;""="","",726),"")</f>
        <v/>
      </c>
      <c r="I729" s="16">
        <f>IF($H729="","",IFERROR(INDEX(FormData,$H729,f_Need)&amp;"",""))</f>
        <v/>
      </c>
    </row>
    <row r="730">
      <c r="A730" s="14" t="n">
        <v>726</v>
      </c>
      <c r="B730" s="14">
        <f>IF($H730="","",INDEX(FormData,$H730,f_Id))</f>
        <v/>
      </c>
      <c r="C730" s="15">
        <f>IF($H730="","",IFERROR(INDEX(FormData,$H730,f_Time),""))</f>
        <v/>
      </c>
      <c r="D730" s="14">
        <f>IF($H730="","",IFERROR(UPPER(LEFT(TRIM(INDEX(FormData,$H730,f_Name)),1)&amp;IFERROR(MID(TRIM(INDEX(FormData,$H730,f_Name)),FIND("^",SUBSTITUTE(TRIM(INDEX(FormData,$H730,f_Name))," ","^",LEN(TRIM(INDEX(FormData,$H730,f_Name)))-LEN(SUBSTITUTE(TRIM(INDEX(FormData,$H730,f_Name))," ",""))))+1,1),"")),""))</f>
        <v/>
      </c>
      <c r="E730" s="16">
        <f>IF($H730="","",IFERROR(INDEX(EvID,MATCH(INDEX(FormData,$H730,f_Event),EvID,0)),IFERROR(INDEX(EvID,MATCH(INDEX(FormData,$H730,f_Event),EvName,0)),IFERROR(INDEX(EvID,MATCH(INT($C730),EvDate,0)),"(no event that day)"))))</f>
        <v/>
      </c>
      <c r="F730" s="16">
        <f>IF($H730="","",IFERROR(IF(SUMPRODUCT(MAX((WhoKW&lt;&gt;"")*ISNUMBER(SEARCH(WhoKW,INDEX(FormData,$H730,f_Who)&amp;""))*(ROW(WhoKW)-MIN(ROW(WhoKW))+1)))=0,"",INDEX(WhoVal,SUMPRODUCT(MAX((WhoKW&lt;&gt;"")*ISNUMBER(SEARCH(WhoKW,INDEX(FormData,$H730,f_Who)&amp;""))*(ROW(WhoKW)-MIN(ROW(WhoKW))+1))))),""))</f>
        <v/>
      </c>
      <c r="G730" s="14">
        <f>IF($H730="","",IF(COUNTIF(People!$U$5:$U$604,$B730)+COUNTIF(People!$U$5:$U$604,$B730&amp;"")&gt;0,"✓ logged","→ add"))</f>
        <v/>
      </c>
      <c r="H730">
        <f>IFERROR(IF(INDEX(FormData,727,f_Id)&amp;""="","",727),"")</f>
        <v/>
      </c>
      <c r="I730" s="16">
        <f>IF($H730="","",IFERROR(INDEX(FormData,$H730,f_Need)&amp;"",""))</f>
        <v/>
      </c>
    </row>
    <row r="731">
      <c r="A731" s="14" t="n">
        <v>727</v>
      </c>
      <c r="B731" s="14">
        <f>IF($H731="","",INDEX(FormData,$H731,f_Id))</f>
        <v/>
      </c>
      <c r="C731" s="15">
        <f>IF($H731="","",IFERROR(INDEX(FormData,$H731,f_Time),""))</f>
        <v/>
      </c>
      <c r="D731" s="14">
        <f>IF($H731="","",IFERROR(UPPER(LEFT(TRIM(INDEX(FormData,$H731,f_Name)),1)&amp;IFERROR(MID(TRIM(INDEX(FormData,$H731,f_Name)),FIND("^",SUBSTITUTE(TRIM(INDEX(FormData,$H731,f_Name))," ","^",LEN(TRIM(INDEX(FormData,$H731,f_Name)))-LEN(SUBSTITUTE(TRIM(INDEX(FormData,$H731,f_Name))," ",""))))+1,1),"")),""))</f>
        <v/>
      </c>
      <c r="E731" s="16">
        <f>IF($H731="","",IFERROR(INDEX(EvID,MATCH(INDEX(FormData,$H731,f_Event),EvID,0)),IFERROR(INDEX(EvID,MATCH(INDEX(FormData,$H731,f_Event),EvName,0)),IFERROR(INDEX(EvID,MATCH(INT($C731),EvDate,0)),"(no event that day)"))))</f>
        <v/>
      </c>
      <c r="F731" s="16">
        <f>IF($H731="","",IFERROR(IF(SUMPRODUCT(MAX((WhoKW&lt;&gt;"")*ISNUMBER(SEARCH(WhoKW,INDEX(FormData,$H731,f_Who)&amp;""))*(ROW(WhoKW)-MIN(ROW(WhoKW))+1)))=0,"",INDEX(WhoVal,SUMPRODUCT(MAX((WhoKW&lt;&gt;"")*ISNUMBER(SEARCH(WhoKW,INDEX(FormData,$H731,f_Who)&amp;""))*(ROW(WhoKW)-MIN(ROW(WhoKW))+1))))),""))</f>
        <v/>
      </c>
      <c r="G731" s="14">
        <f>IF($H731="","",IF(COUNTIF(People!$U$5:$U$604,$B731)+COUNTIF(People!$U$5:$U$604,$B731&amp;"")&gt;0,"✓ logged","→ add"))</f>
        <v/>
      </c>
      <c r="H731">
        <f>IFERROR(IF(INDEX(FormData,728,f_Id)&amp;""="","",728),"")</f>
        <v/>
      </c>
      <c r="I731" s="16">
        <f>IF($H731="","",IFERROR(INDEX(FormData,$H731,f_Need)&amp;"",""))</f>
        <v/>
      </c>
    </row>
    <row r="732">
      <c r="A732" s="14" t="n">
        <v>728</v>
      </c>
      <c r="B732" s="14">
        <f>IF($H732="","",INDEX(FormData,$H732,f_Id))</f>
        <v/>
      </c>
      <c r="C732" s="15">
        <f>IF($H732="","",IFERROR(INDEX(FormData,$H732,f_Time),""))</f>
        <v/>
      </c>
      <c r="D732" s="14">
        <f>IF($H732="","",IFERROR(UPPER(LEFT(TRIM(INDEX(FormData,$H732,f_Name)),1)&amp;IFERROR(MID(TRIM(INDEX(FormData,$H732,f_Name)),FIND("^",SUBSTITUTE(TRIM(INDEX(FormData,$H732,f_Name))," ","^",LEN(TRIM(INDEX(FormData,$H732,f_Name)))-LEN(SUBSTITUTE(TRIM(INDEX(FormData,$H732,f_Name))," ",""))))+1,1),"")),""))</f>
        <v/>
      </c>
      <c r="E732" s="16">
        <f>IF($H732="","",IFERROR(INDEX(EvID,MATCH(INDEX(FormData,$H732,f_Event),EvID,0)),IFERROR(INDEX(EvID,MATCH(INDEX(FormData,$H732,f_Event),EvName,0)),IFERROR(INDEX(EvID,MATCH(INT($C732),EvDate,0)),"(no event that day)"))))</f>
        <v/>
      </c>
      <c r="F732" s="16">
        <f>IF($H732="","",IFERROR(IF(SUMPRODUCT(MAX((WhoKW&lt;&gt;"")*ISNUMBER(SEARCH(WhoKW,INDEX(FormData,$H732,f_Who)&amp;""))*(ROW(WhoKW)-MIN(ROW(WhoKW))+1)))=0,"",INDEX(WhoVal,SUMPRODUCT(MAX((WhoKW&lt;&gt;"")*ISNUMBER(SEARCH(WhoKW,INDEX(FormData,$H732,f_Who)&amp;""))*(ROW(WhoKW)-MIN(ROW(WhoKW))+1))))),""))</f>
        <v/>
      </c>
      <c r="G732" s="14">
        <f>IF($H732="","",IF(COUNTIF(People!$U$5:$U$604,$B732)+COUNTIF(People!$U$5:$U$604,$B732&amp;"")&gt;0,"✓ logged","→ add"))</f>
        <v/>
      </c>
      <c r="H732">
        <f>IFERROR(IF(INDEX(FormData,729,f_Id)&amp;""="","",729),"")</f>
        <v/>
      </c>
      <c r="I732" s="16">
        <f>IF($H732="","",IFERROR(INDEX(FormData,$H732,f_Need)&amp;"",""))</f>
        <v/>
      </c>
    </row>
    <row r="733">
      <c r="A733" s="14" t="n">
        <v>729</v>
      </c>
      <c r="B733" s="14">
        <f>IF($H733="","",INDEX(FormData,$H733,f_Id))</f>
        <v/>
      </c>
      <c r="C733" s="15">
        <f>IF($H733="","",IFERROR(INDEX(FormData,$H733,f_Time),""))</f>
        <v/>
      </c>
      <c r="D733" s="14">
        <f>IF($H733="","",IFERROR(UPPER(LEFT(TRIM(INDEX(FormData,$H733,f_Name)),1)&amp;IFERROR(MID(TRIM(INDEX(FormData,$H733,f_Name)),FIND("^",SUBSTITUTE(TRIM(INDEX(FormData,$H733,f_Name))," ","^",LEN(TRIM(INDEX(FormData,$H733,f_Name)))-LEN(SUBSTITUTE(TRIM(INDEX(FormData,$H733,f_Name))," ",""))))+1,1),"")),""))</f>
        <v/>
      </c>
      <c r="E733" s="16">
        <f>IF($H733="","",IFERROR(INDEX(EvID,MATCH(INDEX(FormData,$H733,f_Event),EvID,0)),IFERROR(INDEX(EvID,MATCH(INDEX(FormData,$H733,f_Event),EvName,0)),IFERROR(INDEX(EvID,MATCH(INT($C733),EvDate,0)),"(no event that day)"))))</f>
        <v/>
      </c>
      <c r="F733" s="16">
        <f>IF($H733="","",IFERROR(IF(SUMPRODUCT(MAX((WhoKW&lt;&gt;"")*ISNUMBER(SEARCH(WhoKW,INDEX(FormData,$H733,f_Who)&amp;""))*(ROW(WhoKW)-MIN(ROW(WhoKW))+1)))=0,"",INDEX(WhoVal,SUMPRODUCT(MAX((WhoKW&lt;&gt;"")*ISNUMBER(SEARCH(WhoKW,INDEX(FormData,$H733,f_Who)&amp;""))*(ROW(WhoKW)-MIN(ROW(WhoKW))+1))))),""))</f>
        <v/>
      </c>
      <c r="G733" s="14">
        <f>IF($H733="","",IF(COUNTIF(People!$U$5:$U$604,$B733)+COUNTIF(People!$U$5:$U$604,$B733&amp;"")&gt;0,"✓ logged","→ add"))</f>
        <v/>
      </c>
      <c r="H733">
        <f>IFERROR(IF(INDEX(FormData,730,f_Id)&amp;""="","",730),"")</f>
        <v/>
      </c>
      <c r="I733" s="16">
        <f>IF($H733="","",IFERROR(INDEX(FormData,$H733,f_Need)&amp;"",""))</f>
        <v/>
      </c>
    </row>
    <row r="734">
      <c r="A734" s="14" t="n">
        <v>730</v>
      </c>
      <c r="B734" s="14">
        <f>IF($H734="","",INDEX(FormData,$H734,f_Id))</f>
        <v/>
      </c>
      <c r="C734" s="15">
        <f>IF($H734="","",IFERROR(INDEX(FormData,$H734,f_Time),""))</f>
        <v/>
      </c>
      <c r="D734" s="14">
        <f>IF($H734="","",IFERROR(UPPER(LEFT(TRIM(INDEX(FormData,$H734,f_Name)),1)&amp;IFERROR(MID(TRIM(INDEX(FormData,$H734,f_Name)),FIND("^",SUBSTITUTE(TRIM(INDEX(FormData,$H734,f_Name))," ","^",LEN(TRIM(INDEX(FormData,$H734,f_Name)))-LEN(SUBSTITUTE(TRIM(INDEX(FormData,$H734,f_Name))," ",""))))+1,1),"")),""))</f>
        <v/>
      </c>
      <c r="E734" s="16">
        <f>IF($H734="","",IFERROR(INDEX(EvID,MATCH(INDEX(FormData,$H734,f_Event),EvID,0)),IFERROR(INDEX(EvID,MATCH(INDEX(FormData,$H734,f_Event),EvName,0)),IFERROR(INDEX(EvID,MATCH(INT($C734),EvDate,0)),"(no event that day)"))))</f>
        <v/>
      </c>
      <c r="F734" s="16">
        <f>IF($H734="","",IFERROR(IF(SUMPRODUCT(MAX((WhoKW&lt;&gt;"")*ISNUMBER(SEARCH(WhoKW,INDEX(FormData,$H734,f_Who)&amp;""))*(ROW(WhoKW)-MIN(ROW(WhoKW))+1)))=0,"",INDEX(WhoVal,SUMPRODUCT(MAX((WhoKW&lt;&gt;"")*ISNUMBER(SEARCH(WhoKW,INDEX(FormData,$H734,f_Who)&amp;""))*(ROW(WhoKW)-MIN(ROW(WhoKW))+1))))),""))</f>
        <v/>
      </c>
      <c r="G734" s="14">
        <f>IF($H734="","",IF(COUNTIF(People!$U$5:$U$604,$B734)+COUNTIF(People!$U$5:$U$604,$B734&amp;"")&gt;0,"✓ logged","→ add"))</f>
        <v/>
      </c>
      <c r="H734">
        <f>IFERROR(IF(INDEX(FormData,731,f_Id)&amp;""="","",731),"")</f>
        <v/>
      </c>
      <c r="I734" s="16">
        <f>IF($H734="","",IFERROR(INDEX(FormData,$H734,f_Need)&amp;"",""))</f>
        <v/>
      </c>
    </row>
    <row r="735">
      <c r="A735" s="14" t="n">
        <v>731</v>
      </c>
      <c r="B735" s="14">
        <f>IF($H735="","",INDEX(FormData,$H735,f_Id))</f>
        <v/>
      </c>
      <c r="C735" s="15">
        <f>IF($H735="","",IFERROR(INDEX(FormData,$H735,f_Time),""))</f>
        <v/>
      </c>
      <c r="D735" s="14">
        <f>IF($H735="","",IFERROR(UPPER(LEFT(TRIM(INDEX(FormData,$H735,f_Name)),1)&amp;IFERROR(MID(TRIM(INDEX(FormData,$H735,f_Name)),FIND("^",SUBSTITUTE(TRIM(INDEX(FormData,$H735,f_Name))," ","^",LEN(TRIM(INDEX(FormData,$H735,f_Name)))-LEN(SUBSTITUTE(TRIM(INDEX(FormData,$H735,f_Name))," ",""))))+1,1),"")),""))</f>
        <v/>
      </c>
      <c r="E735" s="16">
        <f>IF($H735="","",IFERROR(INDEX(EvID,MATCH(INDEX(FormData,$H735,f_Event),EvID,0)),IFERROR(INDEX(EvID,MATCH(INDEX(FormData,$H735,f_Event),EvName,0)),IFERROR(INDEX(EvID,MATCH(INT($C735),EvDate,0)),"(no event that day)"))))</f>
        <v/>
      </c>
      <c r="F735" s="16">
        <f>IF($H735="","",IFERROR(IF(SUMPRODUCT(MAX((WhoKW&lt;&gt;"")*ISNUMBER(SEARCH(WhoKW,INDEX(FormData,$H735,f_Who)&amp;""))*(ROW(WhoKW)-MIN(ROW(WhoKW))+1)))=0,"",INDEX(WhoVal,SUMPRODUCT(MAX((WhoKW&lt;&gt;"")*ISNUMBER(SEARCH(WhoKW,INDEX(FormData,$H735,f_Who)&amp;""))*(ROW(WhoKW)-MIN(ROW(WhoKW))+1))))),""))</f>
        <v/>
      </c>
      <c r="G735" s="14">
        <f>IF($H735="","",IF(COUNTIF(People!$U$5:$U$604,$B735)+COUNTIF(People!$U$5:$U$604,$B735&amp;"")&gt;0,"✓ logged","→ add"))</f>
        <v/>
      </c>
      <c r="H735">
        <f>IFERROR(IF(INDEX(FormData,732,f_Id)&amp;""="","",732),"")</f>
        <v/>
      </c>
      <c r="I735" s="16">
        <f>IF($H735="","",IFERROR(INDEX(FormData,$H735,f_Need)&amp;"",""))</f>
        <v/>
      </c>
    </row>
    <row r="736">
      <c r="A736" s="14" t="n">
        <v>732</v>
      </c>
      <c r="B736" s="14">
        <f>IF($H736="","",INDEX(FormData,$H736,f_Id))</f>
        <v/>
      </c>
      <c r="C736" s="15">
        <f>IF($H736="","",IFERROR(INDEX(FormData,$H736,f_Time),""))</f>
        <v/>
      </c>
      <c r="D736" s="14">
        <f>IF($H736="","",IFERROR(UPPER(LEFT(TRIM(INDEX(FormData,$H736,f_Name)),1)&amp;IFERROR(MID(TRIM(INDEX(FormData,$H736,f_Name)),FIND("^",SUBSTITUTE(TRIM(INDEX(FormData,$H736,f_Name))," ","^",LEN(TRIM(INDEX(FormData,$H736,f_Name)))-LEN(SUBSTITUTE(TRIM(INDEX(FormData,$H736,f_Name))," ",""))))+1,1),"")),""))</f>
        <v/>
      </c>
      <c r="E736" s="16">
        <f>IF($H736="","",IFERROR(INDEX(EvID,MATCH(INDEX(FormData,$H736,f_Event),EvID,0)),IFERROR(INDEX(EvID,MATCH(INDEX(FormData,$H736,f_Event),EvName,0)),IFERROR(INDEX(EvID,MATCH(INT($C736),EvDate,0)),"(no event that day)"))))</f>
        <v/>
      </c>
      <c r="F736" s="16">
        <f>IF($H736="","",IFERROR(IF(SUMPRODUCT(MAX((WhoKW&lt;&gt;"")*ISNUMBER(SEARCH(WhoKW,INDEX(FormData,$H736,f_Who)&amp;""))*(ROW(WhoKW)-MIN(ROW(WhoKW))+1)))=0,"",INDEX(WhoVal,SUMPRODUCT(MAX((WhoKW&lt;&gt;"")*ISNUMBER(SEARCH(WhoKW,INDEX(FormData,$H736,f_Who)&amp;""))*(ROW(WhoKW)-MIN(ROW(WhoKW))+1))))),""))</f>
        <v/>
      </c>
      <c r="G736" s="14">
        <f>IF($H736="","",IF(COUNTIF(People!$U$5:$U$604,$B736)+COUNTIF(People!$U$5:$U$604,$B736&amp;"")&gt;0,"✓ logged","→ add"))</f>
        <v/>
      </c>
      <c r="H736">
        <f>IFERROR(IF(INDEX(FormData,733,f_Id)&amp;""="","",733),"")</f>
        <v/>
      </c>
      <c r="I736" s="16">
        <f>IF($H736="","",IFERROR(INDEX(FormData,$H736,f_Need)&amp;"",""))</f>
        <v/>
      </c>
    </row>
    <row r="737">
      <c r="A737" s="14" t="n">
        <v>733</v>
      </c>
      <c r="B737" s="14">
        <f>IF($H737="","",INDEX(FormData,$H737,f_Id))</f>
        <v/>
      </c>
      <c r="C737" s="15">
        <f>IF($H737="","",IFERROR(INDEX(FormData,$H737,f_Time),""))</f>
        <v/>
      </c>
      <c r="D737" s="14">
        <f>IF($H737="","",IFERROR(UPPER(LEFT(TRIM(INDEX(FormData,$H737,f_Name)),1)&amp;IFERROR(MID(TRIM(INDEX(FormData,$H737,f_Name)),FIND("^",SUBSTITUTE(TRIM(INDEX(FormData,$H737,f_Name))," ","^",LEN(TRIM(INDEX(FormData,$H737,f_Name)))-LEN(SUBSTITUTE(TRIM(INDEX(FormData,$H737,f_Name))," ",""))))+1,1),"")),""))</f>
        <v/>
      </c>
      <c r="E737" s="16">
        <f>IF($H737="","",IFERROR(INDEX(EvID,MATCH(INDEX(FormData,$H737,f_Event),EvID,0)),IFERROR(INDEX(EvID,MATCH(INDEX(FormData,$H737,f_Event),EvName,0)),IFERROR(INDEX(EvID,MATCH(INT($C737),EvDate,0)),"(no event that day)"))))</f>
        <v/>
      </c>
      <c r="F737" s="16">
        <f>IF($H737="","",IFERROR(IF(SUMPRODUCT(MAX((WhoKW&lt;&gt;"")*ISNUMBER(SEARCH(WhoKW,INDEX(FormData,$H737,f_Who)&amp;""))*(ROW(WhoKW)-MIN(ROW(WhoKW))+1)))=0,"",INDEX(WhoVal,SUMPRODUCT(MAX((WhoKW&lt;&gt;"")*ISNUMBER(SEARCH(WhoKW,INDEX(FormData,$H737,f_Who)&amp;""))*(ROW(WhoKW)-MIN(ROW(WhoKW))+1))))),""))</f>
        <v/>
      </c>
      <c r="G737" s="14">
        <f>IF($H737="","",IF(COUNTIF(People!$U$5:$U$604,$B737)+COUNTIF(People!$U$5:$U$604,$B737&amp;"")&gt;0,"✓ logged","→ add"))</f>
        <v/>
      </c>
      <c r="H737">
        <f>IFERROR(IF(INDEX(FormData,734,f_Id)&amp;""="","",734),"")</f>
        <v/>
      </c>
      <c r="I737" s="16">
        <f>IF($H737="","",IFERROR(INDEX(FormData,$H737,f_Need)&amp;"",""))</f>
        <v/>
      </c>
    </row>
    <row r="738">
      <c r="A738" s="14" t="n">
        <v>734</v>
      </c>
      <c r="B738" s="14">
        <f>IF($H738="","",INDEX(FormData,$H738,f_Id))</f>
        <v/>
      </c>
      <c r="C738" s="15">
        <f>IF($H738="","",IFERROR(INDEX(FormData,$H738,f_Time),""))</f>
        <v/>
      </c>
      <c r="D738" s="14">
        <f>IF($H738="","",IFERROR(UPPER(LEFT(TRIM(INDEX(FormData,$H738,f_Name)),1)&amp;IFERROR(MID(TRIM(INDEX(FormData,$H738,f_Name)),FIND("^",SUBSTITUTE(TRIM(INDEX(FormData,$H738,f_Name))," ","^",LEN(TRIM(INDEX(FormData,$H738,f_Name)))-LEN(SUBSTITUTE(TRIM(INDEX(FormData,$H738,f_Name))," ",""))))+1,1),"")),""))</f>
        <v/>
      </c>
      <c r="E738" s="16">
        <f>IF($H738="","",IFERROR(INDEX(EvID,MATCH(INDEX(FormData,$H738,f_Event),EvID,0)),IFERROR(INDEX(EvID,MATCH(INDEX(FormData,$H738,f_Event),EvName,0)),IFERROR(INDEX(EvID,MATCH(INT($C738),EvDate,0)),"(no event that day)"))))</f>
        <v/>
      </c>
      <c r="F738" s="16">
        <f>IF($H738="","",IFERROR(IF(SUMPRODUCT(MAX((WhoKW&lt;&gt;"")*ISNUMBER(SEARCH(WhoKW,INDEX(FormData,$H738,f_Who)&amp;""))*(ROW(WhoKW)-MIN(ROW(WhoKW))+1)))=0,"",INDEX(WhoVal,SUMPRODUCT(MAX((WhoKW&lt;&gt;"")*ISNUMBER(SEARCH(WhoKW,INDEX(FormData,$H738,f_Who)&amp;""))*(ROW(WhoKW)-MIN(ROW(WhoKW))+1))))),""))</f>
        <v/>
      </c>
      <c r="G738" s="14">
        <f>IF($H738="","",IF(COUNTIF(People!$U$5:$U$604,$B738)+COUNTIF(People!$U$5:$U$604,$B738&amp;"")&gt;0,"✓ logged","→ add"))</f>
        <v/>
      </c>
      <c r="H738">
        <f>IFERROR(IF(INDEX(FormData,735,f_Id)&amp;""="","",735),"")</f>
        <v/>
      </c>
      <c r="I738" s="16">
        <f>IF($H738="","",IFERROR(INDEX(FormData,$H738,f_Need)&amp;"",""))</f>
        <v/>
      </c>
    </row>
    <row r="739">
      <c r="A739" s="14" t="n">
        <v>735</v>
      </c>
      <c r="B739" s="14">
        <f>IF($H739="","",INDEX(FormData,$H739,f_Id))</f>
        <v/>
      </c>
      <c r="C739" s="15">
        <f>IF($H739="","",IFERROR(INDEX(FormData,$H739,f_Time),""))</f>
        <v/>
      </c>
      <c r="D739" s="14">
        <f>IF($H739="","",IFERROR(UPPER(LEFT(TRIM(INDEX(FormData,$H739,f_Name)),1)&amp;IFERROR(MID(TRIM(INDEX(FormData,$H739,f_Name)),FIND("^",SUBSTITUTE(TRIM(INDEX(FormData,$H739,f_Name))," ","^",LEN(TRIM(INDEX(FormData,$H739,f_Name)))-LEN(SUBSTITUTE(TRIM(INDEX(FormData,$H739,f_Name))," ",""))))+1,1),"")),""))</f>
        <v/>
      </c>
      <c r="E739" s="16">
        <f>IF($H739="","",IFERROR(INDEX(EvID,MATCH(INDEX(FormData,$H739,f_Event),EvID,0)),IFERROR(INDEX(EvID,MATCH(INDEX(FormData,$H739,f_Event),EvName,0)),IFERROR(INDEX(EvID,MATCH(INT($C739),EvDate,0)),"(no event that day)"))))</f>
        <v/>
      </c>
      <c r="F739" s="16">
        <f>IF($H739="","",IFERROR(IF(SUMPRODUCT(MAX((WhoKW&lt;&gt;"")*ISNUMBER(SEARCH(WhoKW,INDEX(FormData,$H739,f_Who)&amp;""))*(ROW(WhoKW)-MIN(ROW(WhoKW))+1)))=0,"",INDEX(WhoVal,SUMPRODUCT(MAX((WhoKW&lt;&gt;"")*ISNUMBER(SEARCH(WhoKW,INDEX(FormData,$H739,f_Who)&amp;""))*(ROW(WhoKW)-MIN(ROW(WhoKW))+1))))),""))</f>
        <v/>
      </c>
      <c r="G739" s="14">
        <f>IF($H739="","",IF(COUNTIF(People!$U$5:$U$604,$B739)+COUNTIF(People!$U$5:$U$604,$B739&amp;"")&gt;0,"✓ logged","→ add"))</f>
        <v/>
      </c>
      <c r="H739">
        <f>IFERROR(IF(INDEX(FormData,736,f_Id)&amp;""="","",736),"")</f>
        <v/>
      </c>
      <c r="I739" s="16">
        <f>IF($H739="","",IFERROR(INDEX(FormData,$H739,f_Need)&amp;"",""))</f>
        <v/>
      </c>
    </row>
    <row r="740">
      <c r="A740" s="14" t="n">
        <v>736</v>
      </c>
      <c r="B740" s="14">
        <f>IF($H740="","",INDEX(FormData,$H740,f_Id))</f>
        <v/>
      </c>
      <c r="C740" s="15">
        <f>IF($H740="","",IFERROR(INDEX(FormData,$H740,f_Time),""))</f>
        <v/>
      </c>
      <c r="D740" s="14">
        <f>IF($H740="","",IFERROR(UPPER(LEFT(TRIM(INDEX(FormData,$H740,f_Name)),1)&amp;IFERROR(MID(TRIM(INDEX(FormData,$H740,f_Name)),FIND("^",SUBSTITUTE(TRIM(INDEX(FormData,$H740,f_Name))," ","^",LEN(TRIM(INDEX(FormData,$H740,f_Name)))-LEN(SUBSTITUTE(TRIM(INDEX(FormData,$H740,f_Name))," ",""))))+1,1),"")),""))</f>
        <v/>
      </c>
      <c r="E740" s="16">
        <f>IF($H740="","",IFERROR(INDEX(EvID,MATCH(INDEX(FormData,$H740,f_Event),EvID,0)),IFERROR(INDEX(EvID,MATCH(INDEX(FormData,$H740,f_Event),EvName,0)),IFERROR(INDEX(EvID,MATCH(INT($C740),EvDate,0)),"(no event that day)"))))</f>
        <v/>
      </c>
      <c r="F740" s="16">
        <f>IF($H740="","",IFERROR(IF(SUMPRODUCT(MAX((WhoKW&lt;&gt;"")*ISNUMBER(SEARCH(WhoKW,INDEX(FormData,$H740,f_Who)&amp;""))*(ROW(WhoKW)-MIN(ROW(WhoKW))+1)))=0,"",INDEX(WhoVal,SUMPRODUCT(MAX((WhoKW&lt;&gt;"")*ISNUMBER(SEARCH(WhoKW,INDEX(FormData,$H740,f_Who)&amp;""))*(ROW(WhoKW)-MIN(ROW(WhoKW))+1))))),""))</f>
        <v/>
      </c>
      <c r="G740" s="14">
        <f>IF($H740="","",IF(COUNTIF(People!$U$5:$U$604,$B740)+COUNTIF(People!$U$5:$U$604,$B740&amp;"")&gt;0,"✓ logged","→ add"))</f>
        <v/>
      </c>
      <c r="H740">
        <f>IFERROR(IF(INDEX(FormData,737,f_Id)&amp;""="","",737),"")</f>
        <v/>
      </c>
      <c r="I740" s="16">
        <f>IF($H740="","",IFERROR(INDEX(FormData,$H740,f_Need)&amp;"",""))</f>
        <v/>
      </c>
    </row>
    <row r="741">
      <c r="A741" s="14" t="n">
        <v>737</v>
      </c>
      <c r="B741" s="14">
        <f>IF($H741="","",INDEX(FormData,$H741,f_Id))</f>
        <v/>
      </c>
      <c r="C741" s="15">
        <f>IF($H741="","",IFERROR(INDEX(FormData,$H741,f_Time),""))</f>
        <v/>
      </c>
      <c r="D741" s="14">
        <f>IF($H741="","",IFERROR(UPPER(LEFT(TRIM(INDEX(FormData,$H741,f_Name)),1)&amp;IFERROR(MID(TRIM(INDEX(FormData,$H741,f_Name)),FIND("^",SUBSTITUTE(TRIM(INDEX(FormData,$H741,f_Name))," ","^",LEN(TRIM(INDEX(FormData,$H741,f_Name)))-LEN(SUBSTITUTE(TRIM(INDEX(FormData,$H741,f_Name))," ",""))))+1,1),"")),""))</f>
        <v/>
      </c>
      <c r="E741" s="16">
        <f>IF($H741="","",IFERROR(INDEX(EvID,MATCH(INDEX(FormData,$H741,f_Event),EvID,0)),IFERROR(INDEX(EvID,MATCH(INDEX(FormData,$H741,f_Event),EvName,0)),IFERROR(INDEX(EvID,MATCH(INT($C741),EvDate,0)),"(no event that day)"))))</f>
        <v/>
      </c>
      <c r="F741" s="16">
        <f>IF($H741="","",IFERROR(IF(SUMPRODUCT(MAX((WhoKW&lt;&gt;"")*ISNUMBER(SEARCH(WhoKW,INDEX(FormData,$H741,f_Who)&amp;""))*(ROW(WhoKW)-MIN(ROW(WhoKW))+1)))=0,"",INDEX(WhoVal,SUMPRODUCT(MAX((WhoKW&lt;&gt;"")*ISNUMBER(SEARCH(WhoKW,INDEX(FormData,$H741,f_Who)&amp;""))*(ROW(WhoKW)-MIN(ROW(WhoKW))+1))))),""))</f>
        <v/>
      </c>
      <c r="G741" s="14">
        <f>IF($H741="","",IF(COUNTIF(People!$U$5:$U$604,$B741)+COUNTIF(People!$U$5:$U$604,$B741&amp;"")&gt;0,"✓ logged","→ add"))</f>
        <v/>
      </c>
      <c r="H741">
        <f>IFERROR(IF(INDEX(FormData,738,f_Id)&amp;""="","",738),"")</f>
        <v/>
      </c>
      <c r="I741" s="16">
        <f>IF($H741="","",IFERROR(INDEX(FormData,$H741,f_Need)&amp;"",""))</f>
        <v/>
      </c>
    </row>
    <row r="742">
      <c r="A742" s="14" t="n">
        <v>738</v>
      </c>
      <c r="B742" s="14">
        <f>IF($H742="","",INDEX(FormData,$H742,f_Id))</f>
        <v/>
      </c>
      <c r="C742" s="15">
        <f>IF($H742="","",IFERROR(INDEX(FormData,$H742,f_Time),""))</f>
        <v/>
      </c>
      <c r="D742" s="14">
        <f>IF($H742="","",IFERROR(UPPER(LEFT(TRIM(INDEX(FormData,$H742,f_Name)),1)&amp;IFERROR(MID(TRIM(INDEX(FormData,$H742,f_Name)),FIND("^",SUBSTITUTE(TRIM(INDEX(FormData,$H742,f_Name))," ","^",LEN(TRIM(INDEX(FormData,$H742,f_Name)))-LEN(SUBSTITUTE(TRIM(INDEX(FormData,$H742,f_Name))," ",""))))+1,1),"")),""))</f>
        <v/>
      </c>
      <c r="E742" s="16">
        <f>IF($H742="","",IFERROR(INDEX(EvID,MATCH(INDEX(FormData,$H742,f_Event),EvID,0)),IFERROR(INDEX(EvID,MATCH(INDEX(FormData,$H742,f_Event),EvName,0)),IFERROR(INDEX(EvID,MATCH(INT($C742),EvDate,0)),"(no event that day)"))))</f>
        <v/>
      </c>
      <c r="F742" s="16">
        <f>IF($H742="","",IFERROR(IF(SUMPRODUCT(MAX((WhoKW&lt;&gt;"")*ISNUMBER(SEARCH(WhoKW,INDEX(FormData,$H742,f_Who)&amp;""))*(ROW(WhoKW)-MIN(ROW(WhoKW))+1)))=0,"",INDEX(WhoVal,SUMPRODUCT(MAX((WhoKW&lt;&gt;"")*ISNUMBER(SEARCH(WhoKW,INDEX(FormData,$H742,f_Who)&amp;""))*(ROW(WhoKW)-MIN(ROW(WhoKW))+1))))),""))</f>
        <v/>
      </c>
      <c r="G742" s="14">
        <f>IF($H742="","",IF(COUNTIF(People!$U$5:$U$604,$B742)+COUNTIF(People!$U$5:$U$604,$B742&amp;"")&gt;0,"✓ logged","→ add"))</f>
        <v/>
      </c>
      <c r="H742">
        <f>IFERROR(IF(INDEX(FormData,739,f_Id)&amp;""="","",739),"")</f>
        <v/>
      </c>
      <c r="I742" s="16">
        <f>IF($H742="","",IFERROR(INDEX(FormData,$H742,f_Need)&amp;"",""))</f>
        <v/>
      </c>
    </row>
    <row r="743">
      <c r="A743" s="14" t="n">
        <v>739</v>
      </c>
      <c r="B743" s="14">
        <f>IF($H743="","",INDEX(FormData,$H743,f_Id))</f>
        <v/>
      </c>
      <c r="C743" s="15">
        <f>IF($H743="","",IFERROR(INDEX(FormData,$H743,f_Time),""))</f>
        <v/>
      </c>
      <c r="D743" s="14">
        <f>IF($H743="","",IFERROR(UPPER(LEFT(TRIM(INDEX(FormData,$H743,f_Name)),1)&amp;IFERROR(MID(TRIM(INDEX(FormData,$H743,f_Name)),FIND("^",SUBSTITUTE(TRIM(INDEX(FormData,$H743,f_Name))," ","^",LEN(TRIM(INDEX(FormData,$H743,f_Name)))-LEN(SUBSTITUTE(TRIM(INDEX(FormData,$H743,f_Name))," ",""))))+1,1),"")),""))</f>
        <v/>
      </c>
      <c r="E743" s="16">
        <f>IF($H743="","",IFERROR(INDEX(EvID,MATCH(INDEX(FormData,$H743,f_Event),EvID,0)),IFERROR(INDEX(EvID,MATCH(INDEX(FormData,$H743,f_Event),EvName,0)),IFERROR(INDEX(EvID,MATCH(INT($C743),EvDate,0)),"(no event that day)"))))</f>
        <v/>
      </c>
      <c r="F743" s="16">
        <f>IF($H743="","",IFERROR(IF(SUMPRODUCT(MAX((WhoKW&lt;&gt;"")*ISNUMBER(SEARCH(WhoKW,INDEX(FormData,$H743,f_Who)&amp;""))*(ROW(WhoKW)-MIN(ROW(WhoKW))+1)))=0,"",INDEX(WhoVal,SUMPRODUCT(MAX((WhoKW&lt;&gt;"")*ISNUMBER(SEARCH(WhoKW,INDEX(FormData,$H743,f_Who)&amp;""))*(ROW(WhoKW)-MIN(ROW(WhoKW))+1))))),""))</f>
        <v/>
      </c>
      <c r="G743" s="14">
        <f>IF($H743="","",IF(COUNTIF(People!$U$5:$U$604,$B743)+COUNTIF(People!$U$5:$U$604,$B743&amp;"")&gt;0,"✓ logged","→ add"))</f>
        <v/>
      </c>
      <c r="H743">
        <f>IFERROR(IF(INDEX(FormData,740,f_Id)&amp;""="","",740),"")</f>
        <v/>
      </c>
      <c r="I743" s="16">
        <f>IF($H743="","",IFERROR(INDEX(FormData,$H743,f_Need)&amp;"",""))</f>
        <v/>
      </c>
    </row>
    <row r="744">
      <c r="A744" s="14" t="n">
        <v>740</v>
      </c>
      <c r="B744" s="14">
        <f>IF($H744="","",INDEX(FormData,$H744,f_Id))</f>
        <v/>
      </c>
      <c r="C744" s="15">
        <f>IF($H744="","",IFERROR(INDEX(FormData,$H744,f_Time),""))</f>
        <v/>
      </c>
      <c r="D744" s="14">
        <f>IF($H744="","",IFERROR(UPPER(LEFT(TRIM(INDEX(FormData,$H744,f_Name)),1)&amp;IFERROR(MID(TRIM(INDEX(FormData,$H744,f_Name)),FIND("^",SUBSTITUTE(TRIM(INDEX(FormData,$H744,f_Name))," ","^",LEN(TRIM(INDEX(FormData,$H744,f_Name)))-LEN(SUBSTITUTE(TRIM(INDEX(FormData,$H744,f_Name))," ",""))))+1,1),"")),""))</f>
        <v/>
      </c>
      <c r="E744" s="16">
        <f>IF($H744="","",IFERROR(INDEX(EvID,MATCH(INDEX(FormData,$H744,f_Event),EvID,0)),IFERROR(INDEX(EvID,MATCH(INDEX(FormData,$H744,f_Event),EvName,0)),IFERROR(INDEX(EvID,MATCH(INT($C744),EvDate,0)),"(no event that day)"))))</f>
        <v/>
      </c>
      <c r="F744" s="16">
        <f>IF($H744="","",IFERROR(IF(SUMPRODUCT(MAX((WhoKW&lt;&gt;"")*ISNUMBER(SEARCH(WhoKW,INDEX(FormData,$H744,f_Who)&amp;""))*(ROW(WhoKW)-MIN(ROW(WhoKW))+1)))=0,"",INDEX(WhoVal,SUMPRODUCT(MAX((WhoKW&lt;&gt;"")*ISNUMBER(SEARCH(WhoKW,INDEX(FormData,$H744,f_Who)&amp;""))*(ROW(WhoKW)-MIN(ROW(WhoKW))+1))))),""))</f>
        <v/>
      </c>
      <c r="G744" s="14">
        <f>IF($H744="","",IF(COUNTIF(People!$U$5:$U$604,$B744)+COUNTIF(People!$U$5:$U$604,$B744&amp;"")&gt;0,"✓ logged","→ add"))</f>
        <v/>
      </c>
      <c r="H744">
        <f>IFERROR(IF(INDEX(FormData,741,f_Id)&amp;""="","",741),"")</f>
        <v/>
      </c>
      <c r="I744" s="16">
        <f>IF($H744="","",IFERROR(INDEX(FormData,$H744,f_Need)&amp;"",""))</f>
        <v/>
      </c>
    </row>
    <row r="745">
      <c r="A745" s="14" t="n">
        <v>741</v>
      </c>
      <c r="B745" s="14">
        <f>IF($H745="","",INDEX(FormData,$H745,f_Id))</f>
        <v/>
      </c>
      <c r="C745" s="15">
        <f>IF($H745="","",IFERROR(INDEX(FormData,$H745,f_Time),""))</f>
        <v/>
      </c>
      <c r="D745" s="14">
        <f>IF($H745="","",IFERROR(UPPER(LEFT(TRIM(INDEX(FormData,$H745,f_Name)),1)&amp;IFERROR(MID(TRIM(INDEX(FormData,$H745,f_Name)),FIND("^",SUBSTITUTE(TRIM(INDEX(FormData,$H745,f_Name))," ","^",LEN(TRIM(INDEX(FormData,$H745,f_Name)))-LEN(SUBSTITUTE(TRIM(INDEX(FormData,$H745,f_Name))," ",""))))+1,1),"")),""))</f>
        <v/>
      </c>
      <c r="E745" s="16">
        <f>IF($H745="","",IFERROR(INDEX(EvID,MATCH(INDEX(FormData,$H745,f_Event),EvID,0)),IFERROR(INDEX(EvID,MATCH(INDEX(FormData,$H745,f_Event),EvName,0)),IFERROR(INDEX(EvID,MATCH(INT($C745),EvDate,0)),"(no event that day)"))))</f>
        <v/>
      </c>
      <c r="F745" s="16">
        <f>IF($H745="","",IFERROR(IF(SUMPRODUCT(MAX((WhoKW&lt;&gt;"")*ISNUMBER(SEARCH(WhoKW,INDEX(FormData,$H745,f_Who)&amp;""))*(ROW(WhoKW)-MIN(ROW(WhoKW))+1)))=0,"",INDEX(WhoVal,SUMPRODUCT(MAX((WhoKW&lt;&gt;"")*ISNUMBER(SEARCH(WhoKW,INDEX(FormData,$H745,f_Who)&amp;""))*(ROW(WhoKW)-MIN(ROW(WhoKW))+1))))),""))</f>
        <v/>
      </c>
      <c r="G745" s="14">
        <f>IF($H745="","",IF(COUNTIF(People!$U$5:$U$604,$B745)+COUNTIF(People!$U$5:$U$604,$B745&amp;"")&gt;0,"✓ logged","→ add"))</f>
        <v/>
      </c>
      <c r="H745">
        <f>IFERROR(IF(INDEX(FormData,742,f_Id)&amp;""="","",742),"")</f>
        <v/>
      </c>
      <c r="I745" s="16">
        <f>IF($H745="","",IFERROR(INDEX(FormData,$H745,f_Need)&amp;"",""))</f>
        <v/>
      </c>
    </row>
    <row r="746">
      <c r="A746" s="14" t="n">
        <v>742</v>
      </c>
      <c r="B746" s="14">
        <f>IF($H746="","",INDEX(FormData,$H746,f_Id))</f>
        <v/>
      </c>
      <c r="C746" s="15">
        <f>IF($H746="","",IFERROR(INDEX(FormData,$H746,f_Time),""))</f>
        <v/>
      </c>
      <c r="D746" s="14">
        <f>IF($H746="","",IFERROR(UPPER(LEFT(TRIM(INDEX(FormData,$H746,f_Name)),1)&amp;IFERROR(MID(TRIM(INDEX(FormData,$H746,f_Name)),FIND("^",SUBSTITUTE(TRIM(INDEX(FormData,$H746,f_Name))," ","^",LEN(TRIM(INDEX(FormData,$H746,f_Name)))-LEN(SUBSTITUTE(TRIM(INDEX(FormData,$H746,f_Name))," ",""))))+1,1),"")),""))</f>
        <v/>
      </c>
      <c r="E746" s="16">
        <f>IF($H746="","",IFERROR(INDEX(EvID,MATCH(INDEX(FormData,$H746,f_Event),EvID,0)),IFERROR(INDEX(EvID,MATCH(INDEX(FormData,$H746,f_Event),EvName,0)),IFERROR(INDEX(EvID,MATCH(INT($C746),EvDate,0)),"(no event that day)"))))</f>
        <v/>
      </c>
      <c r="F746" s="16">
        <f>IF($H746="","",IFERROR(IF(SUMPRODUCT(MAX((WhoKW&lt;&gt;"")*ISNUMBER(SEARCH(WhoKW,INDEX(FormData,$H746,f_Who)&amp;""))*(ROW(WhoKW)-MIN(ROW(WhoKW))+1)))=0,"",INDEX(WhoVal,SUMPRODUCT(MAX((WhoKW&lt;&gt;"")*ISNUMBER(SEARCH(WhoKW,INDEX(FormData,$H746,f_Who)&amp;""))*(ROW(WhoKW)-MIN(ROW(WhoKW))+1))))),""))</f>
        <v/>
      </c>
      <c r="G746" s="14">
        <f>IF($H746="","",IF(COUNTIF(People!$U$5:$U$604,$B746)+COUNTIF(People!$U$5:$U$604,$B746&amp;"")&gt;0,"✓ logged","→ add"))</f>
        <v/>
      </c>
      <c r="H746">
        <f>IFERROR(IF(INDEX(FormData,743,f_Id)&amp;""="","",743),"")</f>
        <v/>
      </c>
      <c r="I746" s="16">
        <f>IF($H746="","",IFERROR(INDEX(FormData,$H746,f_Need)&amp;"",""))</f>
        <v/>
      </c>
    </row>
    <row r="747">
      <c r="A747" s="14" t="n">
        <v>743</v>
      </c>
      <c r="B747" s="14">
        <f>IF($H747="","",INDEX(FormData,$H747,f_Id))</f>
        <v/>
      </c>
      <c r="C747" s="15">
        <f>IF($H747="","",IFERROR(INDEX(FormData,$H747,f_Time),""))</f>
        <v/>
      </c>
      <c r="D747" s="14">
        <f>IF($H747="","",IFERROR(UPPER(LEFT(TRIM(INDEX(FormData,$H747,f_Name)),1)&amp;IFERROR(MID(TRIM(INDEX(FormData,$H747,f_Name)),FIND("^",SUBSTITUTE(TRIM(INDEX(FormData,$H747,f_Name))," ","^",LEN(TRIM(INDEX(FormData,$H747,f_Name)))-LEN(SUBSTITUTE(TRIM(INDEX(FormData,$H747,f_Name))," ",""))))+1,1),"")),""))</f>
        <v/>
      </c>
      <c r="E747" s="16">
        <f>IF($H747="","",IFERROR(INDEX(EvID,MATCH(INDEX(FormData,$H747,f_Event),EvID,0)),IFERROR(INDEX(EvID,MATCH(INDEX(FormData,$H747,f_Event),EvName,0)),IFERROR(INDEX(EvID,MATCH(INT($C747),EvDate,0)),"(no event that day)"))))</f>
        <v/>
      </c>
      <c r="F747" s="16">
        <f>IF($H747="","",IFERROR(IF(SUMPRODUCT(MAX((WhoKW&lt;&gt;"")*ISNUMBER(SEARCH(WhoKW,INDEX(FormData,$H747,f_Who)&amp;""))*(ROW(WhoKW)-MIN(ROW(WhoKW))+1)))=0,"",INDEX(WhoVal,SUMPRODUCT(MAX((WhoKW&lt;&gt;"")*ISNUMBER(SEARCH(WhoKW,INDEX(FormData,$H747,f_Who)&amp;""))*(ROW(WhoKW)-MIN(ROW(WhoKW))+1))))),""))</f>
        <v/>
      </c>
      <c r="G747" s="14">
        <f>IF($H747="","",IF(COUNTIF(People!$U$5:$U$604,$B747)+COUNTIF(People!$U$5:$U$604,$B747&amp;"")&gt;0,"✓ logged","→ add"))</f>
        <v/>
      </c>
      <c r="H747">
        <f>IFERROR(IF(INDEX(FormData,744,f_Id)&amp;""="","",744),"")</f>
        <v/>
      </c>
      <c r="I747" s="16">
        <f>IF($H747="","",IFERROR(INDEX(FormData,$H747,f_Need)&amp;"",""))</f>
        <v/>
      </c>
    </row>
    <row r="748">
      <c r="A748" s="14" t="n">
        <v>744</v>
      </c>
      <c r="B748" s="14">
        <f>IF($H748="","",INDEX(FormData,$H748,f_Id))</f>
        <v/>
      </c>
      <c r="C748" s="15">
        <f>IF($H748="","",IFERROR(INDEX(FormData,$H748,f_Time),""))</f>
        <v/>
      </c>
      <c r="D748" s="14">
        <f>IF($H748="","",IFERROR(UPPER(LEFT(TRIM(INDEX(FormData,$H748,f_Name)),1)&amp;IFERROR(MID(TRIM(INDEX(FormData,$H748,f_Name)),FIND("^",SUBSTITUTE(TRIM(INDEX(FormData,$H748,f_Name))," ","^",LEN(TRIM(INDEX(FormData,$H748,f_Name)))-LEN(SUBSTITUTE(TRIM(INDEX(FormData,$H748,f_Name))," ",""))))+1,1),"")),""))</f>
        <v/>
      </c>
      <c r="E748" s="16">
        <f>IF($H748="","",IFERROR(INDEX(EvID,MATCH(INDEX(FormData,$H748,f_Event),EvID,0)),IFERROR(INDEX(EvID,MATCH(INDEX(FormData,$H748,f_Event),EvName,0)),IFERROR(INDEX(EvID,MATCH(INT($C748),EvDate,0)),"(no event that day)"))))</f>
        <v/>
      </c>
      <c r="F748" s="16">
        <f>IF($H748="","",IFERROR(IF(SUMPRODUCT(MAX((WhoKW&lt;&gt;"")*ISNUMBER(SEARCH(WhoKW,INDEX(FormData,$H748,f_Who)&amp;""))*(ROW(WhoKW)-MIN(ROW(WhoKW))+1)))=0,"",INDEX(WhoVal,SUMPRODUCT(MAX((WhoKW&lt;&gt;"")*ISNUMBER(SEARCH(WhoKW,INDEX(FormData,$H748,f_Who)&amp;""))*(ROW(WhoKW)-MIN(ROW(WhoKW))+1))))),""))</f>
        <v/>
      </c>
      <c r="G748" s="14">
        <f>IF($H748="","",IF(COUNTIF(People!$U$5:$U$604,$B748)+COUNTIF(People!$U$5:$U$604,$B748&amp;"")&gt;0,"✓ logged","→ add"))</f>
        <v/>
      </c>
      <c r="H748">
        <f>IFERROR(IF(INDEX(FormData,745,f_Id)&amp;""="","",745),"")</f>
        <v/>
      </c>
      <c r="I748" s="16">
        <f>IF($H748="","",IFERROR(INDEX(FormData,$H748,f_Need)&amp;"",""))</f>
        <v/>
      </c>
    </row>
    <row r="749">
      <c r="A749" s="14" t="n">
        <v>745</v>
      </c>
      <c r="B749" s="14">
        <f>IF($H749="","",INDEX(FormData,$H749,f_Id))</f>
        <v/>
      </c>
      <c r="C749" s="15">
        <f>IF($H749="","",IFERROR(INDEX(FormData,$H749,f_Time),""))</f>
        <v/>
      </c>
      <c r="D749" s="14">
        <f>IF($H749="","",IFERROR(UPPER(LEFT(TRIM(INDEX(FormData,$H749,f_Name)),1)&amp;IFERROR(MID(TRIM(INDEX(FormData,$H749,f_Name)),FIND("^",SUBSTITUTE(TRIM(INDEX(FormData,$H749,f_Name))," ","^",LEN(TRIM(INDEX(FormData,$H749,f_Name)))-LEN(SUBSTITUTE(TRIM(INDEX(FormData,$H749,f_Name))," ",""))))+1,1),"")),""))</f>
        <v/>
      </c>
      <c r="E749" s="16">
        <f>IF($H749="","",IFERROR(INDEX(EvID,MATCH(INDEX(FormData,$H749,f_Event),EvID,0)),IFERROR(INDEX(EvID,MATCH(INDEX(FormData,$H749,f_Event),EvName,0)),IFERROR(INDEX(EvID,MATCH(INT($C749),EvDate,0)),"(no event that day)"))))</f>
        <v/>
      </c>
      <c r="F749" s="16">
        <f>IF($H749="","",IFERROR(IF(SUMPRODUCT(MAX((WhoKW&lt;&gt;"")*ISNUMBER(SEARCH(WhoKW,INDEX(FormData,$H749,f_Who)&amp;""))*(ROW(WhoKW)-MIN(ROW(WhoKW))+1)))=0,"",INDEX(WhoVal,SUMPRODUCT(MAX((WhoKW&lt;&gt;"")*ISNUMBER(SEARCH(WhoKW,INDEX(FormData,$H749,f_Who)&amp;""))*(ROW(WhoKW)-MIN(ROW(WhoKW))+1))))),""))</f>
        <v/>
      </c>
      <c r="G749" s="14">
        <f>IF($H749="","",IF(COUNTIF(People!$U$5:$U$604,$B749)+COUNTIF(People!$U$5:$U$604,$B749&amp;"")&gt;0,"✓ logged","→ add"))</f>
        <v/>
      </c>
      <c r="H749">
        <f>IFERROR(IF(INDEX(FormData,746,f_Id)&amp;""="","",746),"")</f>
        <v/>
      </c>
      <c r="I749" s="16">
        <f>IF($H749="","",IFERROR(INDEX(FormData,$H749,f_Need)&amp;"",""))</f>
        <v/>
      </c>
    </row>
    <row r="750">
      <c r="A750" s="14" t="n">
        <v>746</v>
      </c>
      <c r="B750" s="14">
        <f>IF($H750="","",INDEX(FormData,$H750,f_Id))</f>
        <v/>
      </c>
      <c r="C750" s="15">
        <f>IF($H750="","",IFERROR(INDEX(FormData,$H750,f_Time),""))</f>
        <v/>
      </c>
      <c r="D750" s="14">
        <f>IF($H750="","",IFERROR(UPPER(LEFT(TRIM(INDEX(FormData,$H750,f_Name)),1)&amp;IFERROR(MID(TRIM(INDEX(FormData,$H750,f_Name)),FIND("^",SUBSTITUTE(TRIM(INDEX(FormData,$H750,f_Name))," ","^",LEN(TRIM(INDEX(FormData,$H750,f_Name)))-LEN(SUBSTITUTE(TRIM(INDEX(FormData,$H750,f_Name))," ",""))))+1,1),"")),""))</f>
        <v/>
      </c>
      <c r="E750" s="16">
        <f>IF($H750="","",IFERROR(INDEX(EvID,MATCH(INDEX(FormData,$H750,f_Event),EvID,0)),IFERROR(INDEX(EvID,MATCH(INDEX(FormData,$H750,f_Event),EvName,0)),IFERROR(INDEX(EvID,MATCH(INT($C750),EvDate,0)),"(no event that day)"))))</f>
        <v/>
      </c>
      <c r="F750" s="16">
        <f>IF($H750="","",IFERROR(IF(SUMPRODUCT(MAX((WhoKW&lt;&gt;"")*ISNUMBER(SEARCH(WhoKW,INDEX(FormData,$H750,f_Who)&amp;""))*(ROW(WhoKW)-MIN(ROW(WhoKW))+1)))=0,"",INDEX(WhoVal,SUMPRODUCT(MAX((WhoKW&lt;&gt;"")*ISNUMBER(SEARCH(WhoKW,INDEX(FormData,$H750,f_Who)&amp;""))*(ROW(WhoKW)-MIN(ROW(WhoKW))+1))))),""))</f>
        <v/>
      </c>
      <c r="G750" s="14">
        <f>IF($H750="","",IF(COUNTIF(People!$U$5:$U$604,$B750)+COUNTIF(People!$U$5:$U$604,$B750&amp;"")&gt;0,"✓ logged","→ add"))</f>
        <v/>
      </c>
      <c r="H750">
        <f>IFERROR(IF(INDEX(FormData,747,f_Id)&amp;""="","",747),"")</f>
        <v/>
      </c>
      <c r="I750" s="16">
        <f>IF($H750="","",IFERROR(INDEX(FormData,$H750,f_Need)&amp;"",""))</f>
        <v/>
      </c>
    </row>
    <row r="751">
      <c r="A751" s="14" t="n">
        <v>747</v>
      </c>
      <c r="B751" s="14">
        <f>IF($H751="","",INDEX(FormData,$H751,f_Id))</f>
        <v/>
      </c>
      <c r="C751" s="15">
        <f>IF($H751="","",IFERROR(INDEX(FormData,$H751,f_Time),""))</f>
        <v/>
      </c>
      <c r="D751" s="14">
        <f>IF($H751="","",IFERROR(UPPER(LEFT(TRIM(INDEX(FormData,$H751,f_Name)),1)&amp;IFERROR(MID(TRIM(INDEX(FormData,$H751,f_Name)),FIND("^",SUBSTITUTE(TRIM(INDEX(FormData,$H751,f_Name))," ","^",LEN(TRIM(INDEX(FormData,$H751,f_Name)))-LEN(SUBSTITUTE(TRIM(INDEX(FormData,$H751,f_Name))," ",""))))+1,1),"")),""))</f>
        <v/>
      </c>
      <c r="E751" s="16">
        <f>IF($H751="","",IFERROR(INDEX(EvID,MATCH(INDEX(FormData,$H751,f_Event),EvID,0)),IFERROR(INDEX(EvID,MATCH(INDEX(FormData,$H751,f_Event),EvName,0)),IFERROR(INDEX(EvID,MATCH(INT($C751),EvDate,0)),"(no event that day)"))))</f>
        <v/>
      </c>
      <c r="F751" s="16">
        <f>IF($H751="","",IFERROR(IF(SUMPRODUCT(MAX((WhoKW&lt;&gt;"")*ISNUMBER(SEARCH(WhoKW,INDEX(FormData,$H751,f_Who)&amp;""))*(ROW(WhoKW)-MIN(ROW(WhoKW))+1)))=0,"",INDEX(WhoVal,SUMPRODUCT(MAX((WhoKW&lt;&gt;"")*ISNUMBER(SEARCH(WhoKW,INDEX(FormData,$H751,f_Who)&amp;""))*(ROW(WhoKW)-MIN(ROW(WhoKW))+1))))),""))</f>
        <v/>
      </c>
      <c r="G751" s="14">
        <f>IF($H751="","",IF(COUNTIF(People!$U$5:$U$604,$B751)+COUNTIF(People!$U$5:$U$604,$B751&amp;"")&gt;0,"✓ logged","→ add"))</f>
        <v/>
      </c>
      <c r="H751">
        <f>IFERROR(IF(INDEX(FormData,748,f_Id)&amp;""="","",748),"")</f>
        <v/>
      </c>
      <c r="I751" s="16">
        <f>IF($H751="","",IFERROR(INDEX(FormData,$H751,f_Need)&amp;"",""))</f>
        <v/>
      </c>
    </row>
    <row r="752">
      <c r="A752" s="14" t="n">
        <v>748</v>
      </c>
      <c r="B752" s="14">
        <f>IF($H752="","",INDEX(FormData,$H752,f_Id))</f>
        <v/>
      </c>
      <c r="C752" s="15">
        <f>IF($H752="","",IFERROR(INDEX(FormData,$H752,f_Time),""))</f>
        <v/>
      </c>
      <c r="D752" s="14">
        <f>IF($H752="","",IFERROR(UPPER(LEFT(TRIM(INDEX(FormData,$H752,f_Name)),1)&amp;IFERROR(MID(TRIM(INDEX(FormData,$H752,f_Name)),FIND("^",SUBSTITUTE(TRIM(INDEX(FormData,$H752,f_Name))," ","^",LEN(TRIM(INDEX(FormData,$H752,f_Name)))-LEN(SUBSTITUTE(TRIM(INDEX(FormData,$H752,f_Name))," ",""))))+1,1),"")),""))</f>
        <v/>
      </c>
      <c r="E752" s="16">
        <f>IF($H752="","",IFERROR(INDEX(EvID,MATCH(INDEX(FormData,$H752,f_Event),EvID,0)),IFERROR(INDEX(EvID,MATCH(INDEX(FormData,$H752,f_Event),EvName,0)),IFERROR(INDEX(EvID,MATCH(INT($C752),EvDate,0)),"(no event that day)"))))</f>
        <v/>
      </c>
      <c r="F752" s="16">
        <f>IF($H752="","",IFERROR(IF(SUMPRODUCT(MAX((WhoKW&lt;&gt;"")*ISNUMBER(SEARCH(WhoKW,INDEX(FormData,$H752,f_Who)&amp;""))*(ROW(WhoKW)-MIN(ROW(WhoKW))+1)))=0,"",INDEX(WhoVal,SUMPRODUCT(MAX((WhoKW&lt;&gt;"")*ISNUMBER(SEARCH(WhoKW,INDEX(FormData,$H752,f_Who)&amp;""))*(ROW(WhoKW)-MIN(ROW(WhoKW))+1))))),""))</f>
        <v/>
      </c>
      <c r="G752" s="14">
        <f>IF($H752="","",IF(COUNTIF(People!$U$5:$U$604,$B752)+COUNTIF(People!$U$5:$U$604,$B752&amp;"")&gt;0,"✓ logged","→ add"))</f>
        <v/>
      </c>
      <c r="H752">
        <f>IFERROR(IF(INDEX(FormData,749,f_Id)&amp;""="","",749),"")</f>
        <v/>
      </c>
      <c r="I752" s="16">
        <f>IF($H752="","",IFERROR(INDEX(FormData,$H752,f_Need)&amp;"",""))</f>
        <v/>
      </c>
    </row>
    <row r="753">
      <c r="A753" s="14" t="n">
        <v>749</v>
      </c>
      <c r="B753" s="14">
        <f>IF($H753="","",INDEX(FormData,$H753,f_Id))</f>
        <v/>
      </c>
      <c r="C753" s="15">
        <f>IF($H753="","",IFERROR(INDEX(FormData,$H753,f_Time),""))</f>
        <v/>
      </c>
      <c r="D753" s="14">
        <f>IF($H753="","",IFERROR(UPPER(LEFT(TRIM(INDEX(FormData,$H753,f_Name)),1)&amp;IFERROR(MID(TRIM(INDEX(FormData,$H753,f_Name)),FIND("^",SUBSTITUTE(TRIM(INDEX(FormData,$H753,f_Name))," ","^",LEN(TRIM(INDEX(FormData,$H753,f_Name)))-LEN(SUBSTITUTE(TRIM(INDEX(FormData,$H753,f_Name))," ",""))))+1,1),"")),""))</f>
        <v/>
      </c>
      <c r="E753" s="16">
        <f>IF($H753="","",IFERROR(INDEX(EvID,MATCH(INDEX(FormData,$H753,f_Event),EvID,0)),IFERROR(INDEX(EvID,MATCH(INDEX(FormData,$H753,f_Event),EvName,0)),IFERROR(INDEX(EvID,MATCH(INT($C753),EvDate,0)),"(no event that day)"))))</f>
        <v/>
      </c>
      <c r="F753" s="16">
        <f>IF($H753="","",IFERROR(IF(SUMPRODUCT(MAX((WhoKW&lt;&gt;"")*ISNUMBER(SEARCH(WhoKW,INDEX(FormData,$H753,f_Who)&amp;""))*(ROW(WhoKW)-MIN(ROW(WhoKW))+1)))=0,"",INDEX(WhoVal,SUMPRODUCT(MAX((WhoKW&lt;&gt;"")*ISNUMBER(SEARCH(WhoKW,INDEX(FormData,$H753,f_Who)&amp;""))*(ROW(WhoKW)-MIN(ROW(WhoKW))+1))))),""))</f>
        <v/>
      </c>
      <c r="G753" s="14">
        <f>IF($H753="","",IF(COUNTIF(People!$U$5:$U$604,$B753)+COUNTIF(People!$U$5:$U$604,$B753&amp;"")&gt;0,"✓ logged","→ add"))</f>
        <v/>
      </c>
      <c r="H753">
        <f>IFERROR(IF(INDEX(FormData,750,f_Id)&amp;""="","",750),"")</f>
        <v/>
      </c>
      <c r="I753" s="16">
        <f>IF($H753="","",IFERROR(INDEX(FormData,$H753,f_Need)&amp;"",""))</f>
        <v/>
      </c>
    </row>
    <row r="754">
      <c r="A754" s="14" t="n">
        <v>750</v>
      </c>
      <c r="B754" s="14">
        <f>IF($H754="","",INDEX(FormData,$H754,f_Id))</f>
        <v/>
      </c>
      <c r="C754" s="15">
        <f>IF($H754="","",IFERROR(INDEX(FormData,$H754,f_Time),""))</f>
        <v/>
      </c>
      <c r="D754" s="14">
        <f>IF($H754="","",IFERROR(UPPER(LEFT(TRIM(INDEX(FormData,$H754,f_Name)),1)&amp;IFERROR(MID(TRIM(INDEX(FormData,$H754,f_Name)),FIND("^",SUBSTITUTE(TRIM(INDEX(FormData,$H754,f_Name))," ","^",LEN(TRIM(INDEX(FormData,$H754,f_Name)))-LEN(SUBSTITUTE(TRIM(INDEX(FormData,$H754,f_Name))," ",""))))+1,1),"")),""))</f>
        <v/>
      </c>
      <c r="E754" s="16">
        <f>IF($H754="","",IFERROR(INDEX(EvID,MATCH(INDEX(FormData,$H754,f_Event),EvID,0)),IFERROR(INDEX(EvID,MATCH(INDEX(FormData,$H754,f_Event),EvName,0)),IFERROR(INDEX(EvID,MATCH(INT($C754),EvDate,0)),"(no event that day)"))))</f>
        <v/>
      </c>
      <c r="F754" s="16">
        <f>IF($H754="","",IFERROR(IF(SUMPRODUCT(MAX((WhoKW&lt;&gt;"")*ISNUMBER(SEARCH(WhoKW,INDEX(FormData,$H754,f_Who)&amp;""))*(ROW(WhoKW)-MIN(ROW(WhoKW))+1)))=0,"",INDEX(WhoVal,SUMPRODUCT(MAX((WhoKW&lt;&gt;"")*ISNUMBER(SEARCH(WhoKW,INDEX(FormData,$H754,f_Who)&amp;""))*(ROW(WhoKW)-MIN(ROW(WhoKW))+1))))),""))</f>
        <v/>
      </c>
      <c r="G754" s="14">
        <f>IF($H754="","",IF(COUNTIF(People!$U$5:$U$604,$B754)+COUNTIF(People!$U$5:$U$604,$B754&amp;"")&gt;0,"✓ logged","→ add"))</f>
        <v/>
      </c>
      <c r="H754">
        <f>IFERROR(IF(INDEX(FormData,751,f_Id)&amp;""="","",751),"")</f>
        <v/>
      </c>
      <c r="I754" s="16">
        <f>IF($H754="","",IFERROR(INDEX(FormData,$H754,f_Need)&amp;"",""))</f>
        <v/>
      </c>
    </row>
    <row r="755">
      <c r="A755" s="14" t="n">
        <v>751</v>
      </c>
      <c r="B755" s="14">
        <f>IF($H755="","",INDEX(FormData,$H755,f_Id))</f>
        <v/>
      </c>
      <c r="C755" s="15">
        <f>IF($H755="","",IFERROR(INDEX(FormData,$H755,f_Time),""))</f>
        <v/>
      </c>
      <c r="D755" s="14">
        <f>IF($H755="","",IFERROR(UPPER(LEFT(TRIM(INDEX(FormData,$H755,f_Name)),1)&amp;IFERROR(MID(TRIM(INDEX(FormData,$H755,f_Name)),FIND("^",SUBSTITUTE(TRIM(INDEX(FormData,$H755,f_Name))," ","^",LEN(TRIM(INDEX(FormData,$H755,f_Name)))-LEN(SUBSTITUTE(TRIM(INDEX(FormData,$H755,f_Name))," ",""))))+1,1),"")),""))</f>
        <v/>
      </c>
      <c r="E755" s="16">
        <f>IF($H755="","",IFERROR(INDEX(EvID,MATCH(INDEX(FormData,$H755,f_Event),EvID,0)),IFERROR(INDEX(EvID,MATCH(INDEX(FormData,$H755,f_Event),EvName,0)),IFERROR(INDEX(EvID,MATCH(INT($C755),EvDate,0)),"(no event that day)"))))</f>
        <v/>
      </c>
      <c r="F755" s="16">
        <f>IF($H755="","",IFERROR(IF(SUMPRODUCT(MAX((WhoKW&lt;&gt;"")*ISNUMBER(SEARCH(WhoKW,INDEX(FormData,$H755,f_Who)&amp;""))*(ROW(WhoKW)-MIN(ROW(WhoKW))+1)))=0,"",INDEX(WhoVal,SUMPRODUCT(MAX((WhoKW&lt;&gt;"")*ISNUMBER(SEARCH(WhoKW,INDEX(FormData,$H755,f_Who)&amp;""))*(ROW(WhoKW)-MIN(ROW(WhoKW))+1))))),""))</f>
        <v/>
      </c>
      <c r="G755" s="14">
        <f>IF($H755="","",IF(COUNTIF(People!$U$5:$U$604,$B755)+COUNTIF(People!$U$5:$U$604,$B755&amp;"")&gt;0,"✓ logged","→ add"))</f>
        <v/>
      </c>
      <c r="H755">
        <f>IFERROR(IF(INDEX(FormData,752,f_Id)&amp;""="","",752),"")</f>
        <v/>
      </c>
      <c r="I755" s="16">
        <f>IF($H755="","",IFERROR(INDEX(FormData,$H755,f_Need)&amp;"",""))</f>
        <v/>
      </c>
    </row>
    <row r="756">
      <c r="A756" s="14" t="n">
        <v>752</v>
      </c>
      <c r="B756" s="14">
        <f>IF($H756="","",INDEX(FormData,$H756,f_Id))</f>
        <v/>
      </c>
      <c r="C756" s="15">
        <f>IF($H756="","",IFERROR(INDEX(FormData,$H756,f_Time),""))</f>
        <v/>
      </c>
      <c r="D756" s="14">
        <f>IF($H756="","",IFERROR(UPPER(LEFT(TRIM(INDEX(FormData,$H756,f_Name)),1)&amp;IFERROR(MID(TRIM(INDEX(FormData,$H756,f_Name)),FIND("^",SUBSTITUTE(TRIM(INDEX(FormData,$H756,f_Name))," ","^",LEN(TRIM(INDEX(FormData,$H756,f_Name)))-LEN(SUBSTITUTE(TRIM(INDEX(FormData,$H756,f_Name))," ",""))))+1,1),"")),""))</f>
        <v/>
      </c>
      <c r="E756" s="16">
        <f>IF($H756="","",IFERROR(INDEX(EvID,MATCH(INDEX(FormData,$H756,f_Event),EvID,0)),IFERROR(INDEX(EvID,MATCH(INDEX(FormData,$H756,f_Event),EvName,0)),IFERROR(INDEX(EvID,MATCH(INT($C756),EvDate,0)),"(no event that day)"))))</f>
        <v/>
      </c>
      <c r="F756" s="16">
        <f>IF($H756="","",IFERROR(IF(SUMPRODUCT(MAX((WhoKW&lt;&gt;"")*ISNUMBER(SEARCH(WhoKW,INDEX(FormData,$H756,f_Who)&amp;""))*(ROW(WhoKW)-MIN(ROW(WhoKW))+1)))=0,"",INDEX(WhoVal,SUMPRODUCT(MAX((WhoKW&lt;&gt;"")*ISNUMBER(SEARCH(WhoKW,INDEX(FormData,$H756,f_Who)&amp;""))*(ROW(WhoKW)-MIN(ROW(WhoKW))+1))))),""))</f>
        <v/>
      </c>
      <c r="G756" s="14">
        <f>IF($H756="","",IF(COUNTIF(People!$U$5:$U$604,$B756)+COUNTIF(People!$U$5:$U$604,$B756&amp;"")&gt;0,"✓ logged","→ add"))</f>
        <v/>
      </c>
      <c r="H756">
        <f>IFERROR(IF(INDEX(FormData,753,f_Id)&amp;""="","",753),"")</f>
        <v/>
      </c>
      <c r="I756" s="16">
        <f>IF($H756="","",IFERROR(INDEX(FormData,$H756,f_Need)&amp;"",""))</f>
        <v/>
      </c>
    </row>
    <row r="757">
      <c r="A757" s="14" t="n">
        <v>753</v>
      </c>
      <c r="B757" s="14">
        <f>IF($H757="","",INDEX(FormData,$H757,f_Id))</f>
        <v/>
      </c>
      <c r="C757" s="15">
        <f>IF($H757="","",IFERROR(INDEX(FormData,$H757,f_Time),""))</f>
        <v/>
      </c>
      <c r="D757" s="14">
        <f>IF($H757="","",IFERROR(UPPER(LEFT(TRIM(INDEX(FormData,$H757,f_Name)),1)&amp;IFERROR(MID(TRIM(INDEX(FormData,$H757,f_Name)),FIND("^",SUBSTITUTE(TRIM(INDEX(FormData,$H757,f_Name))," ","^",LEN(TRIM(INDEX(FormData,$H757,f_Name)))-LEN(SUBSTITUTE(TRIM(INDEX(FormData,$H757,f_Name))," ",""))))+1,1),"")),""))</f>
        <v/>
      </c>
      <c r="E757" s="16">
        <f>IF($H757="","",IFERROR(INDEX(EvID,MATCH(INDEX(FormData,$H757,f_Event),EvID,0)),IFERROR(INDEX(EvID,MATCH(INDEX(FormData,$H757,f_Event),EvName,0)),IFERROR(INDEX(EvID,MATCH(INT($C757),EvDate,0)),"(no event that day)"))))</f>
        <v/>
      </c>
      <c r="F757" s="16">
        <f>IF($H757="","",IFERROR(IF(SUMPRODUCT(MAX((WhoKW&lt;&gt;"")*ISNUMBER(SEARCH(WhoKW,INDEX(FormData,$H757,f_Who)&amp;""))*(ROW(WhoKW)-MIN(ROW(WhoKW))+1)))=0,"",INDEX(WhoVal,SUMPRODUCT(MAX((WhoKW&lt;&gt;"")*ISNUMBER(SEARCH(WhoKW,INDEX(FormData,$H757,f_Who)&amp;""))*(ROW(WhoKW)-MIN(ROW(WhoKW))+1))))),""))</f>
        <v/>
      </c>
      <c r="G757" s="14">
        <f>IF($H757="","",IF(COUNTIF(People!$U$5:$U$604,$B757)+COUNTIF(People!$U$5:$U$604,$B757&amp;"")&gt;0,"✓ logged","→ add"))</f>
        <v/>
      </c>
      <c r="H757">
        <f>IFERROR(IF(INDEX(FormData,754,f_Id)&amp;""="","",754),"")</f>
        <v/>
      </c>
      <c r="I757" s="16">
        <f>IF($H757="","",IFERROR(INDEX(FormData,$H757,f_Need)&amp;"",""))</f>
        <v/>
      </c>
    </row>
    <row r="758">
      <c r="A758" s="14" t="n">
        <v>754</v>
      </c>
      <c r="B758" s="14">
        <f>IF($H758="","",INDEX(FormData,$H758,f_Id))</f>
        <v/>
      </c>
      <c r="C758" s="15">
        <f>IF($H758="","",IFERROR(INDEX(FormData,$H758,f_Time),""))</f>
        <v/>
      </c>
      <c r="D758" s="14">
        <f>IF($H758="","",IFERROR(UPPER(LEFT(TRIM(INDEX(FormData,$H758,f_Name)),1)&amp;IFERROR(MID(TRIM(INDEX(FormData,$H758,f_Name)),FIND("^",SUBSTITUTE(TRIM(INDEX(FormData,$H758,f_Name))," ","^",LEN(TRIM(INDEX(FormData,$H758,f_Name)))-LEN(SUBSTITUTE(TRIM(INDEX(FormData,$H758,f_Name))," ",""))))+1,1),"")),""))</f>
        <v/>
      </c>
      <c r="E758" s="16">
        <f>IF($H758="","",IFERROR(INDEX(EvID,MATCH(INDEX(FormData,$H758,f_Event),EvID,0)),IFERROR(INDEX(EvID,MATCH(INDEX(FormData,$H758,f_Event),EvName,0)),IFERROR(INDEX(EvID,MATCH(INT($C758),EvDate,0)),"(no event that day)"))))</f>
        <v/>
      </c>
      <c r="F758" s="16">
        <f>IF($H758="","",IFERROR(IF(SUMPRODUCT(MAX((WhoKW&lt;&gt;"")*ISNUMBER(SEARCH(WhoKW,INDEX(FormData,$H758,f_Who)&amp;""))*(ROW(WhoKW)-MIN(ROW(WhoKW))+1)))=0,"",INDEX(WhoVal,SUMPRODUCT(MAX((WhoKW&lt;&gt;"")*ISNUMBER(SEARCH(WhoKW,INDEX(FormData,$H758,f_Who)&amp;""))*(ROW(WhoKW)-MIN(ROW(WhoKW))+1))))),""))</f>
        <v/>
      </c>
      <c r="G758" s="14">
        <f>IF($H758="","",IF(COUNTIF(People!$U$5:$U$604,$B758)+COUNTIF(People!$U$5:$U$604,$B758&amp;"")&gt;0,"✓ logged","→ add"))</f>
        <v/>
      </c>
      <c r="H758">
        <f>IFERROR(IF(INDEX(FormData,755,f_Id)&amp;""="","",755),"")</f>
        <v/>
      </c>
      <c r="I758" s="16">
        <f>IF($H758="","",IFERROR(INDEX(FormData,$H758,f_Need)&amp;"",""))</f>
        <v/>
      </c>
    </row>
    <row r="759">
      <c r="A759" s="14" t="n">
        <v>755</v>
      </c>
      <c r="B759" s="14">
        <f>IF($H759="","",INDEX(FormData,$H759,f_Id))</f>
        <v/>
      </c>
      <c r="C759" s="15">
        <f>IF($H759="","",IFERROR(INDEX(FormData,$H759,f_Time),""))</f>
        <v/>
      </c>
      <c r="D759" s="14">
        <f>IF($H759="","",IFERROR(UPPER(LEFT(TRIM(INDEX(FormData,$H759,f_Name)),1)&amp;IFERROR(MID(TRIM(INDEX(FormData,$H759,f_Name)),FIND("^",SUBSTITUTE(TRIM(INDEX(FormData,$H759,f_Name))," ","^",LEN(TRIM(INDEX(FormData,$H759,f_Name)))-LEN(SUBSTITUTE(TRIM(INDEX(FormData,$H759,f_Name))," ",""))))+1,1),"")),""))</f>
        <v/>
      </c>
      <c r="E759" s="16">
        <f>IF($H759="","",IFERROR(INDEX(EvID,MATCH(INDEX(FormData,$H759,f_Event),EvID,0)),IFERROR(INDEX(EvID,MATCH(INDEX(FormData,$H759,f_Event),EvName,0)),IFERROR(INDEX(EvID,MATCH(INT($C759),EvDate,0)),"(no event that day)"))))</f>
        <v/>
      </c>
      <c r="F759" s="16">
        <f>IF($H759="","",IFERROR(IF(SUMPRODUCT(MAX((WhoKW&lt;&gt;"")*ISNUMBER(SEARCH(WhoKW,INDEX(FormData,$H759,f_Who)&amp;""))*(ROW(WhoKW)-MIN(ROW(WhoKW))+1)))=0,"",INDEX(WhoVal,SUMPRODUCT(MAX((WhoKW&lt;&gt;"")*ISNUMBER(SEARCH(WhoKW,INDEX(FormData,$H759,f_Who)&amp;""))*(ROW(WhoKW)-MIN(ROW(WhoKW))+1))))),""))</f>
        <v/>
      </c>
      <c r="G759" s="14">
        <f>IF($H759="","",IF(COUNTIF(People!$U$5:$U$604,$B759)+COUNTIF(People!$U$5:$U$604,$B759&amp;"")&gt;0,"✓ logged","→ add"))</f>
        <v/>
      </c>
      <c r="H759">
        <f>IFERROR(IF(INDEX(FormData,756,f_Id)&amp;""="","",756),"")</f>
        <v/>
      </c>
      <c r="I759" s="16">
        <f>IF($H759="","",IFERROR(INDEX(FormData,$H759,f_Need)&amp;"",""))</f>
        <v/>
      </c>
    </row>
    <row r="760">
      <c r="A760" s="14" t="n">
        <v>756</v>
      </c>
      <c r="B760" s="14">
        <f>IF($H760="","",INDEX(FormData,$H760,f_Id))</f>
        <v/>
      </c>
      <c r="C760" s="15">
        <f>IF($H760="","",IFERROR(INDEX(FormData,$H760,f_Time),""))</f>
        <v/>
      </c>
      <c r="D760" s="14">
        <f>IF($H760="","",IFERROR(UPPER(LEFT(TRIM(INDEX(FormData,$H760,f_Name)),1)&amp;IFERROR(MID(TRIM(INDEX(FormData,$H760,f_Name)),FIND("^",SUBSTITUTE(TRIM(INDEX(FormData,$H760,f_Name))," ","^",LEN(TRIM(INDEX(FormData,$H760,f_Name)))-LEN(SUBSTITUTE(TRIM(INDEX(FormData,$H760,f_Name))," ",""))))+1,1),"")),""))</f>
        <v/>
      </c>
      <c r="E760" s="16">
        <f>IF($H760="","",IFERROR(INDEX(EvID,MATCH(INDEX(FormData,$H760,f_Event),EvID,0)),IFERROR(INDEX(EvID,MATCH(INDEX(FormData,$H760,f_Event),EvName,0)),IFERROR(INDEX(EvID,MATCH(INT($C760),EvDate,0)),"(no event that day)"))))</f>
        <v/>
      </c>
      <c r="F760" s="16">
        <f>IF($H760="","",IFERROR(IF(SUMPRODUCT(MAX((WhoKW&lt;&gt;"")*ISNUMBER(SEARCH(WhoKW,INDEX(FormData,$H760,f_Who)&amp;""))*(ROW(WhoKW)-MIN(ROW(WhoKW))+1)))=0,"",INDEX(WhoVal,SUMPRODUCT(MAX((WhoKW&lt;&gt;"")*ISNUMBER(SEARCH(WhoKW,INDEX(FormData,$H760,f_Who)&amp;""))*(ROW(WhoKW)-MIN(ROW(WhoKW))+1))))),""))</f>
        <v/>
      </c>
      <c r="G760" s="14">
        <f>IF($H760="","",IF(COUNTIF(People!$U$5:$U$604,$B760)+COUNTIF(People!$U$5:$U$604,$B760&amp;"")&gt;0,"✓ logged","→ add"))</f>
        <v/>
      </c>
      <c r="H760">
        <f>IFERROR(IF(INDEX(FormData,757,f_Id)&amp;""="","",757),"")</f>
        <v/>
      </c>
      <c r="I760" s="16">
        <f>IF($H760="","",IFERROR(INDEX(FormData,$H760,f_Need)&amp;"",""))</f>
        <v/>
      </c>
    </row>
    <row r="761">
      <c r="A761" s="14" t="n">
        <v>757</v>
      </c>
      <c r="B761" s="14">
        <f>IF($H761="","",INDEX(FormData,$H761,f_Id))</f>
        <v/>
      </c>
      <c r="C761" s="15">
        <f>IF($H761="","",IFERROR(INDEX(FormData,$H761,f_Time),""))</f>
        <v/>
      </c>
      <c r="D761" s="14">
        <f>IF($H761="","",IFERROR(UPPER(LEFT(TRIM(INDEX(FormData,$H761,f_Name)),1)&amp;IFERROR(MID(TRIM(INDEX(FormData,$H761,f_Name)),FIND("^",SUBSTITUTE(TRIM(INDEX(FormData,$H761,f_Name))," ","^",LEN(TRIM(INDEX(FormData,$H761,f_Name)))-LEN(SUBSTITUTE(TRIM(INDEX(FormData,$H761,f_Name))," ",""))))+1,1),"")),""))</f>
        <v/>
      </c>
      <c r="E761" s="16">
        <f>IF($H761="","",IFERROR(INDEX(EvID,MATCH(INDEX(FormData,$H761,f_Event),EvID,0)),IFERROR(INDEX(EvID,MATCH(INDEX(FormData,$H761,f_Event),EvName,0)),IFERROR(INDEX(EvID,MATCH(INT($C761),EvDate,0)),"(no event that day)"))))</f>
        <v/>
      </c>
      <c r="F761" s="16">
        <f>IF($H761="","",IFERROR(IF(SUMPRODUCT(MAX((WhoKW&lt;&gt;"")*ISNUMBER(SEARCH(WhoKW,INDEX(FormData,$H761,f_Who)&amp;""))*(ROW(WhoKW)-MIN(ROW(WhoKW))+1)))=0,"",INDEX(WhoVal,SUMPRODUCT(MAX((WhoKW&lt;&gt;"")*ISNUMBER(SEARCH(WhoKW,INDEX(FormData,$H761,f_Who)&amp;""))*(ROW(WhoKW)-MIN(ROW(WhoKW))+1))))),""))</f>
        <v/>
      </c>
      <c r="G761" s="14">
        <f>IF($H761="","",IF(COUNTIF(People!$U$5:$U$604,$B761)+COUNTIF(People!$U$5:$U$604,$B761&amp;"")&gt;0,"✓ logged","→ add"))</f>
        <v/>
      </c>
      <c r="H761">
        <f>IFERROR(IF(INDEX(FormData,758,f_Id)&amp;""="","",758),"")</f>
        <v/>
      </c>
      <c r="I761" s="16">
        <f>IF($H761="","",IFERROR(INDEX(FormData,$H761,f_Need)&amp;"",""))</f>
        <v/>
      </c>
    </row>
    <row r="762">
      <c r="A762" s="14" t="n">
        <v>758</v>
      </c>
      <c r="B762" s="14">
        <f>IF($H762="","",INDEX(FormData,$H762,f_Id))</f>
        <v/>
      </c>
      <c r="C762" s="15">
        <f>IF($H762="","",IFERROR(INDEX(FormData,$H762,f_Time),""))</f>
        <v/>
      </c>
      <c r="D762" s="14">
        <f>IF($H762="","",IFERROR(UPPER(LEFT(TRIM(INDEX(FormData,$H762,f_Name)),1)&amp;IFERROR(MID(TRIM(INDEX(FormData,$H762,f_Name)),FIND("^",SUBSTITUTE(TRIM(INDEX(FormData,$H762,f_Name))," ","^",LEN(TRIM(INDEX(FormData,$H762,f_Name)))-LEN(SUBSTITUTE(TRIM(INDEX(FormData,$H762,f_Name))," ",""))))+1,1),"")),""))</f>
        <v/>
      </c>
      <c r="E762" s="16">
        <f>IF($H762="","",IFERROR(INDEX(EvID,MATCH(INDEX(FormData,$H762,f_Event),EvID,0)),IFERROR(INDEX(EvID,MATCH(INDEX(FormData,$H762,f_Event),EvName,0)),IFERROR(INDEX(EvID,MATCH(INT($C762),EvDate,0)),"(no event that day)"))))</f>
        <v/>
      </c>
      <c r="F762" s="16">
        <f>IF($H762="","",IFERROR(IF(SUMPRODUCT(MAX((WhoKW&lt;&gt;"")*ISNUMBER(SEARCH(WhoKW,INDEX(FormData,$H762,f_Who)&amp;""))*(ROW(WhoKW)-MIN(ROW(WhoKW))+1)))=0,"",INDEX(WhoVal,SUMPRODUCT(MAX((WhoKW&lt;&gt;"")*ISNUMBER(SEARCH(WhoKW,INDEX(FormData,$H762,f_Who)&amp;""))*(ROW(WhoKW)-MIN(ROW(WhoKW))+1))))),""))</f>
        <v/>
      </c>
      <c r="G762" s="14">
        <f>IF($H762="","",IF(COUNTIF(People!$U$5:$U$604,$B762)+COUNTIF(People!$U$5:$U$604,$B762&amp;"")&gt;0,"✓ logged","→ add"))</f>
        <v/>
      </c>
      <c r="H762">
        <f>IFERROR(IF(INDEX(FormData,759,f_Id)&amp;""="","",759),"")</f>
        <v/>
      </c>
      <c r="I762" s="16">
        <f>IF($H762="","",IFERROR(INDEX(FormData,$H762,f_Need)&amp;"",""))</f>
        <v/>
      </c>
    </row>
    <row r="763">
      <c r="A763" s="14" t="n">
        <v>759</v>
      </c>
      <c r="B763" s="14">
        <f>IF($H763="","",INDEX(FormData,$H763,f_Id))</f>
        <v/>
      </c>
      <c r="C763" s="15">
        <f>IF($H763="","",IFERROR(INDEX(FormData,$H763,f_Time),""))</f>
        <v/>
      </c>
      <c r="D763" s="14">
        <f>IF($H763="","",IFERROR(UPPER(LEFT(TRIM(INDEX(FormData,$H763,f_Name)),1)&amp;IFERROR(MID(TRIM(INDEX(FormData,$H763,f_Name)),FIND("^",SUBSTITUTE(TRIM(INDEX(FormData,$H763,f_Name))," ","^",LEN(TRIM(INDEX(FormData,$H763,f_Name)))-LEN(SUBSTITUTE(TRIM(INDEX(FormData,$H763,f_Name))," ",""))))+1,1),"")),""))</f>
        <v/>
      </c>
      <c r="E763" s="16">
        <f>IF($H763="","",IFERROR(INDEX(EvID,MATCH(INDEX(FormData,$H763,f_Event),EvID,0)),IFERROR(INDEX(EvID,MATCH(INDEX(FormData,$H763,f_Event),EvName,0)),IFERROR(INDEX(EvID,MATCH(INT($C763),EvDate,0)),"(no event that day)"))))</f>
        <v/>
      </c>
      <c r="F763" s="16">
        <f>IF($H763="","",IFERROR(IF(SUMPRODUCT(MAX((WhoKW&lt;&gt;"")*ISNUMBER(SEARCH(WhoKW,INDEX(FormData,$H763,f_Who)&amp;""))*(ROW(WhoKW)-MIN(ROW(WhoKW))+1)))=0,"",INDEX(WhoVal,SUMPRODUCT(MAX((WhoKW&lt;&gt;"")*ISNUMBER(SEARCH(WhoKW,INDEX(FormData,$H763,f_Who)&amp;""))*(ROW(WhoKW)-MIN(ROW(WhoKW))+1))))),""))</f>
        <v/>
      </c>
      <c r="G763" s="14">
        <f>IF($H763="","",IF(COUNTIF(People!$U$5:$U$604,$B763)+COUNTIF(People!$U$5:$U$604,$B763&amp;"")&gt;0,"✓ logged","→ add"))</f>
        <v/>
      </c>
      <c r="H763">
        <f>IFERROR(IF(INDEX(FormData,760,f_Id)&amp;""="","",760),"")</f>
        <v/>
      </c>
      <c r="I763" s="16">
        <f>IF($H763="","",IFERROR(INDEX(FormData,$H763,f_Need)&amp;"",""))</f>
        <v/>
      </c>
    </row>
    <row r="764">
      <c r="A764" s="14" t="n">
        <v>760</v>
      </c>
      <c r="B764" s="14">
        <f>IF($H764="","",INDEX(FormData,$H764,f_Id))</f>
        <v/>
      </c>
      <c r="C764" s="15">
        <f>IF($H764="","",IFERROR(INDEX(FormData,$H764,f_Time),""))</f>
        <v/>
      </c>
      <c r="D764" s="14">
        <f>IF($H764="","",IFERROR(UPPER(LEFT(TRIM(INDEX(FormData,$H764,f_Name)),1)&amp;IFERROR(MID(TRIM(INDEX(FormData,$H764,f_Name)),FIND("^",SUBSTITUTE(TRIM(INDEX(FormData,$H764,f_Name))," ","^",LEN(TRIM(INDEX(FormData,$H764,f_Name)))-LEN(SUBSTITUTE(TRIM(INDEX(FormData,$H764,f_Name))," ",""))))+1,1),"")),""))</f>
        <v/>
      </c>
      <c r="E764" s="16">
        <f>IF($H764="","",IFERROR(INDEX(EvID,MATCH(INDEX(FormData,$H764,f_Event),EvID,0)),IFERROR(INDEX(EvID,MATCH(INDEX(FormData,$H764,f_Event),EvName,0)),IFERROR(INDEX(EvID,MATCH(INT($C764),EvDate,0)),"(no event that day)"))))</f>
        <v/>
      </c>
      <c r="F764" s="16">
        <f>IF($H764="","",IFERROR(IF(SUMPRODUCT(MAX((WhoKW&lt;&gt;"")*ISNUMBER(SEARCH(WhoKW,INDEX(FormData,$H764,f_Who)&amp;""))*(ROW(WhoKW)-MIN(ROW(WhoKW))+1)))=0,"",INDEX(WhoVal,SUMPRODUCT(MAX((WhoKW&lt;&gt;"")*ISNUMBER(SEARCH(WhoKW,INDEX(FormData,$H764,f_Who)&amp;""))*(ROW(WhoKW)-MIN(ROW(WhoKW))+1))))),""))</f>
        <v/>
      </c>
      <c r="G764" s="14">
        <f>IF($H764="","",IF(COUNTIF(People!$U$5:$U$604,$B764)+COUNTIF(People!$U$5:$U$604,$B764&amp;"")&gt;0,"✓ logged","→ add"))</f>
        <v/>
      </c>
      <c r="H764">
        <f>IFERROR(IF(INDEX(FormData,761,f_Id)&amp;""="","",761),"")</f>
        <v/>
      </c>
      <c r="I764" s="16">
        <f>IF($H764="","",IFERROR(INDEX(FormData,$H764,f_Need)&amp;"",""))</f>
        <v/>
      </c>
    </row>
    <row r="765">
      <c r="A765" s="14" t="n">
        <v>761</v>
      </c>
      <c r="B765" s="14">
        <f>IF($H765="","",INDEX(FormData,$H765,f_Id))</f>
        <v/>
      </c>
      <c r="C765" s="15">
        <f>IF($H765="","",IFERROR(INDEX(FormData,$H765,f_Time),""))</f>
        <v/>
      </c>
      <c r="D765" s="14">
        <f>IF($H765="","",IFERROR(UPPER(LEFT(TRIM(INDEX(FormData,$H765,f_Name)),1)&amp;IFERROR(MID(TRIM(INDEX(FormData,$H765,f_Name)),FIND("^",SUBSTITUTE(TRIM(INDEX(FormData,$H765,f_Name))," ","^",LEN(TRIM(INDEX(FormData,$H765,f_Name)))-LEN(SUBSTITUTE(TRIM(INDEX(FormData,$H765,f_Name))," ",""))))+1,1),"")),""))</f>
        <v/>
      </c>
      <c r="E765" s="16">
        <f>IF($H765="","",IFERROR(INDEX(EvID,MATCH(INDEX(FormData,$H765,f_Event),EvID,0)),IFERROR(INDEX(EvID,MATCH(INDEX(FormData,$H765,f_Event),EvName,0)),IFERROR(INDEX(EvID,MATCH(INT($C765),EvDate,0)),"(no event that day)"))))</f>
        <v/>
      </c>
      <c r="F765" s="16">
        <f>IF($H765="","",IFERROR(IF(SUMPRODUCT(MAX((WhoKW&lt;&gt;"")*ISNUMBER(SEARCH(WhoKW,INDEX(FormData,$H765,f_Who)&amp;""))*(ROW(WhoKW)-MIN(ROW(WhoKW))+1)))=0,"",INDEX(WhoVal,SUMPRODUCT(MAX((WhoKW&lt;&gt;"")*ISNUMBER(SEARCH(WhoKW,INDEX(FormData,$H765,f_Who)&amp;""))*(ROW(WhoKW)-MIN(ROW(WhoKW))+1))))),""))</f>
        <v/>
      </c>
      <c r="G765" s="14">
        <f>IF($H765="","",IF(COUNTIF(People!$U$5:$U$604,$B765)+COUNTIF(People!$U$5:$U$604,$B765&amp;"")&gt;0,"✓ logged","→ add"))</f>
        <v/>
      </c>
      <c r="H765">
        <f>IFERROR(IF(INDEX(FormData,762,f_Id)&amp;""="","",762),"")</f>
        <v/>
      </c>
      <c r="I765" s="16">
        <f>IF($H765="","",IFERROR(INDEX(FormData,$H765,f_Need)&amp;"",""))</f>
        <v/>
      </c>
    </row>
    <row r="766">
      <c r="A766" s="14" t="n">
        <v>762</v>
      </c>
      <c r="B766" s="14">
        <f>IF($H766="","",INDEX(FormData,$H766,f_Id))</f>
        <v/>
      </c>
      <c r="C766" s="15">
        <f>IF($H766="","",IFERROR(INDEX(FormData,$H766,f_Time),""))</f>
        <v/>
      </c>
      <c r="D766" s="14">
        <f>IF($H766="","",IFERROR(UPPER(LEFT(TRIM(INDEX(FormData,$H766,f_Name)),1)&amp;IFERROR(MID(TRIM(INDEX(FormData,$H766,f_Name)),FIND("^",SUBSTITUTE(TRIM(INDEX(FormData,$H766,f_Name))," ","^",LEN(TRIM(INDEX(FormData,$H766,f_Name)))-LEN(SUBSTITUTE(TRIM(INDEX(FormData,$H766,f_Name))," ",""))))+1,1),"")),""))</f>
        <v/>
      </c>
      <c r="E766" s="16">
        <f>IF($H766="","",IFERROR(INDEX(EvID,MATCH(INDEX(FormData,$H766,f_Event),EvID,0)),IFERROR(INDEX(EvID,MATCH(INDEX(FormData,$H766,f_Event),EvName,0)),IFERROR(INDEX(EvID,MATCH(INT($C766),EvDate,0)),"(no event that day)"))))</f>
        <v/>
      </c>
      <c r="F766" s="16">
        <f>IF($H766="","",IFERROR(IF(SUMPRODUCT(MAX((WhoKW&lt;&gt;"")*ISNUMBER(SEARCH(WhoKW,INDEX(FormData,$H766,f_Who)&amp;""))*(ROW(WhoKW)-MIN(ROW(WhoKW))+1)))=0,"",INDEX(WhoVal,SUMPRODUCT(MAX((WhoKW&lt;&gt;"")*ISNUMBER(SEARCH(WhoKW,INDEX(FormData,$H766,f_Who)&amp;""))*(ROW(WhoKW)-MIN(ROW(WhoKW))+1))))),""))</f>
        <v/>
      </c>
      <c r="G766" s="14">
        <f>IF($H766="","",IF(COUNTIF(People!$U$5:$U$604,$B766)+COUNTIF(People!$U$5:$U$604,$B766&amp;"")&gt;0,"✓ logged","→ add"))</f>
        <v/>
      </c>
      <c r="H766">
        <f>IFERROR(IF(INDEX(FormData,763,f_Id)&amp;""="","",763),"")</f>
        <v/>
      </c>
      <c r="I766" s="16">
        <f>IF($H766="","",IFERROR(INDEX(FormData,$H766,f_Need)&amp;"",""))</f>
        <v/>
      </c>
    </row>
    <row r="767">
      <c r="A767" s="14" t="n">
        <v>763</v>
      </c>
      <c r="B767" s="14">
        <f>IF($H767="","",INDEX(FormData,$H767,f_Id))</f>
        <v/>
      </c>
      <c r="C767" s="15">
        <f>IF($H767="","",IFERROR(INDEX(FormData,$H767,f_Time),""))</f>
        <v/>
      </c>
      <c r="D767" s="14">
        <f>IF($H767="","",IFERROR(UPPER(LEFT(TRIM(INDEX(FormData,$H767,f_Name)),1)&amp;IFERROR(MID(TRIM(INDEX(FormData,$H767,f_Name)),FIND("^",SUBSTITUTE(TRIM(INDEX(FormData,$H767,f_Name))," ","^",LEN(TRIM(INDEX(FormData,$H767,f_Name)))-LEN(SUBSTITUTE(TRIM(INDEX(FormData,$H767,f_Name))," ",""))))+1,1),"")),""))</f>
        <v/>
      </c>
      <c r="E767" s="16">
        <f>IF($H767="","",IFERROR(INDEX(EvID,MATCH(INDEX(FormData,$H767,f_Event),EvID,0)),IFERROR(INDEX(EvID,MATCH(INDEX(FormData,$H767,f_Event),EvName,0)),IFERROR(INDEX(EvID,MATCH(INT($C767),EvDate,0)),"(no event that day)"))))</f>
        <v/>
      </c>
      <c r="F767" s="16">
        <f>IF($H767="","",IFERROR(IF(SUMPRODUCT(MAX((WhoKW&lt;&gt;"")*ISNUMBER(SEARCH(WhoKW,INDEX(FormData,$H767,f_Who)&amp;""))*(ROW(WhoKW)-MIN(ROW(WhoKW))+1)))=0,"",INDEX(WhoVal,SUMPRODUCT(MAX((WhoKW&lt;&gt;"")*ISNUMBER(SEARCH(WhoKW,INDEX(FormData,$H767,f_Who)&amp;""))*(ROW(WhoKW)-MIN(ROW(WhoKW))+1))))),""))</f>
        <v/>
      </c>
      <c r="G767" s="14">
        <f>IF($H767="","",IF(COUNTIF(People!$U$5:$U$604,$B767)+COUNTIF(People!$U$5:$U$604,$B767&amp;"")&gt;0,"✓ logged","→ add"))</f>
        <v/>
      </c>
      <c r="H767">
        <f>IFERROR(IF(INDEX(FormData,764,f_Id)&amp;""="","",764),"")</f>
        <v/>
      </c>
      <c r="I767" s="16">
        <f>IF($H767="","",IFERROR(INDEX(FormData,$H767,f_Need)&amp;"",""))</f>
        <v/>
      </c>
    </row>
    <row r="768">
      <c r="A768" s="14" t="n">
        <v>764</v>
      </c>
      <c r="B768" s="14">
        <f>IF($H768="","",INDEX(FormData,$H768,f_Id))</f>
        <v/>
      </c>
      <c r="C768" s="15">
        <f>IF($H768="","",IFERROR(INDEX(FormData,$H768,f_Time),""))</f>
        <v/>
      </c>
      <c r="D768" s="14">
        <f>IF($H768="","",IFERROR(UPPER(LEFT(TRIM(INDEX(FormData,$H768,f_Name)),1)&amp;IFERROR(MID(TRIM(INDEX(FormData,$H768,f_Name)),FIND("^",SUBSTITUTE(TRIM(INDEX(FormData,$H768,f_Name))," ","^",LEN(TRIM(INDEX(FormData,$H768,f_Name)))-LEN(SUBSTITUTE(TRIM(INDEX(FormData,$H768,f_Name))," ",""))))+1,1),"")),""))</f>
        <v/>
      </c>
      <c r="E768" s="16">
        <f>IF($H768="","",IFERROR(INDEX(EvID,MATCH(INDEX(FormData,$H768,f_Event),EvID,0)),IFERROR(INDEX(EvID,MATCH(INDEX(FormData,$H768,f_Event),EvName,0)),IFERROR(INDEX(EvID,MATCH(INT($C768),EvDate,0)),"(no event that day)"))))</f>
        <v/>
      </c>
      <c r="F768" s="16">
        <f>IF($H768="","",IFERROR(IF(SUMPRODUCT(MAX((WhoKW&lt;&gt;"")*ISNUMBER(SEARCH(WhoKW,INDEX(FormData,$H768,f_Who)&amp;""))*(ROW(WhoKW)-MIN(ROW(WhoKW))+1)))=0,"",INDEX(WhoVal,SUMPRODUCT(MAX((WhoKW&lt;&gt;"")*ISNUMBER(SEARCH(WhoKW,INDEX(FormData,$H768,f_Who)&amp;""))*(ROW(WhoKW)-MIN(ROW(WhoKW))+1))))),""))</f>
        <v/>
      </c>
      <c r="G768" s="14">
        <f>IF($H768="","",IF(COUNTIF(People!$U$5:$U$604,$B768)+COUNTIF(People!$U$5:$U$604,$B768&amp;"")&gt;0,"✓ logged","→ add"))</f>
        <v/>
      </c>
      <c r="H768">
        <f>IFERROR(IF(INDEX(FormData,765,f_Id)&amp;""="","",765),"")</f>
        <v/>
      </c>
      <c r="I768" s="16">
        <f>IF($H768="","",IFERROR(INDEX(FormData,$H768,f_Need)&amp;"",""))</f>
        <v/>
      </c>
    </row>
    <row r="769">
      <c r="A769" s="14" t="n">
        <v>765</v>
      </c>
      <c r="B769" s="14">
        <f>IF($H769="","",INDEX(FormData,$H769,f_Id))</f>
        <v/>
      </c>
      <c r="C769" s="15">
        <f>IF($H769="","",IFERROR(INDEX(FormData,$H769,f_Time),""))</f>
        <v/>
      </c>
      <c r="D769" s="14">
        <f>IF($H769="","",IFERROR(UPPER(LEFT(TRIM(INDEX(FormData,$H769,f_Name)),1)&amp;IFERROR(MID(TRIM(INDEX(FormData,$H769,f_Name)),FIND("^",SUBSTITUTE(TRIM(INDEX(FormData,$H769,f_Name))," ","^",LEN(TRIM(INDEX(FormData,$H769,f_Name)))-LEN(SUBSTITUTE(TRIM(INDEX(FormData,$H769,f_Name))," ",""))))+1,1),"")),""))</f>
        <v/>
      </c>
      <c r="E769" s="16">
        <f>IF($H769="","",IFERROR(INDEX(EvID,MATCH(INDEX(FormData,$H769,f_Event),EvID,0)),IFERROR(INDEX(EvID,MATCH(INDEX(FormData,$H769,f_Event),EvName,0)),IFERROR(INDEX(EvID,MATCH(INT($C769),EvDate,0)),"(no event that day)"))))</f>
        <v/>
      </c>
      <c r="F769" s="16">
        <f>IF($H769="","",IFERROR(IF(SUMPRODUCT(MAX((WhoKW&lt;&gt;"")*ISNUMBER(SEARCH(WhoKW,INDEX(FormData,$H769,f_Who)&amp;""))*(ROW(WhoKW)-MIN(ROW(WhoKW))+1)))=0,"",INDEX(WhoVal,SUMPRODUCT(MAX((WhoKW&lt;&gt;"")*ISNUMBER(SEARCH(WhoKW,INDEX(FormData,$H769,f_Who)&amp;""))*(ROW(WhoKW)-MIN(ROW(WhoKW))+1))))),""))</f>
        <v/>
      </c>
      <c r="G769" s="14">
        <f>IF($H769="","",IF(COUNTIF(People!$U$5:$U$604,$B769)+COUNTIF(People!$U$5:$U$604,$B769&amp;"")&gt;0,"✓ logged","→ add"))</f>
        <v/>
      </c>
      <c r="H769">
        <f>IFERROR(IF(INDEX(FormData,766,f_Id)&amp;""="","",766),"")</f>
        <v/>
      </c>
      <c r="I769" s="16">
        <f>IF($H769="","",IFERROR(INDEX(FormData,$H769,f_Need)&amp;"",""))</f>
        <v/>
      </c>
    </row>
    <row r="770">
      <c r="A770" s="14" t="n">
        <v>766</v>
      </c>
      <c r="B770" s="14">
        <f>IF($H770="","",INDEX(FormData,$H770,f_Id))</f>
        <v/>
      </c>
      <c r="C770" s="15">
        <f>IF($H770="","",IFERROR(INDEX(FormData,$H770,f_Time),""))</f>
        <v/>
      </c>
      <c r="D770" s="14">
        <f>IF($H770="","",IFERROR(UPPER(LEFT(TRIM(INDEX(FormData,$H770,f_Name)),1)&amp;IFERROR(MID(TRIM(INDEX(FormData,$H770,f_Name)),FIND("^",SUBSTITUTE(TRIM(INDEX(FormData,$H770,f_Name))," ","^",LEN(TRIM(INDEX(FormData,$H770,f_Name)))-LEN(SUBSTITUTE(TRIM(INDEX(FormData,$H770,f_Name))," ",""))))+1,1),"")),""))</f>
        <v/>
      </c>
      <c r="E770" s="16">
        <f>IF($H770="","",IFERROR(INDEX(EvID,MATCH(INDEX(FormData,$H770,f_Event),EvID,0)),IFERROR(INDEX(EvID,MATCH(INDEX(FormData,$H770,f_Event),EvName,0)),IFERROR(INDEX(EvID,MATCH(INT($C770),EvDate,0)),"(no event that day)"))))</f>
        <v/>
      </c>
      <c r="F770" s="16">
        <f>IF($H770="","",IFERROR(IF(SUMPRODUCT(MAX((WhoKW&lt;&gt;"")*ISNUMBER(SEARCH(WhoKW,INDEX(FormData,$H770,f_Who)&amp;""))*(ROW(WhoKW)-MIN(ROW(WhoKW))+1)))=0,"",INDEX(WhoVal,SUMPRODUCT(MAX((WhoKW&lt;&gt;"")*ISNUMBER(SEARCH(WhoKW,INDEX(FormData,$H770,f_Who)&amp;""))*(ROW(WhoKW)-MIN(ROW(WhoKW))+1))))),""))</f>
        <v/>
      </c>
      <c r="G770" s="14">
        <f>IF($H770="","",IF(COUNTIF(People!$U$5:$U$604,$B770)+COUNTIF(People!$U$5:$U$604,$B770&amp;"")&gt;0,"✓ logged","→ add"))</f>
        <v/>
      </c>
      <c r="H770">
        <f>IFERROR(IF(INDEX(FormData,767,f_Id)&amp;""="","",767),"")</f>
        <v/>
      </c>
      <c r="I770" s="16">
        <f>IF($H770="","",IFERROR(INDEX(FormData,$H770,f_Need)&amp;"",""))</f>
        <v/>
      </c>
    </row>
    <row r="771">
      <c r="A771" s="14" t="n">
        <v>767</v>
      </c>
      <c r="B771" s="14">
        <f>IF($H771="","",INDEX(FormData,$H771,f_Id))</f>
        <v/>
      </c>
      <c r="C771" s="15">
        <f>IF($H771="","",IFERROR(INDEX(FormData,$H771,f_Time),""))</f>
        <v/>
      </c>
      <c r="D771" s="14">
        <f>IF($H771="","",IFERROR(UPPER(LEFT(TRIM(INDEX(FormData,$H771,f_Name)),1)&amp;IFERROR(MID(TRIM(INDEX(FormData,$H771,f_Name)),FIND("^",SUBSTITUTE(TRIM(INDEX(FormData,$H771,f_Name))," ","^",LEN(TRIM(INDEX(FormData,$H771,f_Name)))-LEN(SUBSTITUTE(TRIM(INDEX(FormData,$H771,f_Name))," ",""))))+1,1),"")),""))</f>
        <v/>
      </c>
      <c r="E771" s="16">
        <f>IF($H771="","",IFERROR(INDEX(EvID,MATCH(INDEX(FormData,$H771,f_Event),EvID,0)),IFERROR(INDEX(EvID,MATCH(INDEX(FormData,$H771,f_Event),EvName,0)),IFERROR(INDEX(EvID,MATCH(INT($C771),EvDate,0)),"(no event that day)"))))</f>
        <v/>
      </c>
      <c r="F771" s="16">
        <f>IF($H771="","",IFERROR(IF(SUMPRODUCT(MAX((WhoKW&lt;&gt;"")*ISNUMBER(SEARCH(WhoKW,INDEX(FormData,$H771,f_Who)&amp;""))*(ROW(WhoKW)-MIN(ROW(WhoKW))+1)))=0,"",INDEX(WhoVal,SUMPRODUCT(MAX((WhoKW&lt;&gt;"")*ISNUMBER(SEARCH(WhoKW,INDEX(FormData,$H771,f_Who)&amp;""))*(ROW(WhoKW)-MIN(ROW(WhoKW))+1))))),""))</f>
        <v/>
      </c>
      <c r="G771" s="14">
        <f>IF($H771="","",IF(COUNTIF(People!$U$5:$U$604,$B771)+COUNTIF(People!$U$5:$U$604,$B771&amp;"")&gt;0,"✓ logged","→ add"))</f>
        <v/>
      </c>
      <c r="H771">
        <f>IFERROR(IF(INDEX(FormData,768,f_Id)&amp;""="","",768),"")</f>
        <v/>
      </c>
      <c r="I771" s="16">
        <f>IF($H771="","",IFERROR(INDEX(FormData,$H771,f_Need)&amp;"",""))</f>
        <v/>
      </c>
    </row>
    <row r="772">
      <c r="A772" s="14" t="n">
        <v>768</v>
      </c>
      <c r="B772" s="14">
        <f>IF($H772="","",INDEX(FormData,$H772,f_Id))</f>
        <v/>
      </c>
      <c r="C772" s="15">
        <f>IF($H772="","",IFERROR(INDEX(FormData,$H772,f_Time),""))</f>
        <v/>
      </c>
      <c r="D772" s="14">
        <f>IF($H772="","",IFERROR(UPPER(LEFT(TRIM(INDEX(FormData,$H772,f_Name)),1)&amp;IFERROR(MID(TRIM(INDEX(FormData,$H772,f_Name)),FIND("^",SUBSTITUTE(TRIM(INDEX(FormData,$H772,f_Name))," ","^",LEN(TRIM(INDEX(FormData,$H772,f_Name)))-LEN(SUBSTITUTE(TRIM(INDEX(FormData,$H772,f_Name))," ",""))))+1,1),"")),""))</f>
        <v/>
      </c>
      <c r="E772" s="16">
        <f>IF($H772="","",IFERROR(INDEX(EvID,MATCH(INDEX(FormData,$H772,f_Event),EvID,0)),IFERROR(INDEX(EvID,MATCH(INDEX(FormData,$H772,f_Event),EvName,0)),IFERROR(INDEX(EvID,MATCH(INT($C772),EvDate,0)),"(no event that day)"))))</f>
        <v/>
      </c>
      <c r="F772" s="16">
        <f>IF($H772="","",IFERROR(IF(SUMPRODUCT(MAX((WhoKW&lt;&gt;"")*ISNUMBER(SEARCH(WhoKW,INDEX(FormData,$H772,f_Who)&amp;""))*(ROW(WhoKW)-MIN(ROW(WhoKW))+1)))=0,"",INDEX(WhoVal,SUMPRODUCT(MAX((WhoKW&lt;&gt;"")*ISNUMBER(SEARCH(WhoKW,INDEX(FormData,$H772,f_Who)&amp;""))*(ROW(WhoKW)-MIN(ROW(WhoKW))+1))))),""))</f>
        <v/>
      </c>
      <c r="G772" s="14">
        <f>IF($H772="","",IF(COUNTIF(People!$U$5:$U$604,$B772)+COUNTIF(People!$U$5:$U$604,$B772&amp;"")&gt;0,"✓ logged","→ add"))</f>
        <v/>
      </c>
      <c r="H772">
        <f>IFERROR(IF(INDEX(FormData,769,f_Id)&amp;""="","",769),"")</f>
        <v/>
      </c>
      <c r="I772" s="16">
        <f>IF($H772="","",IFERROR(INDEX(FormData,$H772,f_Need)&amp;"",""))</f>
        <v/>
      </c>
    </row>
    <row r="773">
      <c r="A773" s="14" t="n">
        <v>769</v>
      </c>
      <c r="B773" s="14">
        <f>IF($H773="","",INDEX(FormData,$H773,f_Id))</f>
        <v/>
      </c>
      <c r="C773" s="15">
        <f>IF($H773="","",IFERROR(INDEX(FormData,$H773,f_Time),""))</f>
        <v/>
      </c>
      <c r="D773" s="14">
        <f>IF($H773="","",IFERROR(UPPER(LEFT(TRIM(INDEX(FormData,$H773,f_Name)),1)&amp;IFERROR(MID(TRIM(INDEX(FormData,$H773,f_Name)),FIND("^",SUBSTITUTE(TRIM(INDEX(FormData,$H773,f_Name))," ","^",LEN(TRIM(INDEX(FormData,$H773,f_Name)))-LEN(SUBSTITUTE(TRIM(INDEX(FormData,$H773,f_Name))," ",""))))+1,1),"")),""))</f>
        <v/>
      </c>
      <c r="E773" s="16">
        <f>IF($H773="","",IFERROR(INDEX(EvID,MATCH(INDEX(FormData,$H773,f_Event),EvID,0)),IFERROR(INDEX(EvID,MATCH(INDEX(FormData,$H773,f_Event),EvName,0)),IFERROR(INDEX(EvID,MATCH(INT($C773),EvDate,0)),"(no event that day)"))))</f>
        <v/>
      </c>
      <c r="F773" s="16">
        <f>IF($H773="","",IFERROR(IF(SUMPRODUCT(MAX((WhoKW&lt;&gt;"")*ISNUMBER(SEARCH(WhoKW,INDEX(FormData,$H773,f_Who)&amp;""))*(ROW(WhoKW)-MIN(ROW(WhoKW))+1)))=0,"",INDEX(WhoVal,SUMPRODUCT(MAX((WhoKW&lt;&gt;"")*ISNUMBER(SEARCH(WhoKW,INDEX(FormData,$H773,f_Who)&amp;""))*(ROW(WhoKW)-MIN(ROW(WhoKW))+1))))),""))</f>
        <v/>
      </c>
      <c r="G773" s="14">
        <f>IF($H773="","",IF(COUNTIF(People!$U$5:$U$604,$B773)+COUNTIF(People!$U$5:$U$604,$B773&amp;"")&gt;0,"✓ logged","→ add"))</f>
        <v/>
      </c>
      <c r="H773">
        <f>IFERROR(IF(INDEX(FormData,770,f_Id)&amp;""="","",770),"")</f>
        <v/>
      </c>
      <c r="I773" s="16">
        <f>IF($H773="","",IFERROR(INDEX(FormData,$H773,f_Need)&amp;"",""))</f>
        <v/>
      </c>
    </row>
    <row r="774">
      <c r="A774" s="14" t="n">
        <v>770</v>
      </c>
      <c r="B774" s="14">
        <f>IF($H774="","",INDEX(FormData,$H774,f_Id))</f>
        <v/>
      </c>
      <c r="C774" s="15">
        <f>IF($H774="","",IFERROR(INDEX(FormData,$H774,f_Time),""))</f>
        <v/>
      </c>
      <c r="D774" s="14">
        <f>IF($H774="","",IFERROR(UPPER(LEFT(TRIM(INDEX(FormData,$H774,f_Name)),1)&amp;IFERROR(MID(TRIM(INDEX(FormData,$H774,f_Name)),FIND("^",SUBSTITUTE(TRIM(INDEX(FormData,$H774,f_Name))," ","^",LEN(TRIM(INDEX(FormData,$H774,f_Name)))-LEN(SUBSTITUTE(TRIM(INDEX(FormData,$H774,f_Name))," ",""))))+1,1),"")),""))</f>
        <v/>
      </c>
      <c r="E774" s="16">
        <f>IF($H774="","",IFERROR(INDEX(EvID,MATCH(INDEX(FormData,$H774,f_Event),EvID,0)),IFERROR(INDEX(EvID,MATCH(INDEX(FormData,$H774,f_Event),EvName,0)),IFERROR(INDEX(EvID,MATCH(INT($C774),EvDate,0)),"(no event that day)"))))</f>
        <v/>
      </c>
      <c r="F774" s="16">
        <f>IF($H774="","",IFERROR(IF(SUMPRODUCT(MAX((WhoKW&lt;&gt;"")*ISNUMBER(SEARCH(WhoKW,INDEX(FormData,$H774,f_Who)&amp;""))*(ROW(WhoKW)-MIN(ROW(WhoKW))+1)))=0,"",INDEX(WhoVal,SUMPRODUCT(MAX((WhoKW&lt;&gt;"")*ISNUMBER(SEARCH(WhoKW,INDEX(FormData,$H774,f_Who)&amp;""))*(ROW(WhoKW)-MIN(ROW(WhoKW))+1))))),""))</f>
        <v/>
      </c>
      <c r="G774" s="14">
        <f>IF($H774="","",IF(COUNTIF(People!$U$5:$U$604,$B774)+COUNTIF(People!$U$5:$U$604,$B774&amp;"")&gt;0,"✓ logged","→ add"))</f>
        <v/>
      </c>
      <c r="H774">
        <f>IFERROR(IF(INDEX(FormData,771,f_Id)&amp;""="","",771),"")</f>
        <v/>
      </c>
      <c r="I774" s="16">
        <f>IF($H774="","",IFERROR(INDEX(FormData,$H774,f_Need)&amp;"",""))</f>
        <v/>
      </c>
    </row>
    <row r="775">
      <c r="A775" s="14" t="n">
        <v>771</v>
      </c>
      <c r="B775" s="14">
        <f>IF($H775="","",INDEX(FormData,$H775,f_Id))</f>
        <v/>
      </c>
      <c r="C775" s="15">
        <f>IF($H775="","",IFERROR(INDEX(FormData,$H775,f_Time),""))</f>
        <v/>
      </c>
      <c r="D775" s="14">
        <f>IF($H775="","",IFERROR(UPPER(LEFT(TRIM(INDEX(FormData,$H775,f_Name)),1)&amp;IFERROR(MID(TRIM(INDEX(FormData,$H775,f_Name)),FIND("^",SUBSTITUTE(TRIM(INDEX(FormData,$H775,f_Name))," ","^",LEN(TRIM(INDEX(FormData,$H775,f_Name)))-LEN(SUBSTITUTE(TRIM(INDEX(FormData,$H775,f_Name))," ",""))))+1,1),"")),""))</f>
        <v/>
      </c>
      <c r="E775" s="16">
        <f>IF($H775="","",IFERROR(INDEX(EvID,MATCH(INDEX(FormData,$H775,f_Event),EvID,0)),IFERROR(INDEX(EvID,MATCH(INDEX(FormData,$H775,f_Event),EvName,0)),IFERROR(INDEX(EvID,MATCH(INT($C775),EvDate,0)),"(no event that day)"))))</f>
        <v/>
      </c>
      <c r="F775" s="16">
        <f>IF($H775="","",IFERROR(IF(SUMPRODUCT(MAX((WhoKW&lt;&gt;"")*ISNUMBER(SEARCH(WhoKW,INDEX(FormData,$H775,f_Who)&amp;""))*(ROW(WhoKW)-MIN(ROW(WhoKW))+1)))=0,"",INDEX(WhoVal,SUMPRODUCT(MAX((WhoKW&lt;&gt;"")*ISNUMBER(SEARCH(WhoKW,INDEX(FormData,$H775,f_Who)&amp;""))*(ROW(WhoKW)-MIN(ROW(WhoKW))+1))))),""))</f>
        <v/>
      </c>
      <c r="G775" s="14">
        <f>IF($H775="","",IF(COUNTIF(People!$U$5:$U$604,$B775)+COUNTIF(People!$U$5:$U$604,$B775&amp;"")&gt;0,"✓ logged","→ add"))</f>
        <v/>
      </c>
      <c r="H775">
        <f>IFERROR(IF(INDEX(FormData,772,f_Id)&amp;""="","",772),"")</f>
        <v/>
      </c>
      <c r="I775" s="16">
        <f>IF($H775="","",IFERROR(INDEX(FormData,$H775,f_Need)&amp;"",""))</f>
        <v/>
      </c>
    </row>
    <row r="776">
      <c r="A776" s="14" t="n">
        <v>772</v>
      </c>
      <c r="B776" s="14">
        <f>IF($H776="","",INDEX(FormData,$H776,f_Id))</f>
        <v/>
      </c>
      <c r="C776" s="15">
        <f>IF($H776="","",IFERROR(INDEX(FormData,$H776,f_Time),""))</f>
        <v/>
      </c>
      <c r="D776" s="14">
        <f>IF($H776="","",IFERROR(UPPER(LEFT(TRIM(INDEX(FormData,$H776,f_Name)),1)&amp;IFERROR(MID(TRIM(INDEX(FormData,$H776,f_Name)),FIND("^",SUBSTITUTE(TRIM(INDEX(FormData,$H776,f_Name))," ","^",LEN(TRIM(INDEX(FormData,$H776,f_Name)))-LEN(SUBSTITUTE(TRIM(INDEX(FormData,$H776,f_Name))," ",""))))+1,1),"")),""))</f>
        <v/>
      </c>
      <c r="E776" s="16">
        <f>IF($H776="","",IFERROR(INDEX(EvID,MATCH(INDEX(FormData,$H776,f_Event),EvID,0)),IFERROR(INDEX(EvID,MATCH(INDEX(FormData,$H776,f_Event),EvName,0)),IFERROR(INDEX(EvID,MATCH(INT($C776),EvDate,0)),"(no event that day)"))))</f>
        <v/>
      </c>
      <c r="F776" s="16">
        <f>IF($H776="","",IFERROR(IF(SUMPRODUCT(MAX((WhoKW&lt;&gt;"")*ISNUMBER(SEARCH(WhoKW,INDEX(FormData,$H776,f_Who)&amp;""))*(ROW(WhoKW)-MIN(ROW(WhoKW))+1)))=0,"",INDEX(WhoVal,SUMPRODUCT(MAX((WhoKW&lt;&gt;"")*ISNUMBER(SEARCH(WhoKW,INDEX(FormData,$H776,f_Who)&amp;""))*(ROW(WhoKW)-MIN(ROW(WhoKW))+1))))),""))</f>
        <v/>
      </c>
      <c r="G776" s="14">
        <f>IF($H776="","",IF(COUNTIF(People!$U$5:$U$604,$B776)+COUNTIF(People!$U$5:$U$604,$B776&amp;"")&gt;0,"✓ logged","→ add"))</f>
        <v/>
      </c>
      <c r="H776">
        <f>IFERROR(IF(INDEX(FormData,773,f_Id)&amp;""="","",773),"")</f>
        <v/>
      </c>
      <c r="I776" s="16">
        <f>IF($H776="","",IFERROR(INDEX(FormData,$H776,f_Need)&amp;"",""))</f>
        <v/>
      </c>
    </row>
    <row r="777">
      <c r="A777" s="14" t="n">
        <v>773</v>
      </c>
      <c r="B777" s="14">
        <f>IF($H777="","",INDEX(FormData,$H777,f_Id))</f>
        <v/>
      </c>
      <c r="C777" s="15">
        <f>IF($H777="","",IFERROR(INDEX(FormData,$H777,f_Time),""))</f>
        <v/>
      </c>
      <c r="D777" s="14">
        <f>IF($H777="","",IFERROR(UPPER(LEFT(TRIM(INDEX(FormData,$H777,f_Name)),1)&amp;IFERROR(MID(TRIM(INDEX(FormData,$H777,f_Name)),FIND("^",SUBSTITUTE(TRIM(INDEX(FormData,$H777,f_Name))," ","^",LEN(TRIM(INDEX(FormData,$H777,f_Name)))-LEN(SUBSTITUTE(TRIM(INDEX(FormData,$H777,f_Name))," ",""))))+1,1),"")),""))</f>
        <v/>
      </c>
      <c r="E777" s="16">
        <f>IF($H777="","",IFERROR(INDEX(EvID,MATCH(INDEX(FormData,$H777,f_Event),EvID,0)),IFERROR(INDEX(EvID,MATCH(INDEX(FormData,$H777,f_Event),EvName,0)),IFERROR(INDEX(EvID,MATCH(INT($C777),EvDate,0)),"(no event that day)"))))</f>
        <v/>
      </c>
      <c r="F777" s="16">
        <f>IF($H777="","",IFERROR(IF(SUMPRODUCT(MAX((WhoKW&lt;&gt;"")*ISNUMBER(SEARCH(WhoKW,INDEX(FormData,$H777,f_Who)&amp;""))*(ROW(WhoKW)-MIN(ROW(WhoKW))+1)))=0,"",INDEX(WhoVal,SUMPRODUCT(MAX((WhoKW&lt;&gt;"")*ISNUMBER(SEARCH(WhoKW,INDEX(FormData,$H777,f_Who)&amp;""))*(ROW(WhoKW)-MIN(ROW(WhoKW))+1))))),""))</f>
        <v/>
      </c>
      <c r="G777" s="14">
        <f>IF($H777="","",IF(COUNTIF(People!$U$5:$U$604,$B777)+COUNTIF(People!$U$5:$U$604,$B777&amp;"")&gt;0,"✓ logged","→ add"))</f>
        <v/>
      </c>
      <c r="H777">
        <f>IFERROR(IF(INDEX(FormData,774,f_Id)&amp;""="","",774),"")</f>
        <v/>
      </c>
      <c r="I777" s="16">
        <f>IF($H777="","",IFERROR(INDEX(FormData,$H777,f_Need)&amp;"",""))</f>
        <v/>
      </c>
    </row>
    <row r="778">
      <c r="A778" s="14" t="n">
        <v>774</v>
      </c>
      <c r="B778" s="14">
        <f>IF($H778="","",INDEX(FormData,$H778,f_Id))</f>
        <v/>
      </c>
      <c r="C778" s="15">
        <f>IF($H778="","",IFERROR(INDEX(FormData,$H778,f_Time),""))</f>
        <v/>
      </c>
      <c r="D778" s="14">
        <f>IF($H778="","",IFERROR(UPPER(LEFT(TRIM(INDEX(FormData,$H778,f_Name)),1)&amp;IFERROR(MID(TRIM(INDEX(FormData,$H778,f_Name)),FIND("^",SUBSTITUTE(TRIM(INDEX(FormData,$H778,f_Name))," ","^",LEN(TRIM(INDEX(FormData,$H778,f_Name)))-LEN(SUBSTITUTE(TRIM(INDEX(FormData,$H778,f_Name))," ",""))))+1,1),"")),""))</f>
        <v/>
      </c>
      <c r="E778" s="16">
        <f>IF($H778="","",IFERROR(INDEX(EvID,MATCH(INDEX(FormData,$H778,f_Event),EvID,0)),IFERROR(INDEX(EvID,MATCH(INDEX(FormData,$H778,f_Event),EvName,0)),IFERROR(INDEX(EvID,MATCH(INT($C778),EvDate,0)),"(no event that day)"))))</f>
        <v/>
      </c>
      <c r="F778" s="16">
        <f>IF($H778="","",IFERROR(IF(SUMPRODUCT(MAX((WhoKW&lt;&gt;"")*ISNUMBER(SEARCH(WhoKW,INDEX(FormData,$H778,f_Who)&amp;""))*(ROW(WhoKW)-MIN(ROW(WhoKW))+1)))=0,"",INDEX(WhoVal,SUMPRODUCT(MAX((WhoKW&lt;&gt;"")*ISNUMBER(SEARCH(WhoKW,INDEX(FormData,$H778,f_Who)&amp;""))*(ROW(WhoKW)-MIN(ROW(WhoKW))+1))))),""))</f>
        <v/>
      </c>
      <c r="G778" s="14">
        <f>IF($H778="","",IF(COUNTIF(People!$U$5:$U$604,$B778)+COUNTIF(People!$U$5:$U$604,$B778&amp;"")&gt;0,"✓ logged","→ add"))</f>
        <v/>
      </c>
      <c r="H778">
        <f>IFERROR(IF(INDEX(FormData,775,f_Id)&amp;""="","",775),"")</f>
        <v/>
      </c>
      <c r="I778" s="16">
        <f>IF($H778="","",IFERROR(INDEX(FormData,$H778,f_Need)&amp;"",""))</f>
        <v/>
      </c>
    </row>
    <row r="779">
      <c r="A779" s="14" t="n">
        <v>775</v>
      </c>
      <c r="B779" s="14">
        <f>IF($H779="","",INDEX(FormData,$H779,f_Id))</f>
        <v/>
      </c>
      <c r="C779" s="15">
        <f>IF($H779="","",IFERROR(INDEX(FormData,$H779,f_Time),""))</f>
        <v/>
      </c>
      <c r="D779" s="14">
        <f>IF($H779="","",IFERROR(UPPER(LEFT(TRIM(INDEX(FormData,$H779,f_Name)),1)&amp;IFERROR(MID(TRIM(INDEX(FormData,$H779,f_Name)),FIND("^",SUBSTITUTE(TRIM(INDEX(FormData,$H779,f_Name))," ","^",LEN(TRIM(INDEX(FormData,$H779,f_Name)))-LEN(SUBSTITUTE(TRIM(INDEX(FormData,$H779,f_Name))," ",""))))+1,1),"")),""))</f>
        <v/>
      </c>
      <c r="E779" s="16">
        <f>IF($H779="","",IFERROR(INDEX(EvID,MATCH(INDEX(FormData,$H779,f_Event),EvID,0)),IFERROR(INDEX(EvID,MATCH(INDEX(FormData,$H779,f_Event),EvName,0)),IFERROR(INDEX(EvID,MATCH(INT($C779),EvDate,0)),"(no event that day)"))))</f>
        <v/>
      </c>
      <c r="F779" s="16">
        <f>IF($H779="","",IFERROR(IF(SUMPRODUCT(MAX((WhoKW&lt;&gt;"")*ISNUMBER(SEARCH(WhoKW,INDEX(FormData,$H779,f_Who)&amp;""))*(ROW(WhoKW)-MIN(ROW(WhoKW))+1)))=0,"",INDEX(WhoVal,SUMPRODUCT(MAX((WhoKW&lt;&gt;"")*ISNUMBER(SEARCH(WhoKW,INDEX(FormData,$H779,f_Who)&amp;""))*(ROW(WhoKW)-MIN(ROW(WhoKW))+1))))),""))</f>
        <v/>
      </c>
      <c r="G779" s="14">
        <f>IF($H779="","",IF(COUNTIF(People!$U$5:$U$604,$B779)+COUNTIF(People!$U$5:$U$604,$B779&amp;"")&gt;0,"✓ logged","→ add"))</f>
        <v/>
      </c>
      <c r="H779">
        <f>IFERROR(IF(INDEX(FormData,776,f_Id)&amp;""="","",776),"")</f>
        <v/>
      </c>
      <c r="I779" s="16">
        <f>IF($H779="","",IFERROR(INDEX(FormData,$H779,f_Need)&amp;"",""))</f>
        <v/>
      </c>
    </row>
    <row r="780">
      <c r="A780" s="14" t="n">
        <v>776</v>
      </c>
      <c r="B780" s="14">
        <f>IF($H780="","",INDEX(FormData,$H780,f_Id))</f>
        <v/>
      </c>
      <c r="C780" s="15">
        <f>IF($H780="","",IFERROR(INDEX(FormData,$H780,f_Time),""))</f>
        <v/>
      </c>
      <c r="D780" s="14">
        <f>IF($H780="","",IFERROR(UPPER(LEFT(TRIM(INDEX(FormData,$H780,f_Name)),1)&amp;IFERROR(MID(TRIM(INDEX(FormData,$H780,f_Name)),FIND("^",SUBSTITUTE(TRIM(INDEX(FormData,$H780,f_Name))," ","^",LEN(TRIM(INDEX(FormData,$H780,f_Name)))-LEN(SUBSTITUTE(TRIM(INDEX(FormData,$H780,f_Name))," ",""))))+1,1),"")),""))</f>
        <v/>
      </c>
      <c r="E780" s="16">
        <f>IF($H780="","",IFERROR(INDEX(EvID,MATCH(INDEX(FormData,$H780,f_Event),EvID,0)),IFERROR(INDEX(EvID,MATCH(INDEX(FormData,$H780,f_Event),EvName,0)),IFERROR(INDEX(EvID,MATCH(INT($C780),EvDate,0)),"(no event that day)"))))</f>
        <v/>
      </c>
      <c r="F780" s="16">
        <f>IF($H780="","",IFERROR(IF(SUMPRODUCT(MAX((WhoKW&lt;&gt;"")*ISNUMBER(SEARCH(WhoKW,INDEX(FormData,$H780,f_Who)&amp;""))*(ROW(WhoKW)-MIN(ROW(WhoKW))+1)))=0,"",INDEX(WhoVal,SUMPRODUCT(MAX((WhoKW&lt;&gt;"")*ISNUMBER(SEARCH(WhoKW,INDEX(FormData,$H780,f_Who)&amp;""))*(ROW(WhoKW)-MIN(ROW(WhoKW))+1))))),""))</f>
        <v/>
      </c>
      <c r="G780" s="14">
        <f>IF($H780="","",IF(COUNTIF(People!$U$5:$U$604,$B780)+COUNTIF(People!$U$5:$U$604,$B780&amp;"")&gt;0,"✓ logged","→ add"))</f>
        <v/>
      </c>
      <c r="H780">
        <f>IFERROR(IF(INDEX(FormData,777,f_Id)&amp;""="","",777),"")</f>
        <v/>
      </c>
      <c r="I780" s="16">
        <f>IF($H780="","",IFERROR(INDEX(FormData,$H780,f_Need)&amp;"",""))</f>
        <v/>
      </c>
    </row>
    <row r="781">
      <c r="A781" s="14" t="n">
        <v>777</v>
      </c>
      <c r="B781" s="14">
        <f>IF($H781="","",INDEX(FormData,$H781,f_Id))</f>
        <v/>
      </c>
      <c r="C781" s="15">
        <f>IF($H781="","",IFERROR(INDEX(FormData,$H781,f_Time),""))</f>
        <v/>
      </c>
      <c r="D781" s="14">
        <f>IF($H781="","",IFERROR(UPPER(LEFT(TRIM(INDEX(FormData,$H781,f_Name)),1)&amp;IFERROR(MID(TRIM(INDEX(FormData,$H781,f_Name)),FIND("^",SUBSTITUTE(TRIM(INDEX(FormData,$H781,f_Name))," ","^",LEN(TRIM(INDEX(FormData,$H781,f_Name)))-LEN(SUBSTITUTE(TRIM(INDEX(FormData,$H781,f_Name))," ",""))))+1,1),"")),""))</f>
        <v/>
      </c>
      <c r="E781" s="16">
        <f>IF($H781="","",IFERROR(INDEX(EvID,MATCH(INDEX(FormData,$H781,f_Event),EvID,0)),IFERROR(INDEX(EvID,MATCH(INDEX(FormData,$H781,f_Event),EvName,0)),IFERROR(INDEX(EvID,MATCH(INT($C781),EvDate,0)),"(no event that day)"))))</f>
        <v/>
      </c>
      <c r="F781" s="16">
        <f>IF($H781="","",IFERROR(IF(SUMPRODUCT(MAX((WhoKW&lt;&gt;"")*ISNUMBER(SEARCH(WhoKW,INDEX(FormData,$H781,f_Who)&amp;""))*(ROW(WhoKW)-MIN(ROW(WhoKW))+1)))=0,"",INDEX(WhoVal,SUMPRODUCT(MAX((WhoKW&lt;&gt;"")*ISNUMBER(SEARCH(WhoKW,INDEX(FormData,$H781,f_Who)&amp;""))*(ROW(WhoKW)-MIN(ROW(WhoKW))+1))))),""))</f>
        <v/>
      </c>
      <c r="G781" s="14">
        <f>IF($H781="","",IF(COUNTIF(People!$U$5:$U$604,$B781)+COUNTIF(People!$U$5:$U$604,$B781&amp;"")&gt;0,"✓ logged","→ add"))</f>
        <v/>
      </c>
      <c r="H781">
        <f>IFERROR(IF(INDEX(FormData,778,f_Id)&amp;""="","",778),"")</f>
        <v/>
      </c>
      <c r="I781" s="16">
        <f>IF($H781="","",IFERROR(INDEX(FormData,$H781,f_Need)&amp;"",""))</f>
        <v/>
      </c>
    </row>
    <row r="782">
      <c r="A782" s="14" t="n">
        <v>778</v>
      </c>
      <c r="B782" s="14">
        <f>IF($H782="","",INDEX(FormData,$H782,f_Id))</f>
        <v/>
      </c>
      <c r="C782" s="15">
        <f>IF($H782="","",IFERROR(INDEX(FormData,$H782,f_Time),""))</f>
        <v/>
      </c>
      <c r="D782" s="14">
        <f>IF($H782="","",IFERROR(UPPER(LEFT(TRIM(INDEX(FormData,$H782,f_Name)),1)&amp;IFERROR(MID(TRIM(INDEX(FormData,$H782,f_Name)),FIND("^",SUBSTITUTE(TRIM(INDEX(FormData,$H782,f_Name))," ","^",LEN(TRIM(INDEX(FormData,$H782,f_Name)))-LEN(SUBSTITUTE(TRIM(INDEX(FormData,$H782,f_Name))," ",""))))+1,1),"")),""))</f>
        <v/>
      </c>
      <c r="E782" s="16">
        <f>IF($H782="","",IFERROR(INDEX(EvID,MATCH(INDEX(FormData,$H782,f_Event),EvID,0)),IFERROR(INDEX(EvID,MATCH(INDEX(FormData,$H782,f_Event),EvName,0)),IFERROR(INDEX(EvID,MATCH(INT($C782),EvDate,0)),"(no event that day)"))))</f>
        <v/>
      </c>
      <c r="F782" s="16">
        <f>IF($H782="","",IFERROR(IF(SUMPRODUCT(MAX((WhoKW&lt;&gt;"")*ISNUMBER(SEARCH(WhoKW,INDEX(FormData,$H782,f_Who)&amp;""))*(ROW(WhoKW)-MIN(ROW(WhoKW))+1)))=0,"",INDEX(WhoVal,SUMPRODUCT(MAX((WhoKW&lt;&gt;"")*ISNUMBER(SEARCH(WhoKW,INDEX(FormData,$H782,f_Who)&amp;""))*(ROW(WhoKW)-MIN(ROW(WhoKW))+1))))),""))</f>
        <v/>
      </c>
      <c r="G782" s="14">
        <f>IF($H782="","",IF(COUNTIF(People!$U$5:$U$604,$B782)+COUNTIF(People!$U$5:$U$604,$B782&amp;"")&gt;0,"✓ logged","→ add"))</f>
        <v/>
      </c>
      <c r="H782">
        <f>IFERROR(IF(INDEX(FormData,779,f_Id)&amp;""="","",779),"")</f>
        <v/>
      </c>
      <c r="I782" s="16">
        <f>IF($H782="","",IFERROR(INDEX(FormData,$H782,f_Need)&amp;"",""))</f>
        <v/>
      </c>
    </row>
    <row r="783">
      <c r="A783" s="14" t="n">
        <v>779</v>
      </c>
      <c r="B783" s="14">
        <f>IF($H783="","",INDEX(FormData,$H783,f_Id))</f>
        <v/>
      </c>
      <c r="C783" s="15">
        <f>IF($H783="","",IFERROR(INDEX(FormData,$H783,f_Time),""))</f>
        <v/>
      </c>
      <c r="D783" s="14">
        <f>IF($H783="","",IFERROR(UPPER(LEFT(TRIM(INDEX(FormData,$H783,f_Name)),1)&amp;IFERROR(MID(TRIM(INDEX(FormData,$H783,f_Name)),FIND("^",SUBSTITUTE(TRIM(INDEX(FormData,$H783,f_Name))," ","^",LEN(TRIM(INDEX(FormData,$H783,f_Name)))-LEN(SUBSTITUTE(TRIM(INDEX(FormData,$H783,f_Name))," ",""))))+1,1),"")),""))</f>
        <v/>
      </c>
      <c r="E783" s="16">
        <f>IF($H783="","",IFERROR(INDEX(EvID,MATCH(INDEX(FormData,$H783,f_Event),EvID,0)),IFERROR(INDEX(EvID,MATCH(INDEX(FormData,$H783,f_Event),EvName,0)),IFERROR(INDEX(EvID,MATCH(INT($C783),EvDate,0)),"(no event that day)"))))</f>
        <v/>
      </c>
      <c r="F783" s="16">
        <f>IF($H783="","",IFERROR(IF(SUMPRODUCT(MAX((WhoKW&lt;&gt;"")*ISNUMBER(SEARCH(WhoKW,INDEX(FormData,$H783,f_Who)&amp;""))*(ROW(WhoKW)-MIN(ROW(WhoKW))+1)))=0,"",INDEX(WhoVal,SUMPRODUCT(MAX((WhoKW&lt;&gt;"")*ISNUMBER(SEARCH(WhoKW,INDEX(FormData,$H783,f_Who)&amp;""))*(ROW(WhoKW)-MIN(ROW(WhoKW))+1))))),""))</f>
        <v/>
      </c>
      <c r="G783" s="14">
        <f>IF($H783="","",IF(COUNTIF(People!$U$5:$U$604,$B783)+COUNTIF(People!$U$5:$U$604,$B783&amp;"")&gt;0,"✓ logged","→ add"))</f>
        <v/>
      </c>
      <c r="H783">
        <f>IFERROR(IF(INDEX(FormData,780,f_Id)&amp;""="","",780),"")</f>
        <v/>
      </c>
      <c r="I783" s="16">
        <f>IF($H783="","",IFERROR(INDEX(FormData,$H783,f_Need)&amp;"",""))</f>
        <v/>
      </c>
    </row>
    <row r="784">
      <c r="A784" s="14" t="n">
        <v>780</v>
      </c>
      <c r="B784" s="14">
        <f>IF($H784="","",INDEX(FormData,$H784,f_Id))</f>
        <v/>
      </c>
      <c r="C784" s="15">
        <f>IF($H784="","",IFERROR(INDEX(FormData,$H784,f_Time),""))</f>
        <v/>
      </c>
      <c r="D784" s="14">
        <f>IF($H784="","",IFERROR(UPPER(LEFT(TRIM(INDEX(FormData,$H784,f_Name)),1)&amp;IFERROR(MID(TRIM(INDEX(FormData,$H784,f_Name)),FIND("^",SUBSTITUTE(TRIM(INDEX(FormData,$H784,f_Name))," ","^",LEN(TRIM(INDEX(FormData,$H784,f_Name)))-LEN(SUBSTITUTE(TRIM(INDEX(FormData,$H784,f_Name))," ",""))))+1,1),"")),""))</f>
        <v/>
      </c>
      <c r="E784" s="16">
        <f>IF($H784="","",IFERROR(INDEX(EvID,MATCH(INDEX(FormData,$H784,f_Event),EvID,0)),IFERROR(INDEX(EvID,MATCH(INDEX(FormData,$H784,f_Event),EvName,0)),IFERROR(INDEX(EvID,MATCH(INT($C784),EvDate,0)),"(no event that day)"))))</f>
        <v/>
      </c>
      <c r="F784" s="16">
        <f>IF($H784="","",IFERROR(IF(SUMPRODUCT(MAX((WhoKW&lt;&gt;"")*ISNUMBER(SEARCH(WhoKW,INDEX(FormData,$H784,f_Who)&amp;""))*(ROW(WhoKW)-MIN(ROW(WhoKW))+1)))=0,"",INDEX(WhoVal,SUMPRODUCT(MAX((WhoKW&lt;&gt;"")*ISNUMBER(SEARCH(WhoKW,INDEX(FormData,$H784,f_Who)&amp;""))*(ROW(WhoKW)-MIN(ROW(WhoKW))+1))))),""))</f>
        <v/>
      </c>
      <c r="G784" s="14">
        <f>IF($H784="","",IF(COUNTIF(People!$U$5:$U$604,$B784)+COUNTIF(People!$U$5:$U$604,$B784&amp;"")&gt;0,"✓ logged","→ add"))</f>
        <v/>
      </c>
      <c r="H784">
        <f>IFERROR(IF(INDEX(FormData,781,f_Id)&amp;""="","",781),"")</f>
        <v/>
      </c>
      <c r="I784" s="16">
        <f>IF($H784="","",IFERROR(INDEX(FormData,$H784,f_Need)&amp;"",""))</f>
        <v/>
      </c>
    </row>
    <row r="785">
      <c r="A785" s="14" t="n">
        <v>781</v>
      </c>
      <c r="B785" s="14">
        <f>IF($H785="","",INDEX(FormData,$H785,f_Id))</f>
        <v/>
      </c>
      <c r="C785" s="15">
        <f>IF($H785="","",IFERROR(INDEX(FormData,$H785,f_Time),""))</f>
        <v/>
      </c>
      <c r="D785" s="14">
        <f>IF($H785="","",IFERROR(UPPER(LEFT(TRIM(INDEX(FormData,$H785,f_Name)),1)&amp;IFERROR(MID(TRIM(INDEX(FormData,$H785,f_Name)),FIND("^",SUBSTITUTE(TRIM(INDEX(FormData,$H785,f_Name))," ","^",LEN(TRIM(INDEX(FormData,$H785,f_Name)))-LEN(SUBSTITUTE(TRIM(INDEX(FormData,$H785,f_Name))," ",""))))+1,1),"")),""))</f>
        <v/>
      </c>
      <c r="E785" s="16">
        <f>IF($H785="","",IFERROR(INDEX(EvID,MATCH(INDEX(FormData,$H785,f_Event),EvID,0)),IFERROR(INDEX(EvID,MATCH(INDEX(FormData,$H785,f_Event),EvName,0)),IFERROR(INDEX(EvID,MATCH(INT($C785),EvDate,0)),"(no event that day)"))))</f>
        <v/>
      </c>
      <c r="F785" s="16">
        <f>IF($H785="","",IFERROR(IF(SUMPRODUCT(MAX((WhoKW&lt;&gt;"")*ISNUMBER(SEARCH(WhoKW,INDEX(FormData,$H785,f_Who)&amp;""))*(ROW(WhoKW)-MIN(ROW(WhoKW))+1)))=0,"",INDEX(WhoVal,SUMPRODUCT(MAX((WhoKW&lt;&gt;"")*ISNUMBER(SEARCH(WhoKW,INDEX(FormData,$H785,f_Who)&amp;""))*(ROW(WhoKW)-MIN(ROW(WhoKW))+1))))),""))</f>
        <v/>
      </c>
      <c r="G785" s="14">
        <f>IF($H785="","",IF(COUNTIF(People!$U$5:$U$604,$B785)+COUNTIF(People!$U$5:$U$604,$B785&amp;"")&gt;0,"✓ logged","→ add"))</f>
        <v/>
      </c>
      <c r="H785">
        <f>IFERROR(IF(INDEX(FormData,782,f_Id)&amp;""="","",782),"")</f>
        <v/>
      </c>
      <c r="I785" s="16">
        <f>IF($H785="","",IFERROR(INDEX(FormData,$H785,f_Need)&amp;"",""))</f>
        <v/>
      </c>
    </row>
    <row r="786">
      <c r="A786" s="14" t="n">
        <v>782</v>
      </c>
      <c r="B786" s="14">
        <f>IF($H786="","",INDEX(FormData,$H786,f_Id))</f>
        <v/>
      </c>
      <c r="C786" s="15">
        <f>IF($H786="","",IFERROR(INDEX(FormData,$H786,f_Time),""))</f>
        <v/>
      </c>
      <c r="D786" s="14">
        <f>IF($H786="","",IFERROR(UPPER(LEFT(TRIM(INDEX(FormData,$H786,f_Name)),1)&amp;IFERROR(MID(TRIM(INDEX(FormData,$H786,f_Name)),FIND("^",SUBSTITUTE(TRIM(INDEX(FormData,$H786,f_Name))," ","^",LEN(TRIM(INDEX(FormData,$H786,f_Name)))-LEN(SUBSTITUTE(TRIM(INDEX(FormData,$H786,f_Name))," ",""))))+1,1),"")),""))</f>
        <v/>
      </c>
      <c r="E786" s="16">
        <f>IF($H786="","",IFERROR(INDEX(EvID,MATCH(INDEX(FormData,$H786,f_Event),EvID,0)),IFERROR(INDEX(EvID,MATCH(INDEX(FormData,$H786,f_Event),EvName,0)),IFERROR(INDEX(EvID,MATCH(INT($C786),EvDate,0)),"(no event that day)"))))</f>
        <v/>
      </c>
      <c r="F786" s="16">
        <f>IF($H786="","",IFERROR(IF(SUMPRODUCT(MAX((WhoKW&lt;&gt;"")*ISNUMBER(SEARCH(WhoKW,INDEX(FormData,$H786,f_Who)&amp;""))*(ROW(WhoKW)-MIN(ROW(WhoKW))+1)))=0,"",INDEX(WhoVal,SUMPRODUCT(MAX((WhoKW&lt;&gt;"")*ISNUMBER(SEARCH(WhoKW,INDEX(FormData,$H786,f_Who)&amp;""))*(ROW(WhoKW)-MIN(ROW(WhoKW))+1))))),""))</f>
        <v/>
      </c>
      <c r="G786" s="14">
        <f>IF($H786="","",IF(COUNTIF(People!$U$5:$U$604,$B786)+COUNTIF(People!$U$5:$U$604,$B786&amp;"")&gt;0,"✓ logged","→ add"))</f>
        <v/>
      </c>
      <c r="H786">
        <f>IFERROR(IF(INDEX(FormData,783,f_Id)&amp;""="","",783),"")</f>
        <v/>
      </c>
      <c r="I786" s="16">
        <f>IF($H786="","",IFERROR(INDEX(FormData,$H786,f_Need)&amp;"",""))</f>
        <v/>
      </c>
    </row>
    <row r="787">
      <c r="A787" s="14" t="n">
        <v>783</v>
      </c>
      <c r="B787" s="14">
        <f>IF($H787="","",INDEX(FormData,$H787,f_Id))</f>
        <v/>
      </c>
      <c r="C787" s="15">
        <f>IF($H787="","",IFERROR(INDEX(FormData,$H787,f_Time),""))</f>
        <v/>
      </c>
      <c r="D787" s="14">
        <f>IF($H787="","",IFERROR(UPPER(LEFT(TRIM(INDEX(FormData,$H787,f_Name)),1)&amp;IFERROR(MID(TRIM(INDEX(FormData,$H787,f_Name)),FIND("^",SUBSTITUTE(TRIM(INDEX(FormData,$H787,f_Name))," ","^",LEN(TRIM(INDEX(FormData,$H787,f_Name)))-LEN(SUBSTITUTE(TRIM(INDEX(FormData,$H787,f_Name))," ",""))))+1,1),"")),""))</f>
        <v/>
      </c>
      <c r="E787" s="16">
        <f>IF($H787="","",IFERROR(INDEX(EvID,MATCH(INDEX(FormData,$H787,f_Event),EvID,0)),IFERROR(INDEX(EvID,MATCH(INDEX(FormData,$H787,f_Event),EvName,0)),IFERROR(INDEX(EvID,MATCH(INT($C787),EvDate,0)),"(no event that day)"))))</f>
        <v/>
      </c>
      <c r="F787" s="16">
        <f>IF($H787="","",IFERROR(IF(SUMPRODUCT(MAX((WhoKW&lt;&gt;"")*ISNUMBER(SEARCH(WhoKW,INDEX(FormData,$H787,f_Who)&amp;""))*(ROW(WhoKW)-MIN(ROW(WhoKW))+1)))=0,"",INDEX(WhoVal,SUMPRODUCT(MAX((WhoKW&lt;&gt;"")*ISNUMBER(SEARCH(WhoKW,INDEX(FormData,$H787,f_Who)&amp;""))*(ROW(WhoKW)-MIN(ROW(WhoKW))+1))))),""))</f>
        <v/>
      </c>
      <c r="G787" s="14">
        <f>IF($H787="","",IF(COUNTIF(People!$U$5:$U$604,$B787)+COUNTIF(People!$U$5:$U$604,$B787&amp;"")&gt;0,"✓ logged","→ add"))</f>
        <v/>
      </c>
      <c r="H787">
        <f>IFERROR(IF(INDEX(FormData,784,f_Id)&amp;""="","",784),"")</f>
        <v/>
      </c>
      <c r="I787" s="16">
        <f>IF($H787="","",IFERROR(INDEX(FormData,$H787,f_Need)&amp;"",""))</f>
        <v/>
      </c>
    </row>
    <row r="788">
      <c r="A788" s="14" t="n">
        <v>784</v>
      </c>
      <c r="B788" s="14">
        <f>IF($H788="","",INDEX(FormData,$H788,f_Id))</f>
        <v/>
      </c>
      <c r="C788" s="15">
        <f>IF($H788="","",IFERROR(INDEX(FormData,$H788,f_Time),""))</f>
        <v/>
      </c>
      <c r="D788" s="14">
        <f>IF($H788="","",IFERROR(UPPER(LEFT(TRIM(INDEX(FormData,$H788,f_Name)),1)&amp;IFERROR(MID(TRIM(INDEX(FormData,$H788,f_Name)),FIND("^",SUBSTITUTE(TRIM(INDEX(FormData,$H788,f_Name))," ","^",LEN(TRIM(INDEX(FormData,$H788,f_Name)))-LEN(SUBSTITUTE(TRIM(INDEX(FormData,$H788,f_Name))," ",""))))+1,1),"")),""))</f>
        <v/>
      </c>
      <c r="E788" s="16">
        <f>IF($H788="","",IFERROR(INDEX(EvID,MATCH(INDEX(FormData,$H788,f_Event),EvID,0)),IFERROR(INDEX(EvID,MATCH(INDEX(FormData,$H788,f_Event),EvName,0)),IFERROR(INDEX(EvID,MATCH(INT($C788),EvDate,0)),"(no event that day)"))))</f>
        <v/>
      </c>
      <c r="F788" s="16">
        <f>IF($H788="","",IFERROR(IF(SUMPRODUCT(MAX((WhoKW&lt;&gt;"")*ISNUMBER(SEARCH(WhoKW,INDEX(FormData,$H788,f_Who)&amp;""))*(ROW(WhoKW)-MIN(ROW(WhoKW))+1)))=0,"",INDEX(WhoVal,SUMPRODUCT(MAX((WhoKW&lt;&gt;"")*ISNUMBER(SEARCH(WhoKW,INDEX(FormData,$H788,f_Who)&amp;""))*(ROW(WhoKW)-MIN(ROW(WhoKW))+1))))),""))</f>
        <v/>
      </c>
      <c r="G788" s="14">
        <f>IF($H788="","",IF(COUNTIF(People!$U$5:$U$604,$B788)+COUNTIF(People!$U$5:$U$604,$B788&amp;"")&gt;0,"✓ logged","→ add"))</f>
        <v/>
      </c>
      <c r="H788">
        <f>IFERROR(IF(INDEX(FormData,785,f_Id)&amp;""="","",785),"")</f>
        <v/>
      </c>
      <c r="I788" s="16">
        <f>IF($H788="","",IFERROR(INDEX(FormData,$H788,f_Need)&amp;"",""))</f>
        <v/>
      </c>
    </row>
    <row r="789">
      <c r="A789" s="14" t="n">
        <v>785</v>
      </c>
      <c r="B789" s="14">
        <f>IF($H789="","",INDEX(FormData,$H789,f_Id))</f>
        <v/>
      </c>
      <c r="C789" s="15">
        <f>IF($H789="","",IFERROR(INDEX(FormData,$H789,f_Time),""))</f>
        <v/>
      </c>
      <c r="D789" s="14">
        <f>IF($H789="","",IFERROR(UPPER(LEFT(TRIM(INDEX(FormData,$H789,f_Name)),1)&amp;IFERROR(MID(TRIM(INDEX(FormData,$H789,f_Name)),FIND("^",SUBSTITUTE(TRIM(INDEX(FormData,$H789,f_Name))," ","^",LEN(TRIM(INDEX(FormData,$H789,f_Name)))-LEN(SUBSTITUTE(TRIM(INDEX(FormData,$H789,f_Name))," ",""))))+1,1),"")),""))</f>
        <v/>
      </c>
      <c r="E789" s="16">
        <f>IF($H789="","",IFERROR(INDEX(EvID,MATCH(INDEX(FormData,$H789,f_Event),EvID,0)),IFERROR(INDEX(EvID,MATCH(INDEX(FormData,$H789,f_Event),EvName,0)),IFERROR(INDEX(EvID,MATCH(INT($C789),EvDate,0)),"(no event that day)"))))</f>
        <v/>
      </c>
      <c r="F789" s="16">
        <f>IF($H789="","",IFERROR(IF(SUMPRODUCT(MAX((WhoKW&lt;&gt;"")*ISNUMBER(SEARCH(WhoKW,INDEX(FormData,$H789,f_Who)&amp;""))*(ROW(WhoKW)-MIN(ROW(WhoKW))+1)))=0,"",INDEX(WhoVal,SUMPRODUCT(MAX((WhoKW&lt;&gt;"")*ISNUMBER(SEARCH(WhoKW,INDEX(FormData,$H789,f_Who)&amp;""))*(ROW(WhoKW)-MIN(ROW(WhoKW))+1))))),""))</f>
        <v/>
      </c>
      <c r="G789" s="14">
        <f>IF($H789="","",IF(COUNTIF(People!$U$5:$U$604,$B789)+COUNTIF(People!$U$5:$U$604,$B789&amp;"")&gt;0,"✓ logged","→ add"))</f>
        <v/>
      </c>
      <c r="H789">
        <f>IFERROR(IF(INDEX(FormData,786,f_Id)&amp;""="","",786),"")</f>
        <v/>
      </c>
      <c r="I789" s="16">
        <f>IF($H789="","",IFERROR(INDEX(FormData,$H789,f_Need)&amp;"",""))</f>
        <v/>
      </c>
    </row>
    <row r="790">
      <c r="A790" s="14" t="n">
        <v>786</v>
      </c>
      <c r="B790" s="14">
        <f>IF($H790="","",INDEX(FormData,$H790,f_Id))</f>
        <v/>
      </c>
      <c r="C790" s="15">
        <f>IF($H790="","",IFERROR(INDEX(FormData,$H790,f_Time),""))</f>
        <v/>
      </c>
      <c r="D790" s="14">
        <f>IF($H790="","",IFERROR(UPPER(LEFT(TRIM(INDEX(FormData,$H790,f_Name)),1)&amp;IFERROR(MID(TRIM(INDEX(FormData,$H790,f_Name)),FIND("^",SUBSTITUTE(TRIM(INDEX(FormData,$H790,f_Name))," ","^",LEN(TRIM(INDEX(FormData,$H790,f_Name)))-LEN(SUBSTITUTE(TRIM(INDEX(FormData,$H790,f_Name))," ",""))))+1,1),"")),""))</f>
        <v/>
      </c>
      <c r="E790" s="16">
        <f>IF($H790="","",IFERROR(INDEX(EvID,MATCH(INDEX(FormData,$H790,f_Event),EvID,0)),IFERROR(INDEX(EvID,MATCH(INDEX(FormData,$H790,f_Event),EvName,0)),IFERROR(INDEX(EvID,MATCH(INT($C790),EvDate,0)),"(no event that day)"))))</f>
        <v/>
      </c>
      <c r="F790" s="16">
        <f>IF($H790="","",IFERROR(IF(SUMPRODUCT(MAX((WhoKW&lt;&gt;"")*ISNUMBER(SEARCH(WhoKW,INDEX(FormData,$H790,f_Who)&amp;""))*(ROW(WhoKW)-MIN(ROW(WhoKW))+1)))=0,"",INDEX(WhoVal,SUMPRODUCT(MAX((WhoKW&lt;&gt;"")*ISNUMBER(SEARCH(WhoKW,INDEX(FormData,$H790,f_Who)&amp;""))*(ROW(WhoKW)-MIN(ROW(WhoKW))+1))))),""))</f>
        <v/>
      </c>
      <c r="G790" s="14">
        <f>IF($H790="","",IF(COUNTIF(People!$U$5:$U$604,$B790)+COUNTIF(People!$U$5:$U$604,$B790&amp;"")&gt;0,"✓ logged","→ add"))</f>
        <v/>
      </c>
      <c r="H790">
        <f>IFERROR(IF(INDEX(FormData,787,f_Id)&amp;""="","",787),"")</f>
        <v/>
      </c>
      <c r="I790" s="16">
        <f>IF($H790="","",IFERROR(INDEX(FormData,$H790,f_Need)&amp;"",""))</f>
        <v/>
      </c>
    </row>
    <row r="791">
      <c r="A791" s="14" t="n">
        <v>787</v>
      </c>
      <c r="B791" s="14">
        <f>IF($H791="","",INDEX(FormData,$H791,f_Id))</f>
        <v/>
      </c>
      <c r="C791" s="15">
        <f>IF($H791="","",IFERROR(INDEX(FormData,$H791,f_Time),""))</f>
        <v/>
      </c>
      <c r="D791" s="14">
        <f>IF($H791="","",IFERROR(UPPER(LEFT(TRIM(INDEX(FormData,$H791,f_Name)),1)&amp;IFERROR(MID(TRIM(INDEX(FormData,$H791,f_Name)),FIND("^",SUBSTITUTE(TRIM(INDEX(FormData,$H791,f_Name))," ","^",LEN(TRIM(INDEX(FormData,$H791,f_Name)))-LEN(SUBSTITUTE(TRIM(INDEX(FormData,$H791,f_Name))," ",""))))+1,1),"")),""))</f>
        <v/>
      </c>
      <c r="E791" s="16">
        <f>IF($H791="","",IFERROR(INDEX(EvID,MATCH(INDEX(FormData,$H791,f_Event),EvID,0)),IFERROR(INDEX(EvID,MATCH(INDEX(FormData,$H791,f_Event),EvName,0)),IFERROR(INDEX(EvID,MATCH(INT($C791),EvDate,0)),"(no event that day)"))))</f>
        <v/>
      </c>
      <c r="F791" s="16">
        <f>IF($H791="","",IFERROR(IF(SUMPRODUCT(MAX((WhoKW&lt;&gt;"")*ISNUMBER(SEARCH(WhoKW,INDEX(FormData,$H791,f_Who)&amp;""))*(ROW(WhoKW)-MIN(ROW(WhoKW))+1)))=0,"",INDEX(WhoVal,SUMPRODUCT(MAX((WhoKW&lt;&gt;"")*ISNUMBER(SEARCH(WhoKW,INDEX(FormData,$H791,f_Who)&amp;""))*(ROW(WhoKW)-MIN(ROW(WhoKW))+1))))),""))</f>
        <v/>
      </c>
      <c r="G791" s="14">
        <f>IF($H791="","",IF(COUNTIF(People!$U$5:$U$604,$B791)+COUNTIF(People!$U$5:$U$604,$B791&amp;"")&gt;0,"✓ logged","→ add"))</f>
        <v/>
      </c>
      <c r="H791">
        <f>IFERROR(IF(INDEX(FormData,788,f_Id)&amp;""="","",788),"")</f>
        <v/>
      </c>
      <c r="I791" s="16">
        <f>IF($H791="","",IFERROR(INDEX(FormData,$H791,f_Need)&amp;"",""))</f>
        <v/>
      </c>
    </row>
    <row r="792">
      <c r="A792" s="14" t="n">
        <v>788</v>
      </c>
      <c r="B792" s="14">
        <f>IF($H792="","",INDEX(FormData,$H792,f_Id))</f>
        <v/>
      </c>
      <c r="C792" s="15">
        <f>IF($H792="","",IFERROR(INDEX(FormData,$H792,f_Time),""))</f>
        <v/>
      </c>
      <c r="D792" s="14">
        <f>IF($H792="","",IFERROR(UPPER(LEFT(TRIM(INDEX(FormData,$H792,f_Name)),1)&amp;IFERROR(MID(TRIM(INDEX(FormData,$H792,f_Name)),FIND("^",SUBSTITUTE(TRIM(INDEX(FormData,$H792,f_Name))," ","^",LEN(TRIM(INDEX(FormData,$H792,f_Name)))-LEN(SUBSTITUTE(TRIM(INDEX(FormData,$H792,f_Name))," ",""))))+1,1),"")),""))</f>
        <v/>
      </c>
      <c r="E792" s="16">
        <f>IF($H792="","",IFERROR(INDEX(EvID,MATCH(INDEX(FormData,$H792,f_Event),EvID,0)),IFERROR(INDEX(EvID,MATCH(INDEX(FormData,$H792,f_Event),EvName,0)),IFERROR(INDEX(EvID,MATCH(INT($C792),EvDate,0)),"(no event that day)"))))</f>
        <v/>
      </c>
      <c r="F792" s="16">
        <f>IF($H792="","",IFERROR(IF(SUMPRODUCT(MAX((WhoKW&lt;&gt;"")*ISNUMBER(SEARCH(WhoKW,INDEX(FormData,$H792,f_Who)&amp;""))*(ROW(WhoKW)-MIN(ROW(WhoKW))+1)))=0,"",INDEX(WhoVal,SUMPRODUCT(MAX((WhoKW&lt;&gt;"")*ISNUMBER(SEARCH(WhoKW,INDEX(FormData,$H792,f_Who)&amp;""))*(ROW(WhoKW)-MIN(ROW(WhoKW))+1))))),""))</f>
        <v/>
      </c>
      <c r="G792" s="14">
        <f>IF($H792="","",IF(COUNTIF(People!$U$5:$U$604,$B792)+COUNTIF(People!$U$5:$U$604,$B792&amp;"")&gt;0,"✓ logged","→ add"))</f>
        <v/>
      </c>
      <c r="H792">
        <f>IFERROR(IF(INDEX(FormData,789,f_Id)&amp;""="","",789),"")</f>
        <v/>
      </c>
      <c r="I792" s="16">
        <f>IF($H792="","",IFERROR(INDEX(FormData,$H792,f_Need)&amp;"",""))</f>
        <v/>
      </c>
    </row>
    <row r="793">
      <c r="A793" s="14" t="n">
        <v>789</v>
      </c>
      <c r="B793" s="14">
        <f>IF($H793="","",INDEX(FormData,$H793,f_Id))</f>
        <v/>
      </c>
      <c r="C793" s="15">
        <f>IF($H793="","",IFERROR(INDEX(FormData,$H793,f_Time),""))</f>
        <v/>
      </c>
      <c r="D793" s="14">
        <f>IF($H793="","",IFERROR(UPPER(LEFT(TRIM(INDEX(FormData,$H793,f_Name)),1)&amp;IFERROR(MID(TRIM(INDEX(FormData,$H793,f_Name)),FIND("^",SUBSTITUTE(TRIM(INDEX(FormData,$H793,f_Name))," ","^",LEN(TRIM(INDEX(FormData,$H793,f_Name)))-LEN(SUBSTITUTE(TRIM(INDEX(FormData,$H793,f_Name))," ",""))))+1,1),"")),""))</f>
        <v/>
      </c>
      <c r="E793" s="16">
        <f>IF($H793="","",IFERROR(INDEX(EvID,MATCH(INDEX(FormData,$H793,f_Event),EvID,0)),IFERROR(INDEX(EvID,MATCH(INDEX(FormData,$H793,f_Event),EvName,0)),IFERROR(INDEX(EvID,MATCH(INT($C793),EvDate,0)),"(no event that day)"))))</f>
        <v/>
      </c>
      <c r="F793" s="16">
        <f>IF($H793="","",IFERROR(IF(SUMPRODUCT(MAX((WhoKW&lt;&gt;"")*ISNUMBER(SEARCH(WhoKW,INDEX(FormData,$H793,f_Who)&amp;""))*(ROW(WhoKW)-MIN(ROW(WhoKW))+1)))=0,"",INDEX(WhoVal,SUMPRODUCT(MAX((WhoKW&lt;&gt;"")*ISNUMBER(SEARCH(WhoKW,INDEX(FormData,$H793,f_Who)&amp;""))*(ROW(WhoKW)-MIN(ROW(WhoKW))+1))))),""))</f>
        <v/>
      </c>
      <c r="G793" s="14">
        <f>IF($H793="","",IF(COUNTIF(People!$U$5:$U$604,$B793)+COUNTIF(People!$U$5:$U$604,$B793&amp;"")&gt;0,"✓ logged","→ add"))</f>
        <v/>
      </c>
      <c r="H793">
        <f>IFERROR(IF(INDEX(FormData,790,f_Id)&amp;""="","",790),"")</f>
        <v/>
      </c>
      <c r="I793" s="16">
        <f>IF($H793="","",IFERROR(INDEX(FormData,$H793,f_Need)&amp;"",""))</f>
        <v/>
      </c>
    </row>
    <row r="794">
      <c r="A794" s="14" t="n">
        <v>790</v>
      </c>
      <c r="B794" s="14">
        <f>IF($H794="","",INDEX(FormData,$H794,f_Id))</f>
        <v/>
      </c>
      <c r="C794" s="15">
        <f>IF($H794="","",IFERROR(INDEX(FormData,$H794,f_Time),""))</f>
        <v/>
      </c>
      <c r="D794" s="14">
        <f>IF($H794="","",IFERROR(UPPER(LEFT(TRIM(INDEX(FormData,$H794,f_Name)),1)&amp;IFERROR(MID(TRIM(INDEX(FormData,$H794,f_Name)),FIND("^",SUBSTITUTE(TRIM(INDEX(FormData,$H794,f_Name))," ","^",LEN(TRIM(INDEX(FormData,$H794,f_Name)))-LEN(SUBSTITUTE(TRIM(INDEX(FormData,$H794,f_Name))," ",""))))+1,1),"")),""))</f>
        <v/>
      </c>
      <c r="E794" s="16">
        <f>IF($H794="","",IFERROR(INDEX(EvID,MATCH(INDEX(FormData,$H794,f_Event),EvID,0)),IFERROR(INDEX(EvID,MATCH(INDEX(FormData,$H794,f_Event),EvName,0)),IFERROR(INDEX(EvID,MATCH(INT($C794),EvDate,0)),"(no event that day)"))))</f>
        <v/>
      </c>
      <c r="F794" s="16">
        <f>IF($H794="","",IFERROR(IF(SUMPRODUCT(MAX((WhoKW&lt;&gt;"")*ISNUMBER(SEARCH(WhoKW,INDEX(FormData,$H794,f_Who)&amp;""))*(ROW(WhoKW)-MIN(ROW(WhoKW))+1)))=0,"",INDEX(WhoVal,SUMPRODUCT(MAX((WhoKW&lt;&gt;"")*ISNUMBER(SEARCH(WhoKW,INDEX(FormData,$H794,f_Who)&amp;""))*(ROW(WhoKW)-MIN(ROW(WhoKW))+1))))),""))</f>
        <v/>
      </c>
      <c r="G794" s="14">
        <f>IF($H794="","",IF(COUNTIF(People!$U$5:$U$604,$B794)+COUNTIF(People!$U$5:$U$604,$B794&amp;"")&gt;0,"✓ logged","→ add"))</f>
        <v/>
      </c>
      <c r="H794">
        <f>IFERROR(IF(INDEX(FormData,791,f_Id)&amp;""="","",791),"")</f>
        <v/>
      </c>
      <c r="I794" s="16">
        <f>IF($H794="","",IFERROR(INDEX(FormData,$H794,f_Need)&amp;"",""))</f>
        <v/>
      </c>
    </row>
    <row r="795">
      <c r="A795" s="14" t="n">
        <v>791</v>
      </c>
      <c r="B795" s="14">
        <f>IF($H795="","",INDEX(FormData,$H795,f_Id))</f>
        <v/>
      </c>
      <c r="C795" s="15">
        <f>IF($H795="","",IFERROR(INDEX(FormData,$H795,f_Time),""))</f>
        <v/>
      </c>
      <c r="D795" s="14">
        <f>IF($H795="","",IFERROR(UPPER(LEFT(TRIM(INDEX(FormData,$H795,f_Name)),1)&amp;IFERROR(MID(TRIM(INDEX(FormData,$H795,f_Name)),FIND("^",SUBSTITUTE(TRIM(INDEX(FormData,$H795,f_Name))," ","^",LEN(TRIM(INDEX(FormData,$H795,f_Name)))-LEN(SUBSTITUTE(TRIM(INDEX(FormData,$H795,f_Name))," ",""))))+1,1),"")),""))</f>
        <v/>
      </c>
      <c r="E795" s="16">
        <f>IF($H795="","",IFERROR(INDEX(EvID,MATCH(INDEX(FormData,$H795,f_Event),EvID,0)),IFERROR(INDEX(EvID,MATCH(INDEX(FormData,$H795,f_Event),EvName,0)),IFERROR(INDEX(EvID,MATCH(INT($C795),EvDate,0)),"(no event that day)"))))</f>
        <v/>
      </c>
      <c r="F795" s="16">
        <f>IF($H795="","",IFERROR(IF(SUMPRODUCT(MAX((WhoKW&lt;&gt;"")*ISNUMBER(SEARCH(WhoKW,INDEX(FormData,$H795,f_Who)&amp;""))*(ROW(WhoKW)-MIN(ROW(WhoKW))+1)))=0,"",INDEX(WhoVal,SUMPRODUCT(MAX((WhoKW&lt;&gt;"")*ISNUMBER(SEARCH(WhoKW,INDEX(FormData,$H795,f_Who)&amp;""))*(ROW(WhoKW)-MIN(ROW(WhoKW))+1))))),""))</f>
        <v/>
      </c>
      <c r="G795" s="14">
        <f>IF($H795="","",IF(COUNTIF(People!$U$5:$U$604,$B795)+COUNTIF(People!$U$5:$U$604,$B795&amp;"")&gt;0,"✓ logged","→ add"))</f>
        <v/>
      </c>
      <c r="H795">
        <f>IFERROR(IF(INDEX(FormData,792,f_Id)&amp;""="","",792),"")</f>
        <v/>
      </c>
      <c r="I795" s="16">
        <f>IF($H795="","",IFERROR(INDEX(FormData,$H795,f_Need)&amp;"",""))</f>
        <v/>
      </c>
    </row>
    <row r="796">
      <c r="A796" s="14" t="n">
        <v>792</v>
      </c>
      <c r="B796" s="14">
        <f>IF($H796="","",INDEX(FormData,$H796,f_Id))</f>
        <v/>
      </c>
      <c r="C796" s="15">
        <f>IF($H796="","",IFERROR(INDEX(FormData,$H796,f_Time),""))</f>
        <v/>
      </c>
      <c r="D796" s="14">
        <f>IF($H796="","",IFERROR(UPPER(LEFT(TRIM(INDEX(FormData,$H796,f_Name)),1)&amp;IFERROR(MID(TRIM(INDEX(FormData,$H796,f_Name)),FIND("^",SUBSTITUTE(TRIM(INDEX(FormData,$H796,f_Name))," ","^",LEN(TRIM(INDEX(FormData,$H796,f_Name)))-LEN(SUBSTITUTE(TRIM(INDEX(FormData,$H796,f_Name))," ",""))))+1,1),"")),""))</f>
        <v/>
      </c>
      <c r="E796" s="16">
        <f>IF($H796="","",IFERROR(INDEX(EvID,MATCH(INDEX(FormData,$H796,f_Event),EvID,0)),IFERROR(INDEX(EvID,MATCH(INDEX(FormData,$H796,f_Event),EvName,0)),IFERROR(INDEX(EvID,MATCH(INT($C796),EvDate,0)),"(no event that day)"))))</f>
        <v/>
      </c>
      <c r="F796" s="16">
        <f>IF($H796="","",IFERROR(IF(SUMPRODUCT(MAX((WhoKW&lt;&gt;"")*ISNUMBER(SEARCH(WhoKW,INDEX(FormData,$H796,f_Who)&amp;""))*(ROW(WhoKW)-MIN(ROW(WhoKW))+1)))=0,"",INDEX(WhoVal,SUMPRODUCT(MAX((WhoKW&lt;&gt;"")*ISNUMBER(SEARCH(WhoKW,INDEX(FormData,$H796,f_Who)&amp;""))*(ROW(WhoKW)-MIN(ROW(WhoKW))+1))))),""))</f>
        <v/>
      </c>
      <c r="G796" s="14">
        <f>IF($H796="","",IF(COUNTIF(People!$U$5:$U$604,$B796)+COUNTIF(People!$U$5:$U$604,$B796&amp;"")&gt;0,"✓ logged","→ add"))</f>
        <v/>
      </c>
      <c r="H796">
        <f>IFERROR(IF(INDEX(FormData,793,f_Id)&amp;""="","",793),"")</f>
        <v/>
      </c>
      <c r="I796" s="16">
        <f>IF($H796="","",IFERROR(INDEX(FormData,$H796,f_Need)&amp;"",""))</f>
        <v/>
      </c>
    </row>
    <row r="797">
      <c r="A797" s="14" t="n">
        <v>793</v>
      </c>
      <c r="B797" s="14">
        <f>IF($H797="","",INDEX(FormData,$H797,f_Id))</f>
        <v/>
      </c>
      <c r="C797" s="15">
        <f>IF($H797="","",IFERROR(INDEX(FormData,$H797,f_Time),""))</f>
        <v/>
      </c>
      <c r="D797" s="14">
        <f>IF($H797="","",IFERROR(UPPER(LEFT(TRIM(INDEX(FormData,$H797,f_Name)),1)&amp;IFERROR(MID(TRIM(INDEX(FormData,$H797,f_Name)),FIND("^",SUBSTITUTE(TRIM(INDEX(FormData,$H797,f_Name))," ","^",LEN(TRIM(INDEX(FormData,$H797,f_Name)))-LEN(SUBSTITUTE(TRIM(INDEX(FormData,$H797,f_Name))," ",""))))+1,1),"")),""))</f>
        <v/>
      </c>
      <c r="E797" s="16">
        <f>IF($H797="","",IFERROR(INDEX(EvID,MATCH(INDEX(FormData,$H797,f_Event),EvID,0)),IFERROR(INDEX(EvID,MATCH(INDEX(FormData,$H797,f_Event),EvName,0)),IFERROR(INDEX(EvID,MATCH(INT($C797),EvDate,0)),"(no event that day)"))))</f>
        <v/>
      </c>
      <c r="F797" s="16">
        <f>IF($H797="","",IFERROR(IF(SUMPRODUCT(MAX((WhoKW&lt;&gt;"")*ISNUMBER(SEARCH(WhoKW,INDEX(FormData,$H797,f_Who)&amp;""))*(ROW(WhoKW)-MIN(ROW(WhoKW))+1)))=0,"",INDEX(WhoVal,SUMPRODUCT(MAX((WhoKW&lt;&gt;"")*ISNUMBER(SEARCH(WhoKW,INDEX(FormData,$H797,f_Who)&amp;""))*(ROW(WhoKW)-MIN(ROW(WhoKW))+1))))),""))</f>
        <v/>
      </c>
      <c r="G797" s="14">
        <f>IF($H797="","",IF(COUNTIF(People!$U$5:$U$604,$B797)+COUNTIF(People!$U$5:$U$604,$B797&amp;"")&gt;0,"✓ logged","→ add"))</f>
        <v/>
      </c>
      <c r="H797">
        <f>IFERROR(IF(INDEX(FormData,794,f_Id)&amp;""="","",794),"")</f>
        <v/>
      </c>
      <c r="I797" s="16">
        <f>IF($H797="","",IFERROR(INDEX(FormData,$H797,f_Need)&amp;"",""))</f>
        <v/>
      </c>
    </row>
    <row r="798">
      <c r="A798" s="14" t="n">
        <v>794</v>
      </c>
      <c r="B798" s="14">
        <f>IF($H798="","",INDEX(FormData,$H798,f_Id))</f>
        <v/>
      </c>
      <c r="C798" s="15">
        <f>IF($H798="","",IFERROR(INDEX(FormData,$H798,f_Time),""))</f>
        <v/>
      </c>
      <c r="D798" s="14">
        <f>IF($H798="","",IFERROR(UPPER(LEFT(TRIM(INDEX(FormData,$H798,f_Name)),1)&amp;IFERROR(MID(TRIM(INDEX(FormData,$H798,f_Name)),FIND("^",SUBSTITUTE(TRIM(INDEX(FormData,$H798,f_Name))," ","^",LEN(TRIM(INDEX(FormData,$H798,f_Name)))-LEN(SUBSTITUTE(TRIM(INDEX(FormData,$H798,f_Name))," ",""))))+1,1),"")),""))</f>
        <v/>
      </c>
      <c r="E798" s="16">
        <f>IF($H798="","",IFERROR(INDEX(EvID,MATCH(INDEX(FormData,$H798,f_Event),EvID,0)),IFERROR(INDEX(EvID,MATCH(INDEX(FormData,$H798,f_Event),EvName,0)),IFERROR(INDEX(EvID,MATCH(INT($C798),EvDate,0)),"(no event that day)"))))</f>
        <v/>
      </c>
      <c r="F798" s="16">
        <f>IF($H798="","",IFERROR(IF(SUMPRODUCT(MAX((WhoKW&lt;&gt;"")*ISNUMBER(SEARCH(WhoKW,INDEX(FormData,$H798,f_Who)&amp;""))*(ROW(WhoKW)-MIN(ROW(WhoKW))+1)))=0,"",INDEX(WhoVal,SUMPRODUCT(MAX((WhoKW&lt;&gt;"")*ISNUMBER(SEARCH(WhoKW,INDEX(FormData,$H798,f_Who)&amp;""))*(ROW(WhoKW)-MIN(ROW(WhoKW))+1))))),""))</f>
        <v/>
      </c>
      <c r="G798" s="14">
        <f>IF($H798="","",IF(COUNTIF(People!$U$5:$U$604,$B798)+COUNTIF(People!$U$5:$U$604,$B798&amp;"")&gt;0,"✓ logged","→ add"))</f>
        <v/>
      </c>
      <c r="H798">
        <f>IFERROR(IF(INDEX(FormData,795,f_Id)&amp;""="","",795),"")</f>
        <v/>
      </c>
      <c r="I798" s="16">
        <f>IF($H798="","",IFERROR(INDEX(FormData,$H798,f_Need)&amp;"",""))</f>
        <v/>
      </c>
    </row>
    <row r="799">
      <c r="A799" s="14" t="n">
        <v>795</v>
      </c>
      <c r="B799" s="14">
        <f>IF($H799="","",INDEX(FormData,$H799,f_Id))</f>
        <v/>
      </c>
      <c r="C799" s="15">
        <f>IF($H799="","",IFERROR(INDEX(FormData,$H799,f_Time),""))</f>
        <v/>
      </c>
      <c r="D799" s="14">
        <f>IF($H799="","",IFERROR(UPPER(LEFT(TRIM(INDEX(FormData,$H799,f_Name)),1)&amp;IFERROR(MID(TRIM(INDEX(FormData,$H799,f_Name)),FIND("^",SUBSTITUTE(TRIM(INDEX(FormData,$H799,f_Name))," ","^",LEN(TRIM(INDEX(FormData,$H799,f_Name)))-LEN(SUBSTITUTE(TRIM(INDEX(FormData,$H799,f_Name))," ",""))))+1,1),"")),""))</f>
        <v/>
      </c>
      <c r="E799" s="16">
        <f>IF($H799="","",IFERROR(INDEX(EvID,MATCH(INDEX(FormData,$H799,f_Event),EvID,0)),IFERROR(INDEX(EvID,MATCH(INDEX(FormData,$H799,f_Event),EvName,0)),IFERROR(INDEX(EvID,MATCH(INT($C799),EvDate,0)),"(no event that day)"))))</f>
        <v/>
      </c>
      <c r="F799" s="16">
        <f>IF($H799="","",IFERROR(IF(SUMPRODUCT(MAX((WhoKW&lt;&gt;"")*ISNUMBER(SEARCH(WhoKW,INDEX(FormData,$H799,f_Who)&amp;""))*(ROW(WhoKW)-MIN(ROW(WhoKW))+1)))=0,"",INDEX(WhoVal,SUMPRODUCT(MAX((WhoKW&lt;&gt;"")*ISNUMBER(SEARCH(WhoKW,INDEX(FormData,$H799,f_Who)&amp;""))*(ROW(WhoKW)-MIN(ROW(WhoKW))+1))))),""))</f>
        <v/>
      </c>
      <c r="G799" s="14">
        <f>IF($H799="","",IF(COUNTIF(People!$U$5:$U$604,$B799)+COUNTIF(People!$U$5:$U$604,$B799&amp;"")&gt;0,"✓ logged","→ add"))</f>
        <v/>
      </c>
      <c r="H799">
        <f>IFERROR(IF(INDEX(FormData,796,f_Id)&amp;""="","",796),"")</f>
        <v/>
      </c>
      <c r="I799" s="16">
        <f>IF($H799="","",IFERROR(INDEX(FormData,$H799,f_Need)&amp;"",""))</f>
        <v/>
      </c>
    </row>
    <row r="800">
      <c r="A800" s="14" t="n">
        <v>796</v>
      </c>
      <c r="B800" s="14">
        <f>IF($H800="","",INDEX(FormData,$H800,f_Id))</f>
        <v/>
      </c>
      <c r="C800" s="15">
        <f>IF($H800="","",IFERROR(INDEX(FormData,$H800,f_Time),""))</f>
        <v/>
      </c>
      <c r="D800" s="14">
        <f>IF($H800="","",IFERROR(UPPER(LEFT(TRIM(INDEX(FormData,$H800,f_Name)),1)&amp;IFERROR(MID(TRIM(INDEX(FormData,$H800,f_Name)),FIND("^",SUBSTITUTE(TRIM(INDEX(FormData,$H800,f_Name))," ","^",LEN(TRIM(INDEX(FormData,$H800,f_Name)))-LEN(SUBSTITUTE(TRIM(INDEX(FormData,$H800,f_Name))," ",""))))+1,1),"")),""))</f>
        <v/>
      </c>
      <c r="E800" s="16">
        <f>IF($H800="","",IFERROR(INDEX(EvID,MATCH(INDEX(FormData,$H800,f_Event),EvID,0)),IFERROR(INDEX(EvID,MATCH(INDEX(FormData,$H800,f_Event),EvName,0)),IFERROR(INDEX(EvID,MATCH(INT($C800),EvDate,0)),"(no event that day)"))))</f>
        <v/>
      </c>
      <c r="F800" s="16">
        <f>IF($H800="","",IFERROR(IF(SUMPRODUCT(MAX((WhoKW&lt;&gt;"")*ISNUMBER(SEARCH(WhoKW,INDEX(FormData,$H800,f_Who)&amp;""))*(ROW(WhoKW)-MIN(ROW(WhoKW))+1)))=0,"",INDEX(WhoVal,SUMPRODUCT(MAX((WhoKW&lt;&gt;"")*ISNUMBER(SEARCH(WhoKW,INDEX(FormData,$H800,f_Who)&amp;""))*(ROW(WhoKW)-MIN(ROW(WhoKW))+1))))),""))</f>
        <v/>
      </c>
      <c r="G800" s="14">
        <f>IF($H800="","",IF(COUNTIF(People!$U$5:$U$604,$B800)+COUNTIF(People!$U$5:$U$604,$B800&amp;"")&gt;0,"✓ logged","→ add"))</f>
        <v/>
      </c>
      <c r="H800">
        <f>IFERROR(IF(INDEX(FormData,797,f_Id)&amp;""="","",797),"")</f>
        <v/>
      </c>
      <c r="I800" s="16">
        <f>IF($H800="","",IFERROR(INDEX(FormData,$H800,f_Need)&amp;"",""))</f>
        <v/>
      </c>
    </row>
    <row r="801">
      <c r="A801" s="14" t="n">
        <v>797</v>
      </c>
      <c r="B801" s="14">
        <f>IF($H801="","",INDEX(FormData,$H801,f_Id))</f>
        <v/>
      </c>
      <c r="C801" s="15">
        <f>IF($H801="","",IFERROR(INDEX(FormData,$H801,f_Time),""))</f>
        <v/>
      </c>
      <c r="D801" s="14">
        <f>IF($H801="","",IFERROR(UPPER(LEFT(TRIM(INDEX(FormData,$H801,f_Name)),1)&amp;IFERROR(MID(TRIM(INDEX(FormData,$H801,f_Name)),FIND("^",SUBSTITUTE(TRIM(INDEX(FormData,$H801,f_Name))," ","^",LEN(TRIM(INDEX(FormData,$H801,f_Name)))-LEN(SUBSTITUTE(TRIM(INDEX(FormData,$H801,f_Name))," ",""))))+1,1),"")),""))</f>
        <v/>
      </c>
      <c r="E801" s="16">
        <f>IF($H801="","",IFERROR(INDEX(EvID,MATCH(INDEX(FormData,$H801,f_Event),EvID,0)),IFERROR(INDEX(EvID,MATCH(INDEX(FormData,$H801,f_Event),EvName,0)),IFERROR(INDEX(EvID,MATCH(INT($C801),EvDate,0)),"(no event that day)"))))</f>
        <v/>
      </c>
      <c r="F801" s="16">
        <f>IF($H801="","",IFERROR(IF(SUMPRODUCT(MAX((WhoKW&lt;&gt;"")*ISNUMBER(SEARCH(WhoKW,INDEX(FormData,$H801,f_Who)&amp;""))*(ROW(WhoKW)-MIN(ROW(WhoKW))+1)))=0,"",INDEX(WhoVal,SUMPRODUCT(MAX((WhoKW&lt;&gt;"")*ISNUMBER(SEARCH(WhoKW,INDEX(FormData,$H801,f_Who)&amp;""))*(ROW(WhoKW)-MIN(ROW(WhoKW))+1))))),""))</f>
        <v/>
      </c>
      <c r="G801" s="14">
        <f>IF($H801="","",IF(COUNTIF(People!$U$5:$U$604,$B801)+COUNTIF(People!$U$5:$U$604,$B801&amp;"")&gt;0,"✓ logged","→ add"))</f>
        <v/>
      </c>
      <c r="H801">
        <f>IFERROR(IF(INDEX(FormData,798,f_Id)&amp;""="","",798),"")</f>
        <v/>
      </c>
      <c r="I801" s="16">
        <f>IF($H801="","",IFERROR(INDEX(FormData,$H801,f_Need)&amp;"",""))</f>
        <v/>
      </c>
    </row>
    <row r="802">
      <c r="A802" s="14" t="n">
        <v>798</v>
      </c>
      <c r="B802" s="14">
        <f>IF($H802="","",INDEX(FormData,$H802,f_Id))</f>
        <v/>
      </c>
      <c r="C802" s="15">
        <f>IF($H802="","",IFERROR(INDEX(FormData,$H802,f_Time),""))</f>
        <v/>
      </c>
      <c r="D802" s="14">
        <f>IF($H802="","",IFERROR(UPPER(LEFT(TRIM(INDEX(FormData,$H802,f_Name)),1)&amp;IFERROR(MID(TRIM(INDEX(FormData,$H802,f_Name)),FIND("^",SUBSTITUTE(TRIM(INDEX(FormData,$H802,f_Name))," ","^",LEN(TRIM(INDEX(FormData,$H802,f_Name)))-LEN(SUBSTITUTE(TRIM(INDEX(FormData,$H802,f_Name))," ",""))))+1,1),"")),""))</f>
        <v/>
      </c>
      <c r="E802" s="16">
        <f>IF($H802="","",IFERROR(INDEX(EvID,MATCH(INDEX(FormData,$H802,f_Event),EvID,0)),IFERROR(INDEX(EvID,MATCH(INDEX(FormData,$H802,f_Event),EvName,0)),IFERROR(INDEX(EvID,MATCH(INT($C802),EvDate,0)),"(no event that day)"))))</f>
        <v/>
      </c>
      <c r="F802" s="16">
        <f>IF($H802="","",IFERROR(IF(SUMPRODUCT(MAX((WhoKW&lt;&gt;"")*ISNUMBER(SEARCH(WhoKW,INDEX(FormData,$H802,f_Who)&amp;""))*(ROW(WhoKW)-MIN(ROW(WhoKW))+1)))=0,"",INDEX(WhoVal,SUMPRODUCT(MAX((WhoKW&lt;&gt;"")*ISNUMBER(SEARCH(WhoKW,INDEX(FormData,$H802,f_Who)&amp;""))*(ROW(WhoKW)-MIN(ROW(WhoKW))+1))))),""))</f>
        <v/>
      </c>
      <c r="G802" s="14">
        <f>IF($H802="","",IF(COUNTIF(People!$U$5:$U$604,$B802)+COUNTIF(People!$U$5:$U$604,$B802&amp;"")&gt;0,"✓ logged","→ add"))</f>
        <v/>
      </c>
      <c r="H802">
        <f>IFERROR(IF(INDEX(FormData,799,f_Id)&amp;""="","",799),"")</f>
        <v/>
      </c>
      <c r="I802" s="16">
        <f>IF($H802="","",IFERROR(INDEX(FormData,$H802,f_Need)&amp;"",""))</f>
        <v/>
      </c>
    </row>
    <row r="803">
      <c r="A803" s="14" t="n">
        <v>799</v>
      </c>
      <c r="B803" s="14">
        <f>IF($H803="","",INDEX(FormData,$H803,f_Id))</f>
        <v/>
      </c>
      <c r="C803" s="15">
        <f>IF($H803="","",IFERROR(INDEX(FormData,$H803,f_Time),""))</f>
        <v/>
      </c>
      <c r="D803" s="14">
        <f>IF($H803="","",IFERROR(UPPER(LEFT(TRIM(INDEX(FormData,$H803,f_Name)),1)&amp;IFERROR(MID(TRIM(INDEX(FormData,$H803,f_Name)),FIND("^",SUBSTITUTE(TRIM(INDEX(FormData,$H803,f_Name))," ","^",LEN(TRIM(INDEX(FormData,$H803,f_Name)))-LEN(SUBSTITUTE(TRIM(INDEX(FormData,$H803,f_Name))," ",""))))+1,1),"")),""))</f>
        <v/>
      </c>
      <c r="E803" s="16">
        <f>IF($H803="","",IFERROR(INDEX(EvID,MATCH(INDEX(FormData,$H803,f_Event),EvID,0)),IFERROR(INDEX(EvID,MATCH(INDEX(FormData,$H803,f_Event),EvName,0)),IFERROR(INDEX(EvID,MATCH(INT($C803),EvDate,0)),"(no event that day)"))))</f>
        <v/>
      </c>
      <c r="F803" s="16">
        <f>IF($H803="","",IFERROR(IF(SUMPRODUCT(MAX((WhoKW&lt;&gt;"")*ISNUMBER(SEARCH(WhoKW,INDEX(FormData,$H803,f_Who)&amp;""))*(ROW(WhoKW)-MIN(ROW(WhoKW))+1)))=0,"",INDEX(WhoVal,SUMPRODUCT(MAX((WhoKW&lt;&gt;"")*ISNUMBER(SEARCH(WhoKW,INDEX(FormData,$H803,f_Who)&amp;""))*(ROW(WhoKW)-MIN(ROW(WhoKW))+1))))),""))</f>
        <v/>
      </c>
      <c r="G803" s="14">
        <f>IF($H803="","",IF(COUNTIF(People!$U$5:$U$604,$B803)+COUNTIF(People!$U$5:$U$604,$B803&amp;"")&gt;0,"✓ logged","→ add"))</f>
        <v/>
      </c>
      <c r="H803">
        <f>IFERROR(IF(INDEX(FormData,800,f_Id)&amp;""="","",800),"")</f>
        <v/>
      </c>
      <c r="I803" s="16">
        <f>IF($H803="","",IFERROR(INDEX(FormData,$H803,f_Need)&amp;"",""))</f>
        <v/>
      </c>
    </row>
    <row r="804">
      <c r="A804" s="14" t="n">
        <v>800</v>
      </c>
      <c r="B804" s="14">
        <f>IF($H804="","",INDEX(FormData,$H804,f_Id))</f>
        <v/>
      </c>
      <c r="C804" s="15">
        <f>IF($H804="","",IFERROR(INDEX(FormData,$H804,f_Time),""))</f>
        <v/>
      </c>
      <c r="D804" s="14">
        <f>IF($H804="","",IFERROR(UPPER(LEFT(TRIM(INDEX(FormData,$H804,f_Name)),1)&amp;IFERROR(MID(TRIM(INDEX(FormData,$H804,f_Name)),FIND("^",SUBSTITUTE(TRIM(INDEX(FormData,$H804,f_Name))," ","^",LEN(TRIM(INDEX(FormData,$H804,f_Name)))-LEN(SUBSTITUTE(TRIM(INDEX(FormData,$H804,f_Name))," ",""))))+1,1),"")),""))</f>
        <v/>
      </c>
      <c r="E804" s="16">
        <f>IF($H804="","",IFERROR(INDEX(EvID,MATCH(INDEX(FormData,$H804,f_Event),EvID,0)),IFERROR(INDEX(EvID,MATCH(INDEX(FormData,$H804,f_Event),EvName,0)),IFERROR(INDEX(EvID,MATCH(INT($C804),EvDate,0)),"(no event that day)"))))</f>
        <v/>
      </c>
      <c r="F804" s="16">
        <f>IF($H804="","",IFERROR(IF(SUMPRODUCT(MAX((WhoKW&lt;&gt;"")*ISNUMBER(SEARCH(WhoKW,INDEX(FormData,$H804,f_Who)&amp;""))*(ROW(WhoKW)-MIN(ROW(WhoKW))+1)))=0,"",INDEX(WhoVal,SUMPRODUCT(MAX((WhoKW&lt;&gt;"")*ISNUMBER(SEARCH(WhoKW,INDEX(FormData,$H804,f_Who)&amp;""))*(ROW(WhoKW)-MIN(ROW(WhoKW))+1))))),""))</f>
        <v/>
      </c>
      <c r="G804" s="14">
        <f>IF($H804="","",IF(COUNTIF(People!$U$5:$U$604,$B804)+COUNTIF(People!$U$5:$U$604,$B804&amp;"")&gt;0,"✓ logged","→ add"))</f>
        <v/>
      </c>
      <c r="H804">
        <f>IFERROR(IF(INDEX(FormData,801,f_Id)&amp;""="","",801),"")</f>
        <v/>
      </c>
      <c r="I804" s="16">
        <f>IF($H804="","",IFERROR(INDEX(FormData,$H804,f_Need)&amp;"",""))</f>
        <v/>
      </c>
    </row>
    <row r="805">
      <c r="A805" s="14" t="n">
        <v>801</v>
      </c>
      <c r="B805" s="14">
        <f>IF($H805="","",INDEX(FormData,$H805,f_Id))</f>
        <v/>
      </c>
      <c r="C805" s="15">
        <f>IF($H805="","",IFERROR(INDEX(FormData,$H805,f_Time),""))</f>
        <v/>
      </c>
      <c r="D805" s="14">
        <f>IF($H805="","",IFERROR(UPPER(LEFT(TRIM(INDEX(FormData,$H805,f_Name)),1)&amp;IFERROR(MID(TRIM(INDEX(FormData,$H805,f_Name)),FIND("^",SUBSTITUTE(TRIM(INDEX(FormData,$H805,f_Name))," ","^",LEN(TRIM(INDEX(FormData,$H805,f_Name)))-LEN(SUBSTITUTE(TRIM(INDEX(FormData,$H805,f_Name))," ",""))))+1,1),"")),""))</f>
        <v/>
      </c>
      <c r="E805" s="16">
        <f>IF($H805="","",IFERROR(INDEX(EvID,MATCH(INDEX(FormData,$H805,f_Event),EvID,0)),IFERROR(INDEX(EvID,MATCH(INDEX(FormData,$H805,f_Event),EvName,0)),IFERROR(INDEX(EvID,MATCH(INT($C805),EvDate,0)),"(no event that day)"))))</f>
        <v/>
      </c>
      <c r="F805" s="16">
        <f>IF($H805="","",IFERROR(IF(SUMPRODUCT(MAX((WhoKW&lt;&gt;"")*ISNUMBER(SEARCH(WhoKW,INDEX(FormData,$H805,f_Who)&amp;""))*(ROW(WhoKW)-MIN(ROW(WhoKW))+1)))=0,"",INDEX(WhoVal,SUMPRODUCT(MAX((WhoKW&lt;&gt;"")*ISNUMBER(SEARCH(WhoKW,INDEX(FormData,$H805,f_Who)&amp;""))*(ROW(WhoKW)-MIN(ROW(WhoKW))+1))))),""))</f>
        <v/>
      </c>
      <c r="G805" s="14">
        <f>IF($H805="","",IF(COUNTIF(People!$U$5:$U$604,$B805)+COUNTIF(People!$U$5:$U$604,$B805&amp;"")&gt;0,"✓ logged","→ add"))</f>
        <v/>
      </c>
      <c r="H805">
        <f>IFERROR(IF(INDEX(FormData,802,f_Id)&amp;""="","",802),"")</f>
        <v/>
      </c>
      <c r="I805" s="16">
        <f>IF($H805="","",IFERROR(INDEX(FormData,$H805,f_Need)&amp;"",""))</f>
        <v/>
      </c>
    </row>
    <row r="806">
      <c r="A806" s="14" t="n">
        <v>802</v>
      </c>
      <c r="B806" s="14">
        <f>IF($H806="","",INDEX(FormData,$H806,f_Id))</f>
        <v/>
      </c>
      <c r="C806" s="15">
        <f>IF($H806="","",IFERROR(INDEX(FormData,$H806,f_Time),""))</f>
        <v/>
      </c>
      <c r="D806" s="14">
        <f>IF($H806="","",IFERROR(UPPER(LEFT(TRIM(INDEX(FormData,$H806,f_Name)),1)&amp;IFERROR(MID(TRIM(INDEX(FormData,$H806,f_Name)),FIND("^",SUBSTITUTE(TRIM(INDEX(FormData,$H806,f_Name))," ","^",LEN(TRIM(INDEX(FormData,$H806,f_Name)))-LEN(SUBSTITUTE(TRIM(INDEX(FormData,$H806,f_Name))," ",""))))+1,1),"")),""))</f>
        <v/>
      </c>
      <c r="E806" s="16">
        <f>IF($H806="","",IFERROR(INDEX(EvID,MATCH(INDEX(FormData,$H806,f_Event),EvID,0)),IFERROR(INDEX(EvID,MATCH(INDEX(FormData,$H806,f_Event),EvName,0)),IFERROR(INDEX(EvID,MATCH(INT($C806),EvDate,0)),"(no event that day)"))))</f>
        <v/>
      </c>
      <c r="F806" s="16">
        <f>IF($H806="","",IFERROR(IF(SUMPRODUCT(MAX((WhoKW&lt;&gt;"")*ISNUMBER(SEARCH(WhoKW,INDEX(FormData,$H806,f_Who)&amp;""))*(ROW(WhoKW)-MIN(ROW(WhoKW))+1)))=0,"",INDEX(WhoVal,SUMPRODUCT(MAX((WhoKW&lt;&gt;"")*ISNUMBER(SEARCH(WhoKW,INDEX(FormData,$H806,f_Who)&amp;""))*(ROW(WhoKW)-MIN(ROW(WhoKW))+1))))),""))</f>
        <v/>
      </c>
      <c r="G806" s="14">
        <f>IF($H806="","",IF(COUNTIF(People!$U$5:$U$604,$B806)+COUNTIF(People!$U$5:$U$604,$B806&amp;"")&gt;0,"✓ logged","→ add"))</f>
        <v/>
      </c>
      <c r="H806">
        <f>IFERROR(IF(INDEX(FormData,803,f_Id)&amp;""="","",803),"")</f>
        <v/>
      </c>
      <c r="I806" s="16">
        <f>IF($H806="","",IFERROR(INDEX(FormData,$H806,f_Need)&amp;"",""))</f>
        <v/>
      </c>
    </row>
    <row r="807">
      <c r="A807" s="14" t="n">
        <v>803</v>
      </c>
      <c r="B807" s="14">
        <f>IF($H807="","",INDEX(FormData,$H807,f_Id))</f>
        <v/>
      </c>
      <c r="C807" s="15">
        <f>IF($H807="","",IFERROR(INDEX(FormData,$H807,f_Time),""))</f>
        <v/>
      </c>
      <c r="D807" s="14">
        <f>IF($H807="","",IFERROR(UPPER(LEFT(TRIM(INDEX(FormData,$H807,f_Name)),1)&amp;IFERROR(MID(TRIM(INDEX(FormData,$H807,f_Name)),FIND("^",SUBSTITUTE(TRIM(INDEX(FormData,$H807,f_Name))," ","^",LEN(TRIM(INDEX(FormData,$H807,f_Name)))-LEN(SUBSTITUTE(TRIM(INDEX(FormData,$H807,f_Name))," ",""))))+1,1),"")),""))</f>
        <v/>
      </c>
      <c r="E807" s="16">
        <f>IF($H807="","",IFERROR(INDEX(EvID,MATCH(INDEX(FormData,$H807,f_Event),EvID,0)),IFERROR(INDEX(EvID,MATCH(INDEX(FormData,$H807,f_Event),EvName,0)),IFERROR(INDEX(EvID,MATCH(INT($C807),EvDate,0)),"(no event that day)"))))</f>
        <v/>
      </c>
      <c r="F807" s="16">
        <f>IF($H807="","",IFERROR(IF(SUMPRODUCT(MAX((WhoKW&lt;&gt;"")*ISNUMBER(SEARCH(WhoKW,INDEX(FormData,$H807,f_Who)&amp;""))*(ROW(WhoKW)-MIN(ROW(WhoKW))+1)))=0,"",INDEX(WhoVal,SUMPRODUCT(MAX((WhoKW&lt;&gt;"")*ISNUMBER(SEARCH(WhoKW,INDEX(FormData,$H807,f_Who)&amp;""))*(ROW(WhoKW)-MIN(ROW(WhoKW))+1))))),""))</f>
        <v/>
      </c>
      <c r="G807" s="14">
        <f>IF($H807="","",IF(COUNTIF(People!$U$5:$U$604,$B807)+COUNTIF(People!$U$5:$U$604,$B807&amp;"")&gt;0,"✓ logged","→ add"))</f>
        <v/>
      </c>
      <c r="H807">
        <f>IFERROR(IF(INDEX(FormData,804,f_Id)&amp;""="","",804),"")</f>
        <v/>
      </c>
      <c r="I807" s="16">
        <f>IF($H807="","",IFERROR(INDEX(FormData,$H807,f_Need)&amp;"",""))</f>
        <v/>
      </c>
    </row>
    <row r="808">
      <c r="A808" s="14" t="n">
        <v>804</v>
      </c>
      <c r="B808" s="14">
        <f>IF($H808="","",INDEX(FormData,$H808,f_Id))</f>
        <v/>
      </c>
      <c r="C808" s="15">
        <f>IF($H808="","",IFERROR(INDEX(FormData,$H808,f_Time),""))</f>
        <v/>
      </c>
      <c r="D808" s="14">
        <f>IF($H808="","",IFERROR(UPPER(LEFT(TRIM(INDEX(FormData,$H808,f_Name)),1)&amp;IFERROR(MID(TRIM(INDEX(FormData,$H808,f_Name)),FIND("^",SUBSTITUTE(TRIM(INDEX(FormData,$H808,f_Name))," ","^",LEN(TRIM(INDEX(FormData,$H808,f_Name)))-LEN(SUBSTITUTE(TRIM(INDEX(FormData,$H808,f_Name))," ",""))))+1,1),"")),""))</f>
        <v/>
      </c>
      <c r="E808" s="16">
        <f>IF($H808="","",IFERROR(INDEX(EvID,MATCH(INDEX(FormData,$H808,f_Event),EvID,0)),IFERROR(INDEX(EvID,MATCH(INDEX(FormData,$H808,f_Event),EvName,0)),IFERROR(INDEX(EvID,MATCH(INT($C808),EvDate,0)),"(no event that day)"))))</f>
        <v/>
      </c>
      <c r="F808" s="16">
        <f>IF($H808="","",IFERROR(IF(SUMPRODUCT(MAX((WhoKW&lt;&gt;"")*ISNUMBER(SEARCH(WhoKW,INDEX(FormData,$H808,f_Who)&amp;""))*(ROW(WhoKW)-MIN(ROW(WhoKW))+1)))=0,"",INDEX(WhoVal,SUMPRODUCT(MAX((WhoKW&lt;&gt;"")*ISNUMBER(SEARCH(WhoKW,INDEX(FormData,$H808,f_Who)&amp;""))*(ROW(WhoKW)-MIN(ROW(WhoKW))+1))))),""))</f>
        <v/>
      </c>
      <c r="G808" s="14">
        <f>IF($H808="","",IF(COUNTIF(People!$U$5:$U$604,$B808)+COUNTIF(People!$U$5:$U$604,$B808&amp;"")&gt;0,"✓ logged","→ add"))</f>
        <v/>
      </c>
      <c r="H808">
        <f>IFERROR(IF(INDEX(FormData,805,f_Id)&amp;""="","",805),"")</f>
        <v/>
      </c>
      <c r="I808" s="16">
        <f>IF($H808="","",IFERROR(INDEX(FormData,$H808,f_Need)&amp;"",""))</f>
        <v/>
      </c>
    </row>
    <row r="809">
      <c r="A809" s="14" t="n">
        <v>805</v>
      </c>
      <c r="B809" s="14">
        <f>IF($H809="","",INDEX(FormData,$H809,f_Id))</f>
        <v/>
      </c>
      <c r="C809" s="15">
        <f>IF($H809="","",IFERROR(INDEX(FormData,$H809,f_Time),""))</f>
        <v/>
      </c>
      <c r="D809" s="14">
        <f>IF($H809="","",IFERROR(UPPER(LEFT(TRIM(INDEX(FormData,$H809,f_Name)),1)&amp;IFERROR(MID(TRIM(INDEX(FormData,$H809,f_Name)),FIND("^",SUBSTITUTE(TRIM(INDEX(FormData,$H809,f_Name))," ","^",LEN(TRIM(INDEX(FormData,$H809,f_Name)))-LEN(SUBSTITUTE(TRIM(INDEX(FormData,$H809,f_Name))," ",""))))+1,1),"")),""))</f>
        <v/>
      </c>
      <c r="E809" s="16">
        <f>IF($H809="","",IFERROR(INDEX(EvID,MATCH(INDEX(FormData,$H809,f_Event),EvID,0)),IFERROR(INDEX(EvID,MATCH(INDEX(FormData,$H809,f_Event),EvName,0)),IFERROR(INDEX(EvID,MATCH(INT($C809),EvDate,0)),"(no event that day)"))))</f>
        <v/>
      </c>
      <c r="F809" s="16">
        <f>IF($H809="","",IFERROR(IF(SUMPRODUCT(MAX((WhoKW&lt;&gt;"")*ISNUMBER(SEARCH(WhoKW,INDEX(FormData,$H809,f_Who)&amp;""))*(ROW(WhoKW)-MIN(ROW(WhoKW))+1)))=0,"",INDEX(WhoVal,SUMPRODUCT(MAX((WhoKW&lt;&gt;"")*ISNUMBER(SEARCH(WhoKW,INDEX(FormData,$H809,f_Who)&amp;""))*(ROW(WhoKW)-MIN(ROW(WhoKW))+1))))),""))</f>
        <v/>
      </c>
      <c r="G809" s="14">
        <f>IF($H809="","",IF(COUNTIF(People!$U$5:$U$604,$B809)+COUNTIF(People!$U$5:$U$604,$B809&amp;"")&gt;0,"✓ logged","→ add"))</f>
        <v/>
      </c>
      <c r="H809">
        <f>IFERROR(IF(INDEX(FormData,806,f_Id)&amp;""="","",806),"")</f>
        <v/>
      </c>
      <c r="I809" s="16">
        <f>IF($H809="","",IFERROR(INDEX(FormData,$H809,f_Need)&amp;"",""))</f>
        <v/>
      </c>
    </row>
    <row r="810">
      <c r="A810" s="14" t="n">
        <v>806</v>
      </c>
      <c r="B810" s="14">
        <f>IF($H810="","",INDEX(FormData,$H810,f_Id))</f>
        <v/>
      </c>
      <c r="C810" s="15">
        <f>IF($H810="","",IFERROR(INDEX(FormData,$H810,f_Time),""))</f>
        <v/>
      </c>
      <c r="D810" s="14">
        <f>IF($H810="","",IFERROR(UPPER(LEFT(TRIM(INDEX(FormData,$H810,f_Name)),1)&amp;IFERROR(MID(TRIM(INDEX(FormData,$H810,f_Name)),FIND("^",SUBSTITUTE(TRIM(INDEX(FormData,$H810,f_Name))," ","^",LEN(TRIM(INDEX(FormData,$H810,f_Name)))-LEN(SUBSTITUTE(TRIM(INDEX(FormData,$H810,f_Name))," ",""))))+1,1),"")),""))</f>
        <v/>
      </c>
      <c r="E810" s="16">
        <f>IF($H810="","",IFERROR(INDEX(EvID,MATCH(INDEX(FormData,$H810,f_Event),EvID,0)),IFERROR(INDEX(EvID,MATCH(INDEX(FormData,$H810,f_Event),EvName,0)),IFERROR(INDEX(EvID,MATCH(INT($C810),EvDate,0)),"(no event that day)"))))</f>
        <v/>
      </c>
      <c r="F810" s="16">
        <f>IF($H810="","",IFERROR(IF(SUMPRODUCT(MAX((WhoKW&lt;&gt;"")*ISNUMBER(SEARCH(WhoKW,INDEX(FormData,$H810,f_Who)&amp;""))*(ROW(WhoKW)-MIN(ROW(WhoKW))+1)))=0,"",INDEX(WhoVal,SUMPRODUCT(MAX((WhoKW&lt;&gt;"")*ISNUMBER(SEARCH(WhoKW,INDEX(FormData,$H810,f_Who)&amp;""))*(ROW(WhoKW)-MIN(ROW(WhoKW))+1))))),""))</f>
        <v/>
      </c>
      <c r="G810" s="14">
        <f>IF($H810="","",IF(COUNTIF(People!$U$5:$U$604,$B810)+COUNTIF(People!$U$5:$U$604,$B810&amp;"")&gt;0,"✓ logged","→ add"))</f>
        <v/>
      </c>
      <c r="H810">
        <f>IFERROR(IF(INDEX(FormData,807,f_Id)&amp;""="","",807),"")</f>
        <v/>
      </c>
      <c r="I810" s="16">
        <f>IF($H810="","",IFERROR(INDEX(FormData,$H810,f_Need)&amp;"",""))</f>
        <v/>
      </c>
    </row>
    <row r="811">
      <c r="A811" s="14" t="n">
        <v>807</v>
      </c>
      <c r="B811" s="14">
        <f>IF($H811="","",INDEX(FormData,$H811,f_Id))</f>
        <v/>
      </c>
      <c r="C811" s="15">
        <f>IF($H811="","",IFERROR(INDEX(FormData,$H811,f_Time),""))</f>
        <v/>
      </c>
      <c r="D811" s="14">
        <f>IF($H811="","",IFERROR(UPPER(LEFT(TRIM(INDEX(FormData,$H811,f_Name)),1)&amp;IFERROR(MID(TRIM(INDEX(FormData,$H811,f_Name)),FIND("^",SUBSTITUTE(TRIM(INDEX(FormData,$H811,f_Name))," ","^",LEN(TRIM(INDEX(FormData,$H811,f_Name)))-LEN(SUBSTITUTE(TRIM(INDEX(FormData,$H811,f_Name))," ",""))))+1,1),"")),""))</f>
        <v/>
      </c>
      <c r="E811" s="16">
        <f>IF($H811="","",IFERROR(INDEX(EvID,MATCH(INDEX(FormData,$H811,f_Event),EvID,0)),IFERROR(INDEX(EvID,MATCH(INDEX(FormData,$H811,f_Event),EvName,0)),IFERROR(INDEX(EvID,MATCH(INT($C811),EvDate,0)),"(no event that day)"))))</f>
        <v/>
      </c>
      <c r="F811" s="16">
        <f>IF($H811="","",IFERROR(IF(SUMPRODUCT(MAX((WhoKW&lt;&gt;"")*ISNUMBER(SEARCH(WhoKW,INDEX(FormData,$H811,f_Who)&amp;""))*(ROW(WhoKW)-MIN(ROW(WhoKW))+1)))=0,"",INDEX(WhoVal,SUMPRODUCT(MAX((WhoKW&lt;&gt;"")*ISNUMBER(SEARCH(WhoKW,INDEX(FormData,$H811,f_Who)&amp;""))*(ROW(WhoKW)-MIN(ROW(WhoKW))+1))))),""))</f>
        <v/>
      </c>
      <c r="G811" s="14">
        <f>IF($H811="","",IF(COUNTIF(People!$U$5:$U$604,$B811)+COUNTIF(People!$U$5:$U$604,$B811&amp;"")&gt;0,"✓ logged","→ add"))</f>
        <v/>
      </c>
      <c r="H811">
        <f>IFERROR(IF(INDEX(FormData,808,f_Id)&amp;""="","",808),"")</f>
        <v/>
      </c>
      <c r="I811" s="16">
        <f>IF($H811="","",IFERROR(INDEX(FormData,$H811,f_Need)&amp;"",""))</f>
        <v/>
      </c>
    </row>
    <row r="812">
      <c r="A812" s="14" t="n">
        <v>808</v>
      </c>
      <c r="B812" s="14">
        <f>IF($H812="","",INDEX(FormData,$H812,f_Id))</f>
        <v/>
      </c>
      <c r="C812" s="15">
        <f>IF($H812="","",IFERROR(INDEX(FormData,$H812,f_Time),""))</f>
        <v/>
      </c>
      <c r="D812" s="14">
        <f>IF($H812="","",IFERROR(UPPER(LEFT(TRIM(INDEX(FormData,$H812,f_Name)),1)&amp;IFERROR(MID(TRIM(INDEX(FormData,$H812,f_Name)),FIND("^",SUBSTITUTE(TRIM(INDEX(FormData,$H812,f_Name))," ","^",LEN(TRIM(INDEX(FormData,$H812,f_Name)))-LEN(SUBSTITUTE(TRIM(INDEX(FormData,$H812,f_Name))," ",""))))+1,1),"")),""))</f>
        <v/>
      </c>
      <c r="E812" s="16">
        <f>IF($H812="","",IFERROR(INDEX(EvID,MATCH(INDEX(FormData,$H812,f_Event),EvID,0)),IFERROR(INDEX(EvID,MATCH(INDEX(FormData,$H812,f_Event),EvName,0)),IFERROR(INDEX(EvID,MATCH(INT($C812),EvDate,0)),"(no event that day)"))))</f>
        <v/>
      </c>
      <c r="F812" s="16">
        <f>IF($H812="","",IFERROR(IF(SUMPRODUCT(MAX((WhoKW&lt;&gt;"")*ISNUMBER(SEARCH(WhoKW,INDEX(FormData,$H812,f_Who)&amp;""))*(ROW(WhoKW)-MIN(ROW(WhoKW))+1)))=0,"",INDEX(WhoVal,SUMPRODUCT(MAX((WhoKW&lt;&gt;"")*ISNUMBER(SEARCH(WhoKW,INDEX(FormData,$H812,f_Who)&amp;""))*(ROW(WhoKW)-MIN(ROW(WhoKW))+1))))),""))</f>
        <v/>
      </c>
      <c r="G812" s="14">
        <f>IF($H812="","",IF(COUNTIF(People!$U$5:$U$604,$B812)+COUNTIF(People!$U$5:$U$604,$B812&amp;"")&gt;0,"✓ logged","→ add"))</f>
        <v/>
      </c>
      <c r="H812">
        <f>IFERROR(IF(INDEX(FormData,809,f_Id)&amp;""="","",809),"")</f>
        <v/>
      </c>
      <c r="I812" s="16">
        <f>IF($H812="","",IFERROR(INDEX(FormData,$H812,f_Need)&amp;"",""))</f>
        <v/>
      </c>
    </row>
    <row r="813">
      <c r="A813" s="14" t="n">
        <v>809</v>
      </c>
      <c r="B813" s="14">
        <f>IF($H813="","",INDEX(FormData,$H813,f_Id))</f>
        <v/>
      </c>
      <c r="C813" s="15">
        <f>IF($H813="","",IFERROR(INDEX(FormData,$H813,f_Time),""))</f>
        <v/>
      </c>
      <c r="D813" s="14">
        <f>IF($H813="","",IFERROR(UPPER(LEFT(TRIM(INDEX(FormData,$H813,f_Name)),1)&amp;IFERROR(MID(TRIM(INDEX(FormData,$H813,f_Name)),FIND("^",SUBSTITUTE(TRIM(INDEX(FormData,$H813,f_Name))," ","^",LEN(TRIM(INDEX(FormData,$H813,f_Name)))-LEN(SUBSTITUTE(TRIM(INDEX(FormData,$H813,f_Name))," ",""))))+1,1),"")),""))</f>
        <v/>
      </c>
      <c r="E813" s="16">
        <f>IF($H813="","",IFERROR(INDEX(EvID,MATCH(INDEX(FormData,$H813,f_Event),EvID,0)),IFERROR(INDEX(EvID,MATCH(INDEX(FormData,$H813,f_Event),EvName,0)),IFERROR(INDEX(EvID,MATCH(INT($C813),EvDate,0)),"(no event that day)"))))</f>
        <v/>
      </c>
      <c r="F813" s="16">
        <f>IF($H813="","",IFERROR(IF(SUMPRODUCT(MAX((WhoKW&lt;&gt;"")*ISNUMBER(SEARCH(WhoKW,INDEX(FormData,$H813,f_Who)&amp;""))*(ROW(WhoKW)-MIN(ROW(WhoKW))+1)))=0,"",INDEX(WhoVal,SUMPRODUCT(MAX((WhoKW&lt;&gt;"")*ISNUMBER(SEARCH(WhoKW,INDEX(FormData,$H813,f_Who)&amp;""))*(ROW(WhoKW)-MIN(ROW(WhoKW))+1))))),""))</f>
        <v/>
      </c>
      <c r="G813" s="14">
        <f>IF($H813="","",IF(COUNTIF(People!$U$5:$U$604,$B813)+COUNTIF(People!$U$5:$U$604,$B813&amp;"")&gt;0,"✓ logged","→ add"))</f>
        <v/>
      </c>
      <c r="H813">
        <f>IFERROR(IF(INDEX(FormData,810,f_Id)&amp;""="","",810),"")</f>
        <v/>
      </c>
      <c r="I813" s="16">
        <f>IF($H813="","",IFERROR(INDEX(FormData,$H813,f_Need)&amp;"",""))</f>
        <v/>
      </c>
    </row>
    <row r="814">
      <c r="A814" s="14" t="n">
        <v>810</v>
      </c>
      <c r="B814" s="14">
        <f>IF($H814="","",INDEX(FormData,$H814,f_Id))</f>
        <v/>
      </c>
      <c r="C814" s="15">
        <f>IF($H814="","",IFERROR(INDEX(FormData,$H814,f_Time),""))</f>
        <v/>
      </c>
      <c r="D814" s="14">
        <f>IF($H814="","",IFERROR(UPPER(LEFT(TRIM(INDEX(FormData,$H814,f_Name)),1)&amp;IFERROR(MID(TRIM(INDEX(FormData,$H814,f_Name)),FIND("^",SUBSTITUTE(TRIM(INDEX(FormData,$H814,f_Name))," ","^",LEN(TRIM(INDEX(FormData,$H814,f_Name)))-LEN(SUBSTITUTE(TRIM(INDEX(FormData,$H814,f_Name))," ",""))))+1,1),"")),""))</f>
        <v/>
      </c>
      <c r="E814" s="16">
        <f>IF($H814="","",IFERROR(INDEX(EvID,MATCH(INDEX(FormData,$H814,f_Event),EvID,0)),IFERROR(INDEX(EvID,MATCH(INDEX(FormData,$H814,f_Event),EvName,0)),IFERROR(INDEX(EvID,MATCH(INT($C814),EvDate,0)),"(no event that day)"))))</f>
        <v/>
      </c>
      <c r="F814" s="16">
        <f>IF($H814="","",IFERROR(IF(SUMPRODUCT(MAX((WhoKW&lt;&gt;"")*ISNUMBER(SEARCH(WhoKW,INDEX(FormData,$H814,f_Who)&amp;""))*(ROW(WhoKW)-MIN(ROW(WhoKW))+1)))=0,"",INDEX(WhoVal,SUMPRODUCT(MAX((WhoKW&lt;&gt;"")*ISNUMBER(SEARCH(WhoKW,INDEX(FormData,$H814,f_Who)&amp;""))*(ROW(WhoKW)-MIN(ROW(WhoKW))+1))))),""))</f>
        <v/>
      </c>
      <c r="G814" s="14">
        <f>IF($H814="","",IF(COUNTIF(People!$U$5:$U$604,$B814)+COUNTIF(People!$U$5:$U$604,$B814&amp;"")&gt;0,"✓ logged","→ add"))</f>
        <v/>
      </c>
      <c r="H814">
        <f>IFERROR(IF(INDEX(FormData,811,f_Id)&amp;""="","",811),"")</f>
        <v/>
      </c>
      <c r="I814" s="16">
        <f>IF($H814="","",IFERROR(INDEX(FormData,$H814,f_Need)&amp;"",""))</f>
        <v/>
      </c>
    </row>
    <row r="815">
      <c r="A815" s="14" t="n">
        <v>811</v>
      </c>
      <c r="B815" s="14">
        <f>IF($H815="","",INDEX(FormData,$H815,f_Id))</f>
        <v/>
      </c>
      <c r="C815" s="15">
        <f>IF($H815="","",IFERROR(INDEX(FormData,$H815,f_Time),""))</f>
        <v/>
      </c>
      <c r="D815" s="14">
        <f>IF($H815="","",IFERROR(UPPER(LEFT(TRIM(INDEX(FormData,$H815,f_Name)),1)&amp;IFERROR(MID(TRIM(INDEX(FormData,$H815,f_Name)),FIND("^",SUBSTITUTE(TRIM(INDEX(FormData,$H815,f_Name))," ","^",LEN(TRIM(INDEX(FormData,$H815,f_Name)))-LEN(SUBSTITUTE(TRIM(INDEX(FormData,$H815,f_Name))," ",""))))+1,1),"")),""))</f>
        <v/>
      </c>
      <c r="E815" s="16">
        <f>IF($H815="","",IFERROR(INDEX(EvID,MATCH(INDEX(FormData,$H815,f_Event),EvID,0)),IFERROR(INDEX(EvID,MATCH(INDEX(FormData,$H815,f_Event),EvName,0)),IFERROR(INDEX(EvID,MATCH(INT($C815),EvDate,0)),"(no event that day)"))))</f>
        <v/>
      </c>
      <c r="F815" s="16">
        <f>IF($H815="","",IFERROR(IF(SUMPRODUCT(MAX((WhoKW&lt;&gt;"")*ISNUMBER(SEARCH(WhoKW,INDEX(FormData,$H815,f_Who)&amp;""))*(ROW(WhoKW)-MIN(ROW(WhoKW))+1)))=0,"",INDEX(WhoVal,SUMPRODUCT(MAX((WhoKW&lt;&gt;"")*ISNUMBER(SEARCH(WhoKW,INDEX(FormData,$H815,f_Who)&amp;""))*(ROW(WhoKW)-MIN(ROW(WhoKW))+1))))),""))</f>
        <v/>
      </c>
      <c r="G815" s="14">
        <f>IF($H815="","",IF(COUNTIF(People!$U$5:$U$604,$B815)+COUNTIF(People!$U$5:$U$604,$B815&amp;"")&gt;0,"✓ logged","→ add"))</f>
        <v/>
      </c>
      <c r="H815">
        <f>IFERROR(IF(INDEX(FormData,812,f_Id)&amp;""="","",812),"")</f>
        <v/>
      </c>
      <c r="I815" s="16">
        <f>IF($H815="","",IFERROR(INDEX(FormData,$H815,f_Need)&amp;"",""))</f>
        <v/>
      </c>
    </row>
    <row r="816">
      <c r="A816" s="14" t="n">
        <v>812</v>
      </c>
      <c r="B816" s="14">
        <f>IF($H816="","",INDEX(FormData,$H816,f_Id))</f>
        <v/>
      </c>
      <c r="C816" s="15">
        <f>IF($H816="","",IFERROR(INDEX(FormData,$H816,f_Time),""))</f>
        <v/>
      </c>
      <c r="D816" s="14">
        <f>IF($H816="","",IFERROR(UPPER(LEFT(TRIM(INDEX(FormData,$H816,f_Name)),1)&amp;IFERROR(MID(TRIM(INDEX(FormData,$H816,f_Name)),FIND("^",SUBSTITUTE(TRIM(INDEX(FormData,$H816,f_Name))," ","^",LEN(TRIM(INDEX(FormData,$H816,f_Name)))-LEN(SUBSTITUTE(TRIM(INDEX(FormData,$H816,f_Name))," ",""))))+1,1),"")),""))</f>
        <v/>
      </c>
      <c r="E816" s="16">
        <f>IF($H816="","",IFERROR(INDEX(EvID,MATCH(INDEX(FormData,$H816,f_Event),EvID,0)),IFERROR(INDEX(EvID,MATCH(INDEX(FormData,$H816,f_Event),EvName,0)),IFERROR(INDEX(EvID,MATCH(INT($C816),EvDate,0)),"(no event that day)"))))</f>
        <v/>
      </c>
      <c r="F816" s="16">
        <f>IF($H816="","",IFERROR(IF(SUMPRODUCT(MAX((WhoKW&lt;&gt;"")*ISNUMBER(SEARCH(WhoKW,INDEX(FormData,$H816,f_Who)&amp;""))*(ROW(WhoKW)-MIN(ROW(WhoKW))+1)))=0,"",INDEX(WhoVal,SUMPRODUCT(MAX((WhoKW&lt;&gt;"")*ISNUMBER(SEARCH(WhoKW,INDEX(FormData,$H816,f_Who)&amp;""))*(ROW(WhoKW)-MIN(ROW(WhoKW))+1))))),""))</f>
        <v/>
      </c>
      <c r="G816" s="14">
        <f>IF($H816="","",IF(COUNTIF(People!$U$5:$U$604,$B816)+COUNTIF(People!$U$5:$U$604,$B816&amp;"")&gt;0,"✓ logged","→ add"))</f>
        <v/>
      </c>
      <c r="H816">
        <f>IFERROR(IF(INDEX(FormData,813,f_Id)&amp;""="","",813),"")</f>
        <v/>
      </c>
      <c r="I816" s="16">
        <f>IF($H816="","",IFERROR(INDEX(FormData,$H816,f_Need)&amp;"",""))</f>
        <v/>
      </c>
    </row>
    <row r="817">
      <c r="A817" s="14" t="n">
        <v>813</v>
      </c>
      <c r="B817" s="14">
        <f>IF($H817="","",INDEX(FormData,$H817,f_Id))</f>
        <v/>
      </c>
      <c r="C817" s="15">
        <f>IF($H817="","",IFERROR(INDEX(FormData,$H817,f_Time),""))</f>
        <v/>
      </c>
      <c r="D817" s="14">
        <f>IF($H817="","",IFERROR(UPPER(LEFT(TRIM(INDEX(FormData,$H817,f_Name)),1)&amp;IFERROR(MID(TRIM(INDEX(FormData,$H817,f_Name)),FIND("^",SUBSTITUTE(TRIM(INDEX(FormData,$H817,f_Name))," ","^",LEN(TRIM(INDEX(FormData,$H817,f_Name)))-LEN(SUBSTITUTE(TRIM(INDEX(FormData,$H817,f_Name))," ",""))))+1,1),"")),""))</f>
        <v/>
      </c>
      <c r="E817" s="16">
        <f>IF($H817="","",IFERROR(INDEX(EvID,MATCH(INDEX(FormData,$H817,f_Event),EvID,0)),IFERROR(INDEX(EvID,MATCH(INDEX(FormData,$H817,f_Event),EvName,0)),IFERROR(INDEX(EvID,MATCH(INT($C817),EvDate,0)),"(no event that day)"))))</f>
        <v/>
      </c>
      <c r="F817" s="16">
        <f>IF($H817="","",IFERROR(IF(SUMPRODUCT(MAX((WhoKW&lt;&gt;"")*ISNUMBER(SEARCH(WhoKW,INDEX(FormData,$H817,f_Who)&amp;""))*(ROW(WhoKW)-MIN(ROW(WhoKW))+1)))=0,"",INDEX(WhoVal,SUMPRODUCT(MAX((WhoKW&lt;&gt;"")*ISNUMBER(SEARCH(WhoKW,INDEX(FormData,$H817,f_Who)&amp;""))*(ROW(WhoKW)-MIN(ROW(WhoKW))+1))))),""))</f>
        <v/>
      </c>
      <c r="G817" s="14">
        <f>IF($H817="","",IF(COUNTIF(People!$U$5:$U$604,$B817)+COUNTIF(People!$U$5:$U$604,$B817&amp;"")&gt;0,"✓ logged","→ add"))</f>
        <v/>
      </c>
      <c r="H817">
        <f>IFERROR(IF(INDEX(FormData,814,f_Id)&amp;""="","",814),"")</f>
        <v/>
      </c>
      <c r="I817" s="16">
        <f>IF($H817="","",IFERROR(INDEX(FormData,$H817,f_Need)&amp;"",""))</f>
        <v/>
      </c>
    </row>
    <row r="818">
      <c r="A818" s="14" t="n">
        <v>814</v>
      </c>
      <c r="B818" s="14">
        <f>IF($H818="","",INDEX(FormData,$H818,f_Id))</f>
        <v/>
      </c>
      <c r="C818" s="15">
        <f>IF($H818="","",IFERROR(INDEX(FormData,$H818,f_Time),""))</f>
        <v/>
      </c>
      <c r="D818" s="14">
        <f>IF($H818="","",IFERROR(UPPER(LEFT(TRIM(INDEX(FormData,$H818,f_Name)),1)&amp;IFERROR(MID(TRIM(INDEX(FormData,$H818,f_Name)),FIND("^",SUBSTITUTE(TRIM(INDEX(FormData,$H818,f_Name))," ","^",LEN(TRIM(INDEX(FormData,$H818,f_Name)))-LEN(SUBSTITUTE(TRIM(INDEX(FormData,$H818,f_Name))," ",""))))+1,1),"")),""))</f>
        <v/>
      </c>
      <c r="E818" s="16">
        <f>IF($H818="","",IFERROR(INDEX(EvID,MATCH(INDEX(FormData,$H818,f_Event),EvID,0)),IFERROR(INDEX(EvID,MATCH(INDEX(FormData,$H818,f_Event),EvName,0)),IFERROR(INDEX(EvID,MATCH(INT($C818),EvDate,0)),"(no event that day)"))))</f>
        <v/>
      </c>
      <c r="F818" s="16">
        <f>IF($H818="","",IFERROR(IF(SUMPRODUCT(MAX((WhoKW&lt;&gt;"")*ISNUMBER(SEARCH(WhoKW,INDEX(FormData,$H818,f_Who)&amp;""))*(ROW(WhoKW)-MIN(ROW(WhoKW))+1)))=0,"",INDEX(WhoVal,SUMPRODUCT(MAX((WhoKW&lt;&gt;"")*ISNUMBER(SEARCH(WhoKW,INDEX(FormData,$H818,f_Who)&amp;""))*(ROW(WhoKW)-MIN(ROW(WhoKW))+1))))),""))</f>
        <v/>
      </c>
      <c r="G818" s="14">
        <f>IF($H818="","",IF(COUNTIF(People!$U$5:$U$604,$B818)+COUNTIF(People!$U$5:$U$604,$B818&amp;"")&gt;0,"✓ logged","→ add"))</f>
        <v/>
      </c>
      <c r="H818">
        <f>IFERROR(IF(INDEX(FormData,815,f_Id)&amp;""="","",815),"")</f>
        <v/>
      </c>
      <c r="I818" s="16">
        <f>IF($H818="","",IFERROR(INDEX(FormData,$H818,f_Need)&amp;"",""))</f>
        <v/>
      </c>
    </row>
    <row r="819">
      <c r="A819" s="14" t="n">
        <v>815</v>
      </c>
      <c r="B819" s="14">
        <f>IF($H819="","",INDEX(FormData,$H819,f_Id))</f>
        <v/>
      </c>
      <c r="C819" s="15">
        <f>IF($H819="","",IFERROR(INDEX(FormData,$H819,f_Time),""))</f>
        <v/>
      </c>
      <c r="D819" s="14">
        <f>IF($H819="","",IFERROR(UPPER(LEFT(TRIM(INDEX(FormData,$H819,f_Name)),1)&amp;IFERROR(MID(TRIM(INDEX(FormData,$H819,f_Name)),FIND("^",SUBSTITUTE(TRIM(INDEX(FormData,$H819,f_Name))," ","^",LEN(TRIM(INDEX(FormData,$H819,f_Name)))-LEN(SUBSTITUTE(TRIM(INDEX(FormData,$H819,f_Name))," ",""))))+1,1),"")),""))</f>
        <v/>
      </c>
      <c r="E819" s="16">
        <f>IF($H819="","",IFERROR(INDEX(EvID,MATCH(INDEX(FormData,$H819,f_Event),EvID,0)),IFERROR(INDEX(EvID,MATCH(INDEX(FormData,$H819,f_Event),EvName,0)),IFERROR(INDEX(EvID,MATCH(INT($C819),EvDate,0)),"(no event that day)"))))</f>
        <v/>
      </c>
      <c r="F819" s="16">
        <f>IF($H819="","",IFERROR(IF(SUMPRODUCT(MAX((WhoKW&lt;&gt;"")*ISNUMBER(SEARCH(WhoKW,INDEX(FormData,$H819,f_Who)&amp;""))*(ROW(WhoKW)-MIN(ROW(WhoKW))+1)))=0,"",INDEX(WhoVal,SUMPRODUCT(MAX((WhoKW&lt;&gt;"")*ISNUMBER(SEARCH(WhoKW,INDEX(FormData,$H819,f_Who)&amp;""))*(ROW(WhoKW)-MIN(ROW(WhoKW))+1))))),""))</f>
        <v/>
      </c>
      <c r="G819" s="14">
        <f>IF($H819="","",IF(COUNTIF(People!$U$5:$U$604,$B819)+COUNTIF(People!$U$5:$U$604,$B819&amp;"")&gt;0,"✓ logged","→ add"))</f>
        <v/>
      </c>
      <c r="H819">
        <f>IFERROR(IF(INDEX(FormData,816,f_Id)&amp;""="","",816),"")</f>
        <v/>
      </c>
      <c r="I819" s="16">
        <f>IF($H819="","",IFERROR(INDEX(FormData,$H819,f_Need)&amp;"",""))</f>
        <v/>
      </c>
    </row>
    <row r="820">
      <c r="A820" s="14" t="n">
        <v>816</v>
      </c>
      <c r="B820" s="14">
        <f>IF($H820="","",INDEX(FormData,$H820,f_Id))</f>
        <v/>
      </c>
      <c r="C820" s="15">
        <f>IF($H820="","",IFERROR(INDEX(FormData,$H820,f_Time),""))</f>
        <v/>
      </c>
      <c r="D820" s="14">
        <f>IF($H820="","",IFERROR(UPPER(LEFT(TRIM(INDEX(FormData,$H820,f_Name)),1)&amp;IFERROR(MID(TRIM(INDEX(FormData,$H820,f_Name)),FIND("^",SUBSTITUTE(TRIM(INDEX(FormData,$H820,f_Name))," ","^",LEN(TRIM(INDEX(FormData,$H820,f_Name)))-LEN(SUBSTITUTE(TRIM(INDEX(FormData,$H820,f_Name))," ",""))))+1,1),"")),""))</f>
        <v/>
      </c>
      <c r="E820" s="16">
        <f>IF($H820="","",IFERROR(INDEX(EvID,MATCH(INDEX(FormData,$H820,f_Event),EvID,0)),IFERROR(INDEX(EvID,MATCH(INDEX(FormData,$H820,f_Event),EvName,0)),IFERROR(INDEX(EvID,MATCH(INT($C820),EvDate,0)),"(no event that day)"))))</f>
        <v/>
      </c>
      <c r="F820" s="16">
        <f>IF($H820="","",IFERROR(IF(SUMPRODUCT(MAX((WhoKW&lt;&gt;"")*ISNUMBER(SEARCH(WhoKW,INDEX(FormData,$H820,f_Who)&amp;""))*(ROW(WhoKW)-MIN(ROW(WhoKW))+1)))=0,"",INDEX(WhoVal,SUMPRODUCT(MAX((WhoKW&lt;&gt;"")*ISNUMBER(SEARCH(WhoKW,INDEX(FormData,$H820,f_Who)&amp;""))*(ROW(WhoKW)-MIN(ROW(WhoKW))+1))))),""))</f>
        <v/>
      </c>
      <c r="G820" s="14">
        <f>IF($H820="","",IF(COUNTIF(People!$U$5:$U$604,$B820)+COUNTIF(People!$U$5:$U$604,$B820&amp;"")&gt;0,"✓ logged","→ add"))</f>
        <v/>
      </c>
      <c r="H820">
        <f>IFERROR(IF(INDEX(FormData,817,f_Id)&amp;""="","",817),"")</f>
        <v/>
      </c>
      <c r="I820" s="16">
        <f>IF($H820="","",IFERROR(INDEX(FormData,$H820,f_Need)&amp;"",""))</f>
        <v/>
      </c>
    </row>
    <row r="821">
      <c r="A821" s="14" t="n">
        <v>817</v>
      </c>
      <c r="B821" s="14">
        <f>IF($H821="","",INDEX(FormData,$H821,f_Id))</f>
        <v/>
      </c>
      <c r="C821" s="15">
        <f>IF($H821="","",IFERROR(INDEX(FormData,$H821,f_Time),""))</f>
        <v/>
      </c>
      <c r="D821" s="14">
        <f>IF($H821="","",IFERROR(UPPER(LEFT(TRIM(INDEX(FormData,$H821,f_Name)),1)&amp;IFERROR(MID(TRIM(INDEX(FormData,$H821,f_Name)),FIND("^",SUBSTITUTE(TRIM(INDEX(FormData,$H821,f_Name))," ","^",LEN(TRIM(INDEX(FormData,$H821,f_Name)))-LEN(SUBSTITUTE(TRIM(INDEX(FormData,$H821,f_Name))," ",""))))+1,1),"")),""))</f>
        <v/>
      </c>
      <c r="E821" s="16">
        <f>IF($H821="","",IFERROR(INDEX(EvID,MATCH(INDEX(FormData,$H821,f_Event),EvID,0)),IFERROR(INDEX(EvID,MATCH(INDEX(FormData,$H821,f_Event),EvName,0)),IFERROR(INDEX(EvID,MATCH(INT($C821),EvDate,0)),"(no event that day)"))))</f>
        <v/>
      </c>
      <c r="F821" s="16">
        <f>IF($H821="","",IFERROR(IF(SUMPRODUCT(MAX((WhoKW&lt;&gt;"")*ISNUMBER(SEARCH(WhoKW,INDEX(FormData,$H821,f_Who)&amp;""))*(ROW(WhoKW)-MIN(ROW(WhoKW))+1)))=0,"",INDEX(WhoVal,SUMPRODUCT(MAX((WhoKW&lt;&gt;"")*ISNUMBER(SEARCH(WhoKW,INDEX(FormData,$H821,f_Who)&amp;""))*(ROW(WhoKW)-MIN(ROW(WhoKW))+1))))),""))</f>
        <v/>
      </c>
      <c r="G821" s="14">
        <f>IF($H821="","",IF(COUNTIF(People!$U$5:$U$604,$B821)+COUNTIF(People!$U$5:$U$604,$B821&amp;"")&gt;0,"✓ logged","→ add"))</f>
        <v/>
      </c>
      <c r="H821">
        <f>IFERROR(IF(INDEX(FormData,818,f_Id)&amp;""="","",818),"")</f>
        <v/>
      </c>
      <c r="I821" s="16">
        <f>IF($H821="","",IFERROR(INDEX(FormData,$H821,f_Need)&amp;"",""))</f>
        <v/>
      </c>
    </row>
    <row r="822">
      <c r="A822" s="14" t="n">
        <v>818</v>
      </c>
      <c r="B822" s="14">
        <f>IF($H822="","",INDEX(FormData,$H822,f_Id))</f>
        <v/>
      </c>
      <c r="C822" s="15">
        <f>IF($H822="","",IFERROR(INDEX(FormData,$H822,f_Time),""))</f>
        <v/>
      </c>
      <c r="D822" s="14">
        <f>IF($H822="","",IFERROR(UPPER(LEFT(TRIM(INDEX(FormData,$H822,f_Name)),1)&amp;IFERROR(MID(TRIM(INDEX(FormData,$H822,f_Name)),FIND("^",SUBSTITUTE(TRIM(INDEX(FormData,$H822,f_Name))," ","^",LEN(TRIM(INDEX(FormData,$H822,f_Name)))-LEN(SUBSTITUTE(TRIM(INDEX(FormData,$H822,f_Name))," ",""))))+1,1),"")),""))</f>
        <v/>
      </c>
      <c r="E822" s="16">
        <f>IF($H822="","",IFERROR(INDEX(EvID,MATCH(INDEX(FormData,$H822,f_Event),EvID,0)),IFERROR(INDEX(EvID,MATCH(INDEX(FormData,$H822,f_Event),EvName,0)),IFERROR(INDEX(EvID,MATCH(INT($C822),EvDate,0)),"(no event that day)"))))</f>
        <v/>
      </c>
      <c r="F822" s="16">
        <f>IF($H822="","",IFERROR(IF(SUMPRODUCT(MAX((WhoKW&lt;&gt;"")*ISNUMBER(SEARCH(WhoKW,INDEX(FormData,$H822,f_Who)&amp;""))*(ROW(WhoKW)-MIN(ROW(WhoKW))+1)))=0,"",INDEX(WhoVal,SUMPRODUCT(MAX((WhoKW&lt;&gt;"")*ISNUMBER(SEARCH(WhoKW,INDEX(FormData,$H822,f_Who)&amp;""))*(ROW(WhoKW)-MIN(ROW(WhoKW))+1))))),""))</f>
        <v/>
      </c>
      <c r="G822" s="14">
        <f>IF($H822="","",IF(COUNTIF(People!$U$5:$U$604,$B822)+COUNTIF(People!$U$5:$U$604,$B822&amp;"")&gt;0,"✓ logged","→ add"))</f>
        <v/>
      </c>
      <c r="H822">
        <f>IFERROR(IF(INDEX(FormData,819,f_Id)&amp;""="","",819),"")</f>
        <v/>
      </c>
      <c r="I822" s="16">
        <f>IF($H822="","",IFERROR(INDEX(FormData,$H822,f_Need)&amp;"",""))</f>
        <v/>
      </c>
    </row>
    <row r="823">
      <c r="A823" s="14" t="n">
        <v>819</v>
      </c>
      <c r="B823" s="14">
        <f>IF($H823="","",INDEX(FormData,$H823,f_Id))</f>
        <v/>
      </c>
      <c r="C823" s="15">
        <f>IF($H823="","",IFERROR(INDEX(FormData,$H823,f_Time),""))</f>
        <v/>
      </c>
      <c r="D823" s="14">
        <f>IF($H823="","",IFERROR(UPPER(LEFT(TRIM(INDEX(FormData,$H823,f_Name)),1)&amp;IFERROR(MID(TRIM(INDEX(FormData,$H823,f_Name)),FIND("^",SUBSTITUTE(TRIM(INDEX(FormData,$H823,f_Name))," ","^",LEN(TRIM(INDEX(FormData,$H823,f_Name)))-LEN(SUBSTITUTE(TRIM(INDEX(FormData,$H823,f_Name))," ",""))))+1,1),"")),""))</f>
        <v/>
      </c>
      <c r="E823" s="16">
        <f>IF($H823="","",IFERROR(INDEX(EvID,MATCH(INDEX(FormData,$H823,f_Event),EvID,0)),IFERROR(INDEX(EvID,MATCH(INDEX(FormData,$H823,f_Event),EvName,0)),IFERROR(INDEX(EvID,MATCH(INT($C823),EvDate,0)),"(no event that day)"))))</f>
        <v/>
      </c>
      <c r="F823" s="16">
        <f>IF($H823="","",IFERROR(IF(SUMPRODUCT(MAX((WhoKW&lt;&gt;"")*ISNUMBER(SEARCH(WhoKW,INDEX(FormData,$H823,f_Who)&amp;""))*(ROW(WhoKW)-MIN(ROW(WhoKW))+1)))=0,"",INDEX(WhoVal,SUMPRODUCT(MAX((WhoKW&lt;&gt;"")*ISNUMBER(SEARCH(WhoKW,INDEX(FormData,$H823,f_Who)&amp;""))*(ROW(WhoKW)-MIN(ROW(WhoKW))+1))))),""))</f>
        <v/>
      </c>
      <c r="G823" s="14">
        <f>IF($H823="","",IF(COUNTIF(People!$U$5:$U$604,$B823)+COUNTIF(People!$U$5:$U$604,$B823&amp;"")&gt;0,"✓ logged","→ add"))</f>
        <v/>
      </c>
      <c r="H823">
        <f>IFERROR(IF(INDEX(FormData,820,f_Id)&amp;""="","",820),"")</f>
        <v/>
      </c>
      <c r="I823" s="16">
        <f>IF($H823="","",IFERROR(INDEX(FormData,$H823,f_Need)&amp;"",""))</f>
        <v/>
      </c>
    </row>
    <row r="824">
      <c r="A824" s="14" t="n">
        <v>820</v>
      </c>
      <c r="B824" s="14">
        <f>IF($H824="","",INDEX(FormData,$H824,f_Id))</f>
        <v/>
      </c>
      <c r="C824" s="15">
        <f>IF($H824="","",IFERROR(INDEX(FormData,$H824,f_Time),""))</f>
        <v/>
      </c>
      <c r="D824" s="14">
        <f>IF($H824="","",IFERROR(UPPER(LEFT(TRIM(INDEX(FormData,$H824,f_Name)),1)&amp;IFERROR(MID(TRIM(INDEX(FormData,$H824,f_Name)),FIND("^",SUBSTITUTE(TRIM(INDEX(FormData,$H824,f_Name))," ","^",LEN(TRIM(INDEX(FormData,$H824,f_Name)))-LEN(SUBSTITUTE(TRIM(INDEX(FormData,$H824,f_Name))," ",""))))+1,1),"")),""))</f>
        <v/>
      </c>
      <c r="E824" s="16">
        <f>IF($H824="","",IFERROR(INDEX(EvID,MATCH(INDEX(FormData,$H824,f_Event),EvID,0)),IFERROR(INDEX(EvID,MATCH(INDEX(FormData,$H824,f_Event),EvName,0)),IFERROR(INDEX(EvID,MATCH(INT($C824),EvDate,0)),"(no event that day)"))))</f>
        <v/>
      </c>
      <c r="F824" s="16">
        <f>IF($H824="","",IFERROR(IF(SUMPRODUCT(MAX((WhoKW&lt;&gt;"")*ISNUMBER(SEARCH(WhoKW,INDEX(FormData,$H824,f_Who)&amp;""))*(ROW(WhoKW)-MIN(ROW(WhoKW))+1)))=0,"",INDEX(WhoVal,SUMPRODUCT(MAX((WhoKW&lt;&gt;"")*ISNUMBER(SEARCH(WhoKW,INDEX(FormData,$H824,f_Who)&amp;""))*(ROW(WhoKW)-MIN(ROW(WhoKW))+1))))),""))</f>
        <v/>
      </c>
      <c r="G824" s="14">
        <f>IF($H824="","",IF(COUNTIF(People!$U$5:$U$604,$B824)+COUNTIF(People!$U$5:$U$604,$B824&amp;"")&gt;0,"✓ logged","→ add"))</f>
        <v/>
      </c>
      <c r="H824">
        <f>IFERROR(IF(INDEX(FormData,821,f_Id)&amp;""="","",821),"")</f>
        <v/>
      </c>
      <c r="I824" s="16">
        <f>IF($H824="","",IFERROR(INDEX(FormData,$H824,f_Need)&amp;"",""))</f>
        <v/>
      </c>
    </row>
    <row r="825">
      <c r="A825" s="14" t="n">
        <v>821</v>
      </c>
      <c r="B825" s="14">
        <f>IF($H825="","",INDEX(FormData,$H825,f_Id))</f>
        <v/>
      </c>
      <c r="C825" s="15">
        <f>IF($H825="","",IFERROR(INDEX(FormData,$H825,f_Time),""))</f>
        <v/>
      </c>
      <c r="D825" s="14">
        <f>IF($H825="","",IFERROR(UPPER(LEFT(TRIM(INDEX(FormData,$H825,f_Name)),1)&amp;IFERROR(MID(TRIM(INDEX(FormData,$H825,f_Name)),FIND("^",SUBSTITUTE(TRIM(INDEX(FormData,$H825,f_Name))," ","^",LEN(TRIM(INDEX(FormData,$H825,f_Name)))-LEN(SUBSTITUTE(TRIM(INDEX(FormData,$H825,f_Name))," ",""))))+1,1),"")),""))</f>
        <v/>
      </c>
      <c r="E825" s="16">
        <f>IF($H825="","",IFERROR(INDEX(EvID,MATCH(INDEX(FormData,$H825,f_Event),EvID,0)),IFERROR(INDEX(EvID,MATCH(INDEX(FormData,$H825,f_Event),EvName,0)),IFERROR(INDEX(EvID,MATCH(INT($C825),EvDate,0)),"(no event that day)"))))</f>
        <v/>
      </c>
      <c r="F825" s="16">
        <f>IF($H825="","",IFERROR(IF(SUMPRODUCT(MAX((WhoKW&lt;&gt;"")*ISNUMBER(SEARCH(WhoKW,INDEX(FormData,$H825,f_Who)&amp;""))*(ROW(WhoKW)-MIN(ROW(WhoKW))+1)))=0,"",INDEX(WhoVal,SUMPRODUCT(MAX((WhoKW&lt;&gt;"")*ISNUMBER(SEARCH(WhoKW,INDEX(FormData,$H825,f_Who)&amp;""))*(ROW(WhoKW)-MIN(ROW(WhoKW))+1))))),""))</f>
        <v/>
      </c>
      <c r="G825" s="14">
        <f>IF($H825="","",IF(COUNTIF(People!$U$5:$U$604,$B825)+COUNTIF(People!$U$5:$U$604,$B825&amp;"")&gt;0,"✓ logged","→ add"))</f>
        <v/>
      </c>
      <c r="H825">
        <f>IFERROR(IF(INDEX(FormData,822,f_Id)&amp;""="","",822),"")</f>
        <v/>
      </c>
      <c r="I825" s="16">
        <f>IF($H825="","",IFERROR(INDEX(FormData,$H825,f_Need)&amp;"",""))</f>
        <v/>
      </c>
    </row>
    <row r="826">
      <c r="A826" s="14" t="n">
        <v>822</v>
      </c>
      <c r="B826" s="14">
        <f>IF($H826="","",INDEX(FormData,$H826,f_Id))</f>
        <v/>
      </c>
      <c r="C826" s="15">
        <f>IF($H826="","",IFERROR(INDEX(FormData,$H826,f_Time),""))</f>
        <v/>
      </c>
      <c r="D826" s="14">
        <f>IF($H826="","",IFERROR(UPPER(LEFT(TRIM(INDEX(FormData,$H826,f_Name)),1)&amp;IFERROR(MID(TRIM(INDEX(FormData,$H826,f_Name)),FIND("^",SUBSTITUTE(TRIM(INDEX(FormData,$H826,f_Name))," ","^",LEN(TRIM(INDEX(FormData,$H826,f_Name)))-LEN(SUBSTITUTE(TRIM(INDEX(FormData,$H826,f_Name))," ",""))))+1,1),"")),""))</f>
        <v/>
      </c>
      <c r="E826" s="16">
        <f>IF($H826="","",IFERROR(INDEX(EvID,MATCH(INDEX(FormData,$H826,f_Event),EvID,0)),IFERROR(INDEX(EvID,MATCH(INDEX(FormData,$H826,f_Event),EvName,0)),IFERROR(INDEX(EvID,MATCH(INT($C826),EvDate,0)),"(no event that day)"))))</f>
        <v/>
      </c>
      <c r="F826" s="16">
        <f>IF($H826="","",IFERROR(IF(SUMPRODUCT(MAX((WhoKW&lt;&gt;"")*ISNUMBER(SEARCH(WhoKW,INDEX(FormData,$H826,f_Who)&amp;""))*(ROW(WhoKW)-MIN(ROW(WhoKW))+1)))=0,"",INDEX(WhoVal,SUMPRODUCT(MAX((WhoKW&lt;&gt;"")*ISNUMBER(SEARCH(WhoKW,INDEX(FormData,$H826,f_Who)&amp;""))*(ROW(WhoKW)-MIN(ROW(WhoKW))+1))))),""))</f>
        <v/>
      </c>
      <c r="G826" s="14">
        <f>IF($H826="","",IF(COUNTIF(People!$U$5:$U$604,$B826)+COUNTIF(People!$U$5:$U$604,$B826&amp;"")&gt;0,"✓ logged","→ add"))</f>
        <v/>
      </c>
      <c r="H826">
        <f>IFERROR(IF(INDEX(FormData,823,f_Id)&amp;""="","",823),"")</f>
        <v/>
      </c>
      <c r="I826" s="16">
        <f>IF($H826="","",IFERROR(INDEX(FormData,$H826,f_Need)&amp;"",""))</f>
        <v/>
      </c>
    </row>
    <row r="827">
      <c r="A827" s="14" t="n">
        <v>823</v>
      </c>
      <c r="B827" s="14">
        <f>IF($H827="","",INDEX(FormData,$H827,f_Id))</f>
        <v/>
      </c>
      <c r="C827" s="15">
        <f>IF($H827="","",IFERROR(INDEX(FormData,$H827,f_Time),""))</f>
        <v/>
      </c>
      <c r="D827" s="14">
        <f>IF($H827="","",IFERROR(UPPER(LEFT(TRIM(INDEX(FormData,$H827,f_Name)),1)&amp;IFERROR(MID(TRIM(INDEX(FormData,$H827,f_Name)),FIND("^",SUBSTITUTE(TRIM(INDEX(FormData,$H827,f_Name))," ","^",LEN(TRIM(INDEX(FormData,$H827,f_Name)))-LEN(SUBSTITUTE(TRIM(INDEX(FormData,$H827,f_Name))," ",""))))+1,1),"")),""))</f>
        <v/>
      </c>
      <c r="E827" s="16">
        <f>IF($H827="","",IFERROR(INDEX(EvID,MATCH(INDEX(FormData,$H827,f_Event),EvID,0)),IFERROR(INDEX(EvID,MATCH(INDEX(FormData,$H827,f_Event),EvName,0)),IFERROR(INDEX(EvID,MATCH(INT($C827),EvDate,0)),"(no event that day)"))))</f>
        <v/>
      </c>
      <c r="F827" s="16">
        <f>IF($H827="","",IFERROR(IF(SUMPRODUCT(MAX((WhoKW&lt;&gt;"")*ISNUMBER(SEARCH(WhoKW,INDEX(FormData,$H827,f_Who)&amp;""))*(ROW(WhoKW)-MIN(ROW(WhoKW))+1)))=0,"",INDEX(WhoVal,SUMPRODUCT(MAX((WhoKW&lt;&gt;"")*ISNUMBER(SEARCH(WhoKW,INDEX(FormData,$H827,f_Who)&amp;""))*(ROW(WhoKW)-MIN(ROW(WhoKW))+1))))),""))</f>
        <v/>
      </c>
      <c r="G827" s="14">
        <f>IF($H827="","",IF(COUNTIF(People!$U$5:$U$604,$B827)+COUNTIF(People!$U$5:$U$604,$B827&amp;"")&gt;0,"✓ logged","→ add"))</f>
        <v/>
      </c>
      <c r="H827">
        <f>IFERROR(IF(INDEX(FormData,824,f_Id)&amp;""="","",824),"")</f>
        <v/>
      </c>
      <c r="I827" s="16">
        <f>IF($H827="","",IFERROR(INDEX(FormData,$H827,f_Need)&amp;"",""))</f>
        <v/>
      </c>
    </row>
    <row r="828">
      <c r="A828" s="14" t="n">
        <v>824</v>
      </c>
      <c r="B828" s="14">
        <f>IF($H828="","",INDEX(FormData,$H828,f_Id))</f>
        <v/>
      </c>
      <c r="C828" s="15">
        <f>IF($H828="","",IFERROR(INDEX(FormData,$H828,f_Time),""))</f>
        <v/>
      </c>
      <c r="D828" s="14">
        <f>IF($H828="","",IFERROR(UPPER(LEFT(TRIM(INDEX(FormData,$H828,f_Name)),1)&amp;IFERROR(MID(TRIM(INDEX(FormData,$H828,f_Name)),FIND("^",SUBSTITUTE(TRIM(INDEX(FormData,$H828,f_Name))," ","^",LEN(TRIM(INDEX(FormData,$H828,f_Name)))-LEN(SUBSTITUTE(TRIM(INDEX(FormData,$H828,f_Name))," ",""))))+1,1),"")),""))</f>
        <v/>
      </c>
      <c r="E828" s="16">
        <f>IF($H828="","",IFERROR(INDEX(EvID,MATCH(INDEX(FormData,$H828,f_Event),EvID,0)),IFERROR(INDEX(EvID,MATCH(INDEX(FormData,$H828,f_Event),EvName,0)),IFERROR(INDEX(EvID,MATCH(INT($C828),EvDate,0)),"(no event that day)"))))</f>
        <v/>
      </c>
      <c r="F828" s="16">
        <f>IF($H828="","",IFERROR(IF(SUMPRODUCT(MAX((WhoKW&lt;&gt;"")*ISNUMBER(SEARCH(WhoKW,INDEX(FormData,$H828,f_Who)&amp;""))*(ROW(WhoKW)-MIN(ROW(WhoKW))+1)))=0,"",INDEX(WhoVal,SUMPRODUCT(MAX((WhoKW&lt;&gt;"")*ISNUMBER(SEARCH(WhoKW,INDEX(FormData,$H828,f_Who)&amp;""))*(ROW(WhoKW)-MIN(ROW(WhoKW))+1))))),""))</f>
        <v/>
      </c>
      <c r="G828" s="14">
        <f>IF($H828="","",IF(COUNTIF(People!$U$5:$U$604,$B828)+COUNTIF(People!$U$5:$U$604,$B828&amp;"")&gt;0,"✓ logged","→ add"))</f>
        <v/>
      </c>
      <c r="H828">
        <f>IFERROR(IF(INDEX(FormData,825,f_Id)&amp;""="","",825),"")</f>
        <v/>
      </c>
      <c r="I828" s="16">
        <f>IF($H828="","",IFERROR(INDEX(FormData,$H828,f_Need)&amp;"",""))</f>
        <v/>
      </c>
    </row>
    <row r="829">
      <c r="A829" s="14" t="n">
        <v>825</v>
      </c>
      <c r="B829" s="14">
        <f>IF($H829="","",INDEX(FormData,$H829,f_Id))</f>
        <v/>
      </c>
      <c r="C829" s="15">
        <f>IF($H829="","",IFERROR(INDEX(FormData,$H829,f_Time),""))</f>
        <v/>
      </c>
      <c r="D829" s="14">
        <f>IF($H829="","",IFERROR(UPPER(LEFT(TRIM(INDEX(FormData,$H829,f_Name)),1)&amp;IFERROR(MID(TRIM(INDEX(FormData,$H829,f_Name)),FIND("^",SUBSTITUTE(TRIM(INDEX(FormData,$H829,f_Name))," ","^",LEN(TRIM(INDEX(FormData,$H829,f_Name)))-LEN(SUBSTITUTE(TRIM(INDEX(FormData,$H829,f_Name))," ",""))))+1,1),"")),""))</f>
        <v/>
      </c>
      <c r="E829" s="16">
        <f>IF($H829="","",IFERROR(INDEX(EvID,MATCH(INDEX(FormData,$H829,f_Event),EvID,0)),IFERROR(INDEX(EvID,MATCH(INDEX(FormData,$H829,f_Event),EvName,0)),IFERROR(INDEX(EvID,MATCH(INT($C829),EvDate,0)),"(no event that day)"))))</f>
        <v/>
      </c>
      <c r="F829" s="16">
        <f>IF($H829="","",IFERROR(IF(SUMPRODUCT(MAX((WhoKW&lt;&gt;"")*ISNUMBER(SEARCH(WhoKW,INDEX(FormData,$H829,f_Who)&amp;""))*(ROW(WhoKW)-MIN(ROW(WhoKW))+1)))=0,"",INDEX(WhoVal,SUMPRODUCT(MAX((WhoKW&lt;&gt;"")*ISNUMBER(SEARCH(WhoKW,INDEX(FormData,$H829,f_Who)&amp;""))*(ROW(WhoKW)-MIN(ROW(WhoKW))+1))))),""))</f>
        <v/>
      </c>
      <c r="G829" s="14">
        <f>IF($H829="","",IF(COUNTIF(People!$U$5:$U$604,$B829)+COUNTIF(People!$U$5:$U$604,$B829&amp;"")&gt;0,"✓ logged","→ add"))</f>
        <v/>
      </c>
      <c r="H829">
        <f>IFERROR(IF(INDEX(FormData,826,f_Id)&amp;""="","",826),"")</f>
        <v/>
      </c>
      <c r="I829" s="16">
        <f>IF($H829="","",IFERROR(INDEX(FormData,$H829,f_Need)&amp;"",""))</f>
        <v/>
      </c>
    </row>
    <row r="830">
      <c r="A830" s="14" t="n">
        <v>826</v>
      </c>
      <c r="B830" s="14">
        <f>IF($H830="","",INDEX(FormData,$H830,f_Id))</f>
        <v/>
      </c>
      <c r="C830" s="15">
        <f>IF($H830="","",IFERROR(INDEX(FormData,$H830,f_Time),""))</f>
        <v/>
      </c>
      <c r="D830" s="14">
        <f>IF($H830="","",IFERROR(UPPER(LEFT(TRIM(INDEX(FormData,$H830,f_Name)),1)&amp;IFERROR(MID(TRIM(INDEX(FormData,$H830,f_Name)),FIND("^",SUBSTITUTE(TRIM(INDEX(FormData,$H830,f_Name))," ","^",LEN(TRIM(INDEX(FormData,$H830,f_Name)))-LEN(SUBSTITUTE(TRIM(INDEX(FormData,$H830,f_Name))," ",""))))+1,1),"")),""))</f>
        <v/>
      </c>
      <c r="E830" s="16">
        <f>IF($H830="","",IFERROR(INDEX(EvID,MATCH(INDEX(FormData,$H830,f_Event),EvID,0)),IFERROR(INDEX(EvID,MATCH(INDEX(FormData,$H830,f_Event),EvName,0)),IFERROR(INDEX(EvID,MATCH(INT($C830),EvDate,0)),"(no event that day)"))))</f>
        <v/>
      </c>
      <c r="F830" s="16">
        <f>IF($H830="","",IFERROR(IF(SUMPRODUCT(MAX((WhoKW&lt;&gt;"")*ISNUMBER(SEARCH(WhoKW,INDEX(FormData,$H830,f_Who)&amp;""))*(ROW(WhoKW)-MIN(ROW(WhoKW))+1)))=0,"",INDEX(WhoVal,SUMPRODUCT(MAX((WhoKW&lt;&gt;"")*ISNUMBER(SEARCH(WhoKW,INDEX(FormData,$H830,f_Who)&amp;""))*(ROW(WhoKW)-MIN(ROW(WhoKW))+1))))),""))</f>
        <v/>
      </c>
      <c r="G830" s="14">
        <f>IF($H830="","",IF(COUNTIF(People!$U$5:$U$604,$B830)+COUNTIF(People!$U$5:$U$604,$B830&amp;"")&gt;0,"✓ logged","→ add"))</f>
        <v/>
      </c>
      <c r="H830">
        <f>IFERROR(IF(INDEX(FormData,827,f_Id)&amp;""="","",827),"")</f>
        <v/>
      </c>
      <c r="I830" s="16">
        <f>IF($H830="","",IFERROR(INDEX(FormData,$H830,f_Need)&amp;"",""))</f>
        <v/>
      </c>
    </row>
    <row r="831">
      <c r="A831" s="14" t="n">
        <v>827</v>
      </c>
      <c r="B831" s="14">
        <f>IF($H831="","",INDEX(FormData,$H831,f_Id))</f>
        <v/>
      </c>
      <c r="C831" s="15">
        <f>IF($H831="","",IFERROR(INDEX(FormData,$H831,f_Time),""))</f>
        <v/>
      </c>
      <c r="D831" s="14">
        <f>IF($H831="","",IFERROR(UPPER(LEFT(TRIM(INDEX(FormData,$H831,f_Name)),1)&amp;IFERROR(MID(TRIM(INDEX(FormData,$H831,f_Name)),FIND("^",SUBSTITUTE(TRIM(INDEX(FormData,$H831,f_Name))," ","^",LEN(TRIM(INDEX(FormData,$H831,f_Name)))-LEN(SUBSTITUTE(TRIM(INDEX(FormData,$H831,f_Name))," ",""))))+1,1),"")),""))</f>
        <v/>
      </c>
      <c r="E831" s="16">
        <f>IF($H831="","",IFERROR(INDEX(EvID,MATCH(INDEX(FormData,$H831,f_Event),EvID,0)),IFERROR(INDEX(EvID,MATCH(INDEX(FormData,$H831,f_Event),EvName,0)),IFERROR(INDEX(EvID,MATCH(INT($C831),EvDate,0)),"(no event that day)"))))</f>
        <v/>
      </c>
      <c r="F831" s="16">
        <f>IF($H831="","",IFERROR(IF(SUMPRODUCT(MAX((WhoKW&lt;&gt;"")*ISNUMBER(SEARCH(WhoKW,INDEX(FormData,$H831,f_Who)&amp;""))*(ROW(WhoKW)-MIN(ROW(WhoKW))+1)))=0,"",INDEX(WhoVal,SUMPRODUCT(MAX((WhoKW&lt;&gt;"")*ISNUMBER(SEARCH(WhoKW,INDEX(FormData,$H831,f_Who)&amp;""))*(ROW(WhoKW)-MIN(ROW(WhoKW))+1))))),""))</f>
        <v/>
      </c>
      <c r="G831" s="14">
        <f>IF($H831="","",IF(COUNTIF(People!$U$5:$U$604,$B831)+COUNTIF(People!$U$5:$U$604,$B831&amp;"")&gt;0,"✓ logged","→ add"))</f>
        <v/>
      </c>
      <c r="H831">
        <f>IFERROR(IF(INDEX(FormData,828,f_Id)&amp;""="","",828),"")</f>
        <v/>
      </c>
      <c r="I831" s="16">
        <f>IF($H831="","",IFERROR(INDEX(FormData,$H831,f_Need)&amp;"",""))</f>
        <v/>
      </c>
    </row>
    <row r="832">
      <c r="A832" s="14" t="n">
        <v>828</v>
      </c>
      <c r="B832" s="14">
        <f>IF($H832="","",INDEX(FormData,$H832,f_Id))</f>
        <v/>
      </c>
      <c r="C832" s="15">
        <f>IF($H832="","",IFERROR(INDEX(FormData,$H832,f_Time),""))</f>
        <v/>
      </c>
      <c r="D832" s="14">
        <f>IF($H832="","",IFERROR(UPPER(LEFT(TRIM(INDEX(FormData,$H832,f_Name)),1)&amp;IFERROR(MID(TRIM(INDEX(FormData,$H832,f_Name)),FIND("^",SUBSTITUTE(TRIM(INDEX(FormData,$H832,f_Name))," ","^",LEN(TRIM(INDEX(FormData,$H832,f_Name)))-LEN(SUBSTITUTE(TRIM(INDEX(FormData,$H832,f_Name))," ",""))))+1,1),"")),""))</f>
        <v/>
      </c>
      <c r="E832" s="16">
        <f>IF($H832="","",IFERROR(INDEX(EvID,MATCH(INDEX(FormData,$H832,f_Event),EvID,0)),IFERROR(INDEX(EvID,MATCH(INDEX(FormData,$H832,f_Event),EvName,0)),IFERROR(INDEX(EvID,MATCH(INT($C832),EvDate,0)),"(no event that day)"))))</f>
        <v/>
      </c>
      <c r="F832" s="16">
        <f>IF($H832="","",IFERROR(IF(SUMPRODUCT(MAX((WhoKW&lt;&gt;"")*ISNUMBER(SEARCH(WhoKW,INDEX(FormData,$H832,f_Who)&amp;""))*(ROW(WhoKW)-MIN(ROW(WhoKW))+1)))=0,"",INDEX(WhoVal,SUMPRODUCT(MAX((WhoKW&lt;&gt;"")*ISNUMBER(SEARCH(WhoKW,INDEX(FormData,$H832,f_Who)&amp;""))*(ROW(WhoKW)-MIN(ROW(WhoKW))+1))))),""))</f>
        <v/>
      </c>
      <c r="G832" s="14">
        <f>IF($H832="","",IF(COUNTIF(People!$U$5:$U$604,$B832)+COUNTIF(People!$U$5:$U$604,$B832&amp;"")&gt;0,"✓ logged","→ add"))</f>
        <v/>
      </c>
      <c r="H832">
        <f>IFERROR(IF(INDEX(FormData,829,f_Id)&amp;""="","",829),"")</f>
        <v/>
      </c>
      <c r="I832" s="16">
        <f>IF($H832="","",IFERROR(INDEX(FormData,$H832,f_Need)&amp;"",""))</f>
        <v/>
      </c>
    </row>
    <row r="833">
      <c r="A833" s="14" t="n">
        <v>829</v>
      </c>
      <c r="B833" s="14">
        <f>IF($H833="","",INDEX(FormData,$H833,f_Id))</f>
        <v/>
      </c>
      <c r="C833" s="15">
        <f>IF($H833="","",IFERROR(INDEX(FormData,$H833,f_Time),""))</f>
        <v/>
      </c>
      <c r="D833" s="14">
        <f>IF($H833="","",IFERROR(UPPER(LEFT(TRIM(INDEX(FormData,$H833,f_Name)),1)&amp;IFERROR(MID(TRIM(INDEX(FormData,$H833,f_Name)),FIND("^",SUBSTITUTE(TRIM(INDEX(FormData,$H833,f_Name))," ","^",LEN(TRIM(INDEX(FormData,$H833,f_Name)))-LEN(SUBSTITUTE(TRIM(INDEX(FormData,$H833,f_Name))," ",""))))+1,1),"")),""))</f>
        <v/>
      </c>
      <c r="E833" s="16">
        <f>IF($H833="","",IFERROR(INDEX(EvID,MATCH(INDEX(FormData,$H833,f_Event),EvID,0)),IFERROR(INDEX(EvID,MATCH(INDEX(FormData,$H833,f_Event),EvName,0)),IFERROR(INDEX(EvID,MATCH(INT($C833),EvDate,0)),"(no event that day)"))))</f>
        <v/>
      </c>
      <c r="F833" s="16">
        <f>IF($H833="","",IFERROR(IF(SUMPRODUCT(MAX((WhoKW&lt;&gt;"")*ISNUMBER(SEARCH(WhoKW,INDEX(FormData,$H833,f_Who)&amp;""))*(ROW(WhoKW)-MIN(ROW(WhoKW))+1)))=0,"",INDEX(WhoVal,SUMPRODUCT(MAX((WhoKW&lt;&gt;"")*ISNUMBER(SEARCH(WhoKW,INDEX(FormData,$H833,f_Who)&amp;""))*(ROW(WhoKW)-MIN(ROW(WhoKW))+1))))),""))</f>
        <v/>
      </c>
      <c r="G833" s="14">
        <f>IF($H833="","",IF(COUNTIF(People!$U$5:$U$604,$B833)+COUNTIF(People!$U$5:$U$604,$B833&amp;"")&gt;0,"✓ logged","→ add"))</f>
        <v/>
      </c>
      <c r="H833">
        <f>IFERROR(IF(INDEX(FormData,830,f_Id)&amp;""="","",830),"")</f>
        <v/>
      </c>
      <c r="I833" s="16">
        <f>IF($H833="","",IFERROR(INDEX(FormData,$H833,f_Need)&amp;"",""))</f>
        <v/>
      </c>
    </row>
    <row r="834">
      <c r="A834" s="14" t="n">
        <v>830</v>
      </c>
      <c r="B834" s="14">
        <f>IF($H834="","",INDEX(FormData,$H834,f_Id))</f>
        <v/>
      </c>
      <c r="C834" s="15">
        <f>IF($H834="","",IFERROR(INDEX(FormData,$H834,f_Time),""))</f>
        <v/>
      </c>
      <c r="D834" s="14">
        <f>IF($H834="","",IFERROR(UPPER(LEFT(TRIM(INDEX(FormData,$H834,f_Name)),1)&amp;IFERROR(MID(TRIM(INDEX(FormData,$H834,f_Name)),FIND("^",SUBSTITUTE(TRIM(INDEX(FormData,$H834,f_Name))," ","^",LEN(TRIM(INDEX(FormData,$H834,f_Name)))-LEN(SUBSTITUTE(TRIM(INDEX(FormData,$H834,f_Name))," ",""))))+1,1),"")),""))</f>
        <v/>
      </c>
      <c r="E834" s="16">
        <f>IF($H834="","",IFERROR(INDEX(EvID,MATCH(INDEX(FormData,$H834,f_Event),EvID,0)),IFERROR(INDEX(EvID,MATCH(INDEX(FormData,$H834,f_Event),EvName,0)),IFERROR(INDEX(EvID,MATCH(INT($C834),EvDate,0)),"(no event that day)"))))</f>
        <v/>
      </c>
      <c r="F834" s="16">
        <f>IF($H834="","",IFERROR(IF(SUMPRODUCT(MAX((WhoKW&lt;&gt;"")*ISNUMBER(SEARCH(WhoKW,INDEX(FormData,$H834,f_Who)&amp;""))*(ROW(WhoKW)-MIN(ROW(WhoKW))+1)))=0,"",INDEX(WhoVal,SUMPRODUCT(MAX((WhoKW&lt;&gt;"")*ISNUMBER(SEARCH(WhoKW,INDEX(FormData,$H834,f_Who)&amp;""))*(ROW(WhoKW)-MIN(ROW(WhoKW))+1))))),""))</f>
        <v/>
      </c>
      <c r="G834" s="14">
        <f>IF($H834="","",IF(COUNTIF(People!$U$5:$U$604,$B834)+COUNTIF(People!$U$5:$U$604,$B834&amp;"")&gt;0,"✓ logged","→ add"))</f>
        <v/>
      </c>
      <c r="H834">
        <f>IFERROR(IF(INDEX(FormData,831,f_Id)&amp;""="","",831),"")</f>
        <v/>
      </c>
      <c r="I834" s="16">
        <f>IF($H834="","",IFERROR(INDEX(FormData,$H834,f_Need)&amp;"",""))</f>
        <v/>
      </c>
    </row>
    <row r="835">
      <c r="A835" s="14" t="n">
        <v>831</v>
      </c>
      <c r="B835" s="14">
        <f>IF($H835="","",INDEX(FormData,$H835,f_Id))</f>
        <v/>
      </c>
      <c r="C835" s="15">
        <f>IF($H835="","",IFERROR(INDEX(FormData,$H835,f_Time),""))</f>
        <v/>
      </c>
      <c r="D835" s="14">
        <f>IF($H835="","",IFERROR(UPPER(LEFT(TRIM(INDEX(FormData,$H835,f_Name)),1)&amp;IFERROR(MID(TRIM(INDEX(FormData,$H835,f_Name)),FIND("^",SUBSTITUTE(TRIM(INDEX(FormData,$H835,f_Name))," ","^",LEN(TRIM(INDEX(FormData,$H835,f_Name)))-LEN(SUBSTITUTE(TRIM(INDEX(FormData,$H835,f_Name))," ",""))))+1,1),"")),""))</f>
        <v/>
      </c>
      <c r="E835" s="16">
        <f>IF($H835="","",IFERROR(INDEX(EvID,MATCH(INDEX(FormData,$H835,f_Event),EvID,0)),IFERROR(INDEX(EvID,MATCH(INDEX(FormData,$H835,f_Event),EvName,0)),IFERROR(INDEX(EvID,MATCH(INT($C835),EvDate,0)),"(no event that day)"))))</f>
        <v/>
      </c>
      <c r="F835" s="16">
        <f>IF($H835="","",IFERROR(IF(SUMPRODUCT(MAX((WhoKW&lt;&gt;"")*ISNUMBER(SEARCH(WhoKW,INDEX(FormData,$H835,f_Who)&amp;""))*(ROW(WhoKW)-MIN(ROW(WhoKW))+1)))=0,"",INDEX(WhoVal,SUMPRODUCT(MAX((WhoKW&lt;&gt;"")*ISNUMBER(SEARCH(WhoKW,INDEX(FormData,$H835,f_Who)&amp;""))*(ROW(WhoKW)-MIN(ROW(WhoKW))+1))))),""))</f>
        <v/>
      </c>
      <c r="G835" s="14">
        <f>IF($H835="","",IF(COUNTIF(People!$U$5:$U$604,$B835)+COUNTIF(People!$U$5:$U$604,$B835&amp;"")&gt;0,"✓ logged","→ add"))</f>
        <v/>
      </c>
      <c r="H835">
        <f>IFERROR(IF(INDEX(FormData,832,f_Id)&amp;""="","",832),"")</f>
        <v/>
      </c>
      <c r="I835" s="16">
        <f>IF($H835="","",IFERROR(INDEX(FormData,$H835,f_Need)&amp;"",""))</f>
        <v/>
      </c>
    </row>
    <row r="836">
      <c r="A836" s="14" t="n">
        <v>832</v>
      </c>
      <c r="B836" s="14">
        <f>IF($H836="","",INDEX(FormData,$H836,f_Id))</f>
        <v/>
      </c>
      <c r="C836" s="15">
        <f>IF($H836="","",IFERROR(INDEX(FormData,$H836,f_Time),""))</f>
        <v/>
      </c>
      <c r="D836" s="14">
        <f>IF($H836="","",IFERROR(UPPER(LEFT(TRIM(INDEX(FormData,$H836,f_Name)),1)&amp;IFERROR(MID(TRIM(INDEX(FormData,$H836,f_Name)),FIND("^",SUBSTITUTE(TRIM(INDEX(FormData,$H836,f_Name))," ","^",LEN(TRIM(INDEX(FormData,$H836,f_Name)))-LEN(SUBSTITUTE(TRIM(INDEX(FormData,$H836,f_Name))," ",""))))+1,1),"")),""))</f>
        <v/>
      </c>
      <c r="E836" s="16">
        <f>IF($H836="","",IFERROR(INDEX(EvID,MATCH(INDEX(FormData,$H836,f_Event),EvID,0)),IFERROR(INDEX(EvID,MATCH(INDEX(FormData,$H836,f_Event),EvName,0)),IFERROR(INDEX(EvID,MATCH(INT($C836),EvDate,0)),"(no event that day)"))))</f>
        <v/>
      </c>
      <c r="F836" s="16">
        <f>IF($H836="","",IFERROR(IF(SUMPRODUCT(MAX((WhoKW&lt;&gt;"")*ISNUMBER(SEARCH(WhoKW,INDEX(FormData,$H836,f_Who)&amp;""))*(ROW(WhoKW)-MIN(ROW(WhoKW))+1)))=0,"",INDEX(WhoVal,SUMPRODUCT(MAX((WhoKW&lt;&gt;"")*ISNUMBER(SEARCH(WhoKW,INDEX(FormData,$H836,f_Who)&amp;""))*(ROW(WhoKW)-MIN(ROW(WhoKW))+1))))),""))</f>
        <v/>
      </c>
      <c r="G836" s="14">
        <f>IF($H836="","",IF(COUNTIF(People!$U$5:$U$604,$B836)+COUNTIF(People!$U$5:$U$604,$B836&amp;"")&gt;0,"✓ logged","→ add"))</f>
        <v/>
      </c>
      <c r="H836">
        <f>IFERROR(IF(INDEX(FormData,833,f_Id)&amp;""="","",833),"")</f>
        <v/>
      </c>
      <c r="I836" s="16">
        <f>IF($H836="","",IFERROR(INDEX(FormData,$H836,f_Need)&amp;"",""))</f>
        <v/>
      </c>
    </row>
    <row r="837">
      <c r="A837" s="14" t="n">
        <v>833</v>
      </c>
      <c r="B837" s="14">
        <f>IF($H837="","",INDEX(FormData,$H837,f_Id))</f>
        <v/>
      </c>
      <c r="C837" s="15">
        <f>IF($H837="","",IFERROR(INDEX(FormData,$H837,f_Time),""))</f>
        <v/>
      </c>
      <c r="D837" s="14">
        <f>IF($H837="","",IFERROR(UPPER(LEFT(TRIM(INDEX(FormData,$H837,f_Name)),1)&amp;IFERROR(MID(TRIM(INDEX(FormData,$H837,f_Name)),FIND("^",SUBSTITUTE(TRIM(INDEX(FormData,$H837,f_Name))," ","^",LEN(TRIM(INDEX(FormData,$H837,f_Name)))-LEN(SUBSTITUTE(TRIM(INDEX(FormData,$H837,f_Name))," ",""))))+1,1),"")),""))</f>
        <v/>
      </c>
      <c r="E837" s="16">
        <f>IF($H837="","",IFERROR(INDEX(EvID,MATCH(INDEX(FormData,$H837,f_Event),EvID,0)),IFERROR(INDEX(EvID,MATCH(INDEX(FormData,$H837,f_Event),EvName,0)),IFERROR(INDEX(EvID,MATCH(INT($C837),EvDate,0)),"(no event that day)"))))</f>
        <v/>
      </c>
      <c r="F837" s="16">
        <f>IF($H837="","",IFERROR(IF(SUMPRODUCT(MAX((WhoKW&lt;&gt;"")*ISNUMBER(SEARCH(WhoKW,INDEX(FormData,$H837,f_Who)&amp;""))*(ROW(WhoKW)-MIN(ROW(WhoKW))+1)))=0,"",INDEX(WhoVal,SUMPRODUCT(MAX((WhoKW&lt;&gt;"")*ISNUMBER(SEARCH(WhoKW,INDEX(FormData,$H837,f_Who)&amp;""))*(ROW(WhoKW)-MIN(ROW(WhoKW))+1))))),""))</f>
        <v/>
      </c>
      <c r="G837" s="14">
        <f>IF($H837="","",IF(COUNTIF(People!$U$5:$U$604,$B837)+COUNTIF(People!$U$5:$U$604,$B837&amp;"")&gt;0,"✓ logged","→ add"))</f>
        <v/>
      </c>
      <c r="H837">
        <f>IFERROR(IF(INDEX(FormData,834,f_Id)&amp;""="","",834),"")</f>
        <v/>
      </c>
      <c r="I837" s="16">
        <f>IF($H837="","",IFERROR(INDEX(FormData,$H837,f_Need)&amp;"",""))</f>
        <v/>
      </c>
    </row>
    <row r="838">
      <c r="A838" s="14" t="n">
        <v>834</v>
      </c>
      <c r="B838" s="14">
        <f>IF($H838="","",INDEX(FormData,$H838,f_Id))</f>
        <v/>
      </c>
      <c r="C838" s="15">
        <f>IF($H838="","",IFERROR(INDEX(FormData,$H838,f_Time),""))</f>
        <v/>
      </c>
      <c r="D838" s="14">
        <f>IF($H838="","",IFERROR(UPPER(LEFT(TRIM(INDEX(FormData,$H838,f_Name)),1)&amp;IFERROR(MID(TRIM(INDEX(FormData,$H838,f_Name)),FIND("^",SUBSTITUTE(TRIM(INDEX(FormData,$H838,f_Name))," ","^",LEN(TRIM(INDEX(FormData,$H838,f_Name)))-LEN(SUBSTITUTE(TRIM(INDEX(FormData,$H838,f_Name))," ",""))))+1,1),"")),""))</f>
        <v/>
      </c>
      <c r="E838" s="16">
        <f>IF($H838="","",IFERROR(INDEX(EvID,MATCH(INDEX(FormData,$H838,f_Event),EvID,0)),IFERROR(INDEX(EvID,MATCH(INDEX(FormData,$H838,f_Event),EvName,0)),IFERROR(INDEX(EvID,MATCH(INT($C838),EvDate,0)),"(no event that day)"))))</f>
        <v/>
      </c>
      <c r="F838" s="16">
        <f>IF($H838="","",IFERROR(IF(SUMPRODUCT(MAX((WhoKW&lt;&gt;"")*ISNUMBER(SEARCH(WhoKW,INDEX(FormData,$H838,f_Who)&amp;""))*(ROW(WhoKW)-MIN(ROW(WhoKW))+1)))=0,"",INDEX(WhoVal,SUMPRODUCT(MAX((WhoKW&lt;&gt;"")*ISNUMBER(SEARCH(WhoKW,INDEX(FormData,$H838,f_Who)&amp;""))*(ROW(WhoKW)-MIN(ROW(WhoKW))+1))))),""))</f>
        <v/>
      </c>
      <c r="G838" s="14">
        <f>IF($H838="","",IF(COUNTIF(People!$U$5:$U$604,$B838)+COUNTIF(People!$U$5:$U$604,$B838&amp;"")&gt;0,"✓ logged","→ add"))</f>
        <v/>
      </c>
      <c r="H838">
        <f>IFERROR(IF(INDEX(FormData,835,f_Id)&amp;""="","",835),"")</f>
        <v/>
      </c>
      <c r="I838" s="16">
        <f>IF($H838="","",IFERROR(INDEX(FormData,$H838,f_Need)&amp;"",""))</f>
        <v/>
      </c>
    </row>
    <row r="839">
      <c r="A839" s="14" t="n">
        <v>835</v>
      </c>
      <c r="B839" s="14">
        <f>IF($H839="","",INDEX(FormData,$H839,f_Id))</f>
        <v/>
      </c>
      <c r="C839" s="15">
        <f>IF($H839="","",IFERROR(INDEX(FormData,$H839,f_Time),""))</f>
        <v/>
      </c>
      <c r="D839" s="14">
        <f>IF($H839="","",IFERROR(UPPER(LEFT(TRIM(INDEX(FormData,$H839,f_Name)),1)&amp;IFERROR(MID(TRIM(INDEX(FormData,$H839,f_Name)),FIND("^",SUBSTITUTE(TRIM(INDEX(FormData,$H839,f_Name))," ","^",LEN(TRIM(INDEX(FormData,$H839,f_Name)))-LEN(SUBSTITUTE(TRIM(INDEX(FormData,$H839,f_Name))," ",""))))+1,1),"")),""))</f>
        <v/>
      </c>
      <c r="E839" s="16">
        <f>IF($H839="","",IFERROR(INDEX(EvID,MATCH(INDEX(FormData,$H839,f_Event),EvID,0)),IFERROR(INDEX(EvID,MATCH(INDEX(FormData,$H839,f_Event),EvName,0)),IFERROR(INDEX(EvID,MATCH(INT($C839),EvDate,0)),"(no event that day)"))))</f>
        <v/>
      </c>
      <c r="F839" s="16">
        <f>IF($H839="","",IFERROR(IF(SUMPRODUCT(MAX((WhoKW&lt;&gt;"")*ISNUMBER(SEARCH(WhoKW,INDEX(FormData,$H839,f_Who)&amp;""))*(ROW(WhoKW)-MIN(ROW(WhoKW))+1)))=0,"",INDEX(WhoVal,SUMPRODUCT(MAX((WhoKW&lt;&gt;"")*ISNUMBER(SEARCH(WhoKW,INDEX(FormData,$H839,f_Who)&amp;""))*(ROW(WhoKW)-MIN(ROW(WhoKW))+1))))),""))</f>
        <v/>
      </c>
      <c r="G839" s="14">
        <f>IF($H839="","",IF(COUNTIF(People!$U$5:$U$604,$B839)+COUNTIF(People!$U$5:$U$604,$B839&amp;"")&gt;0,"✓ logged","→ add"))</f>
        <v/>
      </c>
      <c r="H839">
        <f>IFERROR(IF(INDEX(FormData,836,f_Id)&amp;""="","",836),"")</f>
        <v/>
      </c>
      <c r="I839" s="16">
        <f>IF($H839="","",IFERROR(INDEX(FormData,$H839,f_Need)&amp;"",""))</f>
        <v/>
      </c>
    </row>
    <row r="840">
      <c r="A840" s="14" t="n">
        <v>836</v>
      </c>
      <c r="B840" s="14">
        <f>IF($H840="","",INDEX(FormData,$H840,f_Id))</f>
        <v/>
      </c>
      <c r="C840" s="15">
        <f>IF($H840="","",IFERROR(INDEX(FormData,$H840,f_Time),""))</f>
        <v/>
      </c>
      <c r="D840" s="14">
        <f>IF($H840="","",IFERROR(UPPER(LEFT(TRIM(INDEX(FormData,$H840,f_Name)),1)&amp;IFERROR(MID(TRIM(INDEX(FormData,$H840,f_Name)),FIND("^",SUBSTITUTE(TRIM(INDEX(FormData,$H840,f_Name))," ","^",LEN(TRIM(INDEX(FormData,$H840,f_Name)))-LEN(SUBSTITUTE(TRIM(INDEX(FormData,$H840,f_Name))," ",""))))+1,1),"")),""))</f>
        <v/>
      </c>
      <c r="E840" s="16">
        <f>IF($H840="","",IFERROR(INDEX(EvID,MATCH(INDEX(FormData,$H840,f_Event),EvID,0)),IFERROR(INDEX(EvID,MATCH(INDEX(FormData,$H840,f_Event),EvName,0)),IFERROR(INDEX(EvID,MATCH(INT($C840),EvDate,0)),"(no event that day)"))))</f>
        <v/>
      </c>
      <c r="F840" s="16">
        <f>IF($H840="","",IFERROR(IF(SUMPRODUCT(MAX((WhoKW&lt;&gt;"")*ISNUMBER(SEARCH(WhoKW,INDEX(FormData,$H840,f_Who)&amp;""))*(ROW(WhoKW)-MIN(ROW(WhoKW))+1)))=0,"",INDEX(WhoVal,SUMPRODUCT(MAX((WhoKW&lt;&gt;"")*ISNUMBER(SEARCH(WhoKW,INDEX(FormData,$H840,f_Who)&amp;""))*(ROW(WhoKW)-MIN(ROW(WhoKW))+1))))),""))</f>
        <v/>
      </c>
      <c r="G840" s="14">
        <f>IF($H840="","",IF(COUNTIF(People!$U$5:$U$604,$B840)+COUNTIF(People!$U$5:$U$604,$B840&amp;"")&gt;0,"✓ logged","→ add"))</f>
        <v/>
      </c>
      <c r="H840">
        <f>IFERROR(IF(INDEX(FormData,837,f_Id)&amp;""="","",837),"")</f>
        <v/>
      </c>
      <c r="I840" s="16">
        <f>IF($H840="","",IFERROR(INDEX(FormData,$H840,f_Need)&amp;"",""))</f>
        <v/>
      </c>
    </row>
    <row r="841">
      <c r="A841" s="14" t="n">
        <v>837</v>
      </c>
      <c r="B841" s="14">
        <f>IF($H841="","",INDEX(FormData,$H841,f_Id))</f>
        <v/>
      </c>
      <c r="C841" s="15">
        <f>IF($H841="","",IFERROR(INDEX(FormData,$H841,f_Time),""))</f>
        <v/>
      </c>
      <c r="D841" s="14">
        <f>IF($H841="","",IFERROR(UPPER(LEFT(TRIM(INDEX(FormData,$H841,f_Name)),1)&amp;IFERROR(MID(TRIM(INDEX(FormData,$H841,f_Name)),FIND("^",SUBSTITUTE(TRIM(INDEX(FormData,$H841,f_Name))," ","^",LEN(TRIM(INDEX(FormData,$H841,f_Name)))-LEN(SUBSTITUTE(TRIM(INDEX(FormData,$H841,f_Name))," ",""))))+1,1),"")),""))</f>
        <v/>
      </c>
      <c r="E841" s="16">
        <f>IF($H841="","",IFERROR(INDEX(EvID,MATCH(INDEX(FormData,$H841,f_Event),EvID,0)),IFERROR(INDEX(EvID,MATCH(INDEX(FormData,$H841,f_Event),EvName,0)),IFERROR(INDEX(EvID,MATCH(INT($C841),EvDate,0)),"(no event that day)"))))</f>
        <v/>
      </c>
      <c r="F841" s="16">
        <f>IF($H841="","",IFERROR(IF(SUMPRODUCT(MAX((WhoKW&lt;&gt;"")*ISNUMBER(SEARCH(WhoKW,INDEX(FormData,$H841,f_Who)&amp;""))*(ROW(WhoKW)-MIN(ROW(WhoKW))+1)))=0,"",INDEX(WhoVal,SUMPRODUCT(MAX((WhoKW&lt;&gt;"")*ISNUMBER(SEARCH(WhoKW,INDEX(FormData,$H841,f_Who)&amp;""))*(ROW(WhoKW)-MIN(ROW(WhoKW))+1))))),""))</f>
        <v/>
      </c>
      <c r="G841" s="14">
        <f>IF($H841="","",IF(COUNTIF(People!$U$5:$U$604,$B841)+COUNTIF(People!$U$5:$U$604,$B841&amp;"")&gt;0,"✓ logged","→ add"))</f>
        <v/>
      </c>
      <c r="H841">
        <f>IFERROR(IF(INDEX(FormData,838,f_Id)&amp;""="","",838),"")</f>
        <v/>
      </c>
      <c r="I841" s="16">
        <f>IF($H841="","",IFERROR(INDEX(FormData,$H841,f_Need)&amp;"",""))</f>
        <v/>
      </c>
    </row>
    <row r="842">
      <c r="A842" s="14" t="n">
        <v>838</v>
      </c>
      <c r="B842" s="14">
        <f>IF($H842="","",INDEX(FormData,$H842,f_Id))</f>
        <v/>
      </c>
      <c r="C842" s="15">
        <f>IF($H842="","",IFERROR(INDEX(FormData,$H842,f_Time),""))</f>
        <v/>
      </c>
      <c r="D842" s="14">
        <f>IF($H842="","",IFERROR(UPPER(LEFT(TRIM(INDEX(FormData,$H842,f_Name)),1)&amp;IFERROR(MID(TRIM(INDEX(FormData,$H842,f_Name)),FIND("^",SUBSTITUTE(TRIM(INDEX(FormData,$H842,f_Name))," ","^",LEN(TRIM(INDEX(FormData,$H842,f_Name)))-LEN(SUBSTITUTE(TRIM(INDEX(FormData,$H842,f_Name))," ",""))))+1,1),"")),""))</f>
        <v/>
      </c>
      <c r="E842" s="16">
        <f>IF($H842="","",IFERROR(INDEX(EvID,MATCH(INDEX(FormData,$H842,f_Event),EvID,0)),IFERROR(INDEX(EvID,MATCH(INDEX(FormData,$H842,f_Event),EvName,0)),IFERROR(INDEX(EvID,MATCH(INT($C842),EvDate,0)),"(no event that day)"))))</f>
        <v/>
      </c>
      <c r="F842" s="16">
        <f>IF($H842="","",IFERROR(IF(SUMPRODUCT(MAX((WhoKW&lt;&gt;"")*ISNUMBER(SEARCH(WhoKW,INDEX(FormData,$H842,f_Who)&amp;""))*(ROW(WhoKW)-MIN(ROW(WhoKW))+1)))=0,"",INDEX(WhoVal,SUMPRODUCT(MAX((WhoKW&lt;&gt;"")*ISNUMBER(SEARCH(WhoKW,INDEX(FormData,$H842,f_Who)&amp;""))*(ROW(WhoKW)-MIN(ROW(WhoKW))+1))))),""))</f>
        <v/>
      </c>
      <c r="G842" s="14">
        <f>IF($H842="","",IF(COUNTIF(People!$U$5:$U$604,$B842)+COUNTIF(People!$U$5:$U$604,$B842&amp;"")&gt;0,"✓ logged","→ add"))</f>
        <v/>
      </c>
      <c r="H842">
        <f>IFERROR(IF(INDEX(FormData,839,f_Id)&amp;""="","",839),"")</f>
        <v/>
      </c>
      <c r="I842" s="16">
        <f>IF($H842="","",IFERROR(INDEX(FormData,$H842,f_Need)&amp;"",""))</f>
        <v/>
      </c>
    </row>
    <row r="843">
      <c r="A843" s="14" t="n">
        <v>839</v>
      </c>
      <c r="B843" s="14">
        <f>IF($H843="","",INDEX(FormData,$H843,f_Id))</f>
        <v/>
      </c>
      <c r="C843" s="15">
        <f>IF($H843="","",IFERROR(INDEX(FormData,$H843,f_Time),""))</f>
        <v/>
      </c>
      <c r="D843" s="14">
        <f>IF($H843="","",IFERROR(UPPER(LEFT(TRIM(INDEX(FormData,$H843,f_Name)),1)&amp;IFERROR(MID(TRIM(INDEX(FormData,$H843,f_Name)),FIND("^",SUBSTITUTE(TRIM(INDEX(FormData,$H843,f_Name))," ","^",LEN(TRIM(INDEX(FormData,$H843,f_Name)))-LEN(SUBSTITUTE(TRIM(INDEX(FormData,$H843,f_Name))," ",""))))+1,1),"")),""))</f>
        <v/>
      </c>
      <c r="E843" s="16">
        <f>IF($H843="","",IFERROR(INDEX(EvID,MATCH(INDEX(FormData,$H843,f_Event),EvID,0)),IFERROR(INDEX(EvID,MATCH(INDEX(FormData,$H843,f_Event),EvName,0)),IFERROR(INDEX(EvID,MATCH(INT($C843),EvDate,0)),"(no event that day)"))))</f>
        <v/>
      </c>
      <c r="F843" s="16">
        <f>IF($H843="","",IFERROR(IF(SUMPRODUCT(MAX((WhoKW&lt;&gt;"")*ISNUMBER(SEARCH(WhoKW,INDEX(FormData,$H843,f_Who)&amp;""))*(ROW(WhoKW)-MIN(ROW(WhoKW))+1)))=0,"",INDEX(WhoVal,SUMPRODUCT(MAX((WhoKW&lt;&gt;"")*ISNUMBER(SEARCH(WhoKW,INDEX(FormData,$H843,f_Who)&amp;""))*(ROW(WhoKW)-MIN(ROW(WhoKW))+1))))),""))</f>
        <v/>
      </c>
      <c r="G843" s="14">
        <f>IF($H843="","",IF(COUNTIF(People!$U$5:$U$604,$B843)+COUNTIF(People!$U$5:$U$604,$B843&amp;"")&gt;0,"✓ logged","→ add"))</f>
        <v/>
      </c>
      <c r="H843">
        <f>IFERROR(IF(INDEX(FormData,840,f_Id)&amp;""="","",840),"")</f>
        <v/>
      </c>
      <c r="I843" s="16">
        <f>IF($H843="","",IFERROR(INDEX(FormData,$H843,f_Need)&amp;"",""))</f>
        <v/>
      </c>
    </row>
    <row r="844">
      <c r="A844" s="14" t="n">
        <v>840</v>
      </c>
      <c r="B844" s="14">
        <f>IF($H844="","",INDEX(FormData,$H844,f_Id))</f>
        <v/>
      </c>
      <c r="C844" s="15">
        <f>IF($H844="","",IFERROR(INDEX(FormData,$H844,f_Time),""))</f>
        <v/>
      </c>
      <c r="D844" s="14">
        <f>IF($H844="","",IFERROR(UPPER(LEFT(TRIM(INDEX(FormData,$H844,f_Name)),1)&amp;IFERROR(MID(TRIM(INDEX(FormData,$H844,f_Name)),FIND("^",SUBSTITUTE(TRIM(INDEX(FormData,$H844,f_Name))," ","^",LEN(TRIM(INDEX(FormData,$H844,f_Name)))-LEN(SUBSTITUTE(TRIM(INDEX(FormData,$H844,f_Name))," ",""))))+1,1),"")),""))</f>
        <v/>
      </c>
      <c r="E844" s="16">
        <f>IF($H844="","",IFERROR(INDEX(EvID,MATCH(INDEX(FormData,$H844,f_Event),EvID,0)),IFERROR(INDEX(EvID,MATCH(INDEX(FormData,$H844,f_Event),EvName,0)),IFERROR(INDEX(EvID,MATCH(INT($C844),EvDate,0)),"(no event that day)"))))</f>
        <v/>
      </c>
      <c r="F844" s="16">
        <f>IF($H844="","",IFERROR(IF(SUMPRODUCT(MAX((WhoKW&lt;&gt;"")*ISNUMBER(SEARCH(WhoKW,INDEX(FormData,$H844,f_Who)&amp;""))*(ROW(WhoKW)-MIN(ROW(WhoKW))+1)))=0,"",INDEX(WhoVal,SUMPRODUCT(MAX((WhoKW&lt;&gt;"")*ISNUMBER(SEARCH(WhoKW,INDEX(FormData,$H844,f_Who)&amp;""))*(ROW(WhoKW)-MIN(ROW(WhoKW))+1))))),""))</f>
        <v/>
      </c>
      <c r="G844" s="14">
        <f>IF($H844="","",IF(COUNTIF(People!$U$5:$U$604,$B844)+COUNTIF(People!$U$5:$U$604,$B844&amp;"")&gt;0,"✓ logged","→ add"))</f>
        <v/>
      </c>
      <c r="H844">
        <f>IFERROR(IF(INDEX(FormData,841,f_Id)&amp;""="","",841),"")</f>
        <v/>
      </c>
      <c r="I844" s="16">
        <f>IF($H844="","",IFERROR(INDEX(FormData,$H844,f_Need)&amp;"",""))</f>
        <v/>
      </c>
    </row>
    <row r="845">
      <c r="A845" s="14" t="n">
        <v>841</v>
      </c>
      <c r="B845" s="14">
        <f>IF($H845="","",INDEX(FormData,$H845,f_Id))</f>
        <v/>
      </c>
      <c r="C845" s="15">
        <f>IF($H845="","",IFERROR(INDEX(FormData,$H845,f_Time),""))</f>
        <v/>
      </c>
      <c r="D845" s="14">
        <f>IF($H845="","",IFERROR(UPPER(LEFT(TRIM(INDEX(FormData,$H845,f_Name)),1)&amp;IFERROR(MID(TRIM(INDEX(FormData,$H845,f_Name)),FIND("^",SUBSTITUTE(TRIM(INDEX(FormData,$H845,f_Name))," ","^",LEN(TRIM(INDEX(FormData,$H845,f_Name)))-LEN(SUBSTITUTE(TRIM(INDEX(FormData,$H845,f_Name))," ",""))))+1,1),"")),""))</f>
        <v/>
      </c>
      <c r="E845" s="16">
        <f>IF($H845="","",IFERROR(INDEX(EvID,MATCH(INDEX(FormData,$H845,f_Event),EvID,0)),IFERROR(INDEX(EvID,MATCH(INDEX(FormData,$H845,f_Event),EvName,0)),IFERROR(INDEX(EvID,MATCH(INT($C845),EvDate,0)),"(no event that day)"))))</f>
        <v/>
      </c>
      <c r="F845" s="16">
        <f>IF($H845="","",IFERROR(IF(SUMPRODUCT(MAX((WhoKW&lt;&gt;"")*ISNUMBER(SEARCH(WhoKW,INDEX(FormData,$H845,f_Who)&amp;""))*(ROW(WhoKW)-MIN(ROW(WhoKW))+1)))=0,"",INDEX(WhoVal,SUMPRODUCT(MAX((WhoKW&lt;&gt;"")*ISNUMBER(SEARCH(WhoKW,INDEX(FormData,$H845,f_Who)&amp;""))*(ROW(WhoKW)-MIN(ROW(WhoKW))+1))))),""))</f>
        <v/>
      </c>
      <c r="G845" s="14">
        <f>IF($H845="","",IF(COUNTIF(People!$U$5:$U$604,$B845)+COUNTIF(People!$U$5:$U$604,$B845&amp;"")&gt;0,"✓ logged","→ add"))</f>
        <v/>
      </c>
      <c r="H845">
        <f>IFERROR(IF(INDEX(FormData,842,f_Id)&amp;""="","",842),"")</f>
        <v/>
      </c>
      <c r="I845" s="16">
        <f>IF($H845="","",IFERROR(INDEX(FormData,$H845,f_Need)&amp;"",""))</f>
        <v/>
      </c>
    </row>
    <row r="846">
      <c r="A846" s="14" t="n">
        <v>842</v>
      </c>
      <c r="B846" s="14">
        <f>IF($H846="","",INDEX(FormData,$H846,f_Id))</f>
        <v/>
      </c>
      <c r="C846" s="15">
        <f>IF($H846="","",IFERROR(INDEX(FormData,$H846,f_Time),""))</f>
        <v/>
      </c>
      <c r="D846" s="14">
        <f>IF($H846="","",IFERROR(UPPER(LEFT(TRIM(INDEX(FormData,$H846,f_Name)),1)&amp;IFERROR(MID(TRIM(INDEX(FormData,$H846,f_Name)),FIND("^",SUBSTITUTE(TRIM(INDEX(FormData,$H846,f_Name))," ","^",LEN(TRIM(INDEX(FormData,$H846,f_Name)))-LEN(SUBSTITUTE(TRIM(INDEX(FormData,$H846,f_Name))," ",""))))+1,1),"")),""))</f>
        <v/>
      </c>
      <c r="E846" s="16">
        <f>IF($H846="","",IFERROR(INDEX(EvID,MATCH(INDEX(FormData,$H846,f_Event),EvID,0)),IFERROR(INDEX(EvID,MATCH(INDEX(FormData,$H846,f_Event),EvName,0)),IFERROR(INDEX(EvID,MATCH(INT($C846),EvDate,0)),"(no event that day)"))))</f>
        <v/>
      </c>
      <c r="F846" s="16">
        <f>IF($H846="","",IFERROR(IF(SUMPRODUCT(MAX((WhoKW&lt;&gt;"")*ISNUMBER(SEARCH(WhoKW,INDEX(FormData,$H846,f_Who)&amp;""))*(ROW(WhoKW)-MIN(ROW(WhoKW))+1)))=0,"",INDEX(WhoVal,SUMPRODUCT(MAX((WhoKW&lt;&gt;"")*ISNUMBER(SEARCH(WhoKW,INDEX(FormData,$H846,f_Who)&amp;""))*(ROW(WhoKW)-MIN(ROW(WhoKW))+1))))),""))</f>
        <v/>
      </c>
      <c r="G846" s="14">
        <f>IF($H846="","",IF(COUNTIF(People!$U$5:$U$604,$B846)+COUNTIF(People!$U$5:$U$604,$B846&amp;"")&gt;0,"✓ logged","→ add"))</f>
        <v/>
      </c>
      <c r="H846">
        <f>IFERROR(IF(INDEX(FormData,843,f_Id)&amp;""="","",843),"")</f>
        <v/>
      </c>
      <c r="I846" s="16">
        <f>IF($H846="","",IFERROR(INDEX(FormData,$H846,f_Need)&amp;"",""))</f>
        <v/>
      </c>
    </row>
    <row r="847">
      <c r="A847" s="14" t="n">
        <v>843</v>
      </c>
      <c r="B847" s="14">
        <f>IF($H847="","",INDEX(FormData,$H847,f_Id))</f>
        <v/>
      </c>
      <c r="C847" s="15">
        <f>IF($H847="","",IFERROR(INDEX(FormData,$H847,f_Time),""))</f>
        <v/>
      </c>
      <c r="D847" s="14">
        <f>IF($H847="","",IFERROR(UPPER(LEFT(TRIM(INDEX(FormData,$H847,f_Name)),1)&amp;IFERROR(MID(TRIM(INDEX(FormData,$H847,f_Name)),FIND("^",SUBSTITUTE(TRIM(INDEX(FormData,$H847,f_Name))," ","^",LEN(TRIM(INDEX(FormData,$H847,f_Name)))-LEN(SUBSTITUTE(TRIM(INDEX(FormData,$H847,f_Name))," ",""))))+1,1),"")),""))</f>
        <v/>
      </c>
      <c r="E847" s="16">
        <f>IF($H847="","",IFERROR(INDEX(EvID,MATCH(INDEX(FormData,$H847,f_Event),EvID,0)),IFERROR(INDEX(EvID,MATCH(INDEX(FormData,$H847,f_Event),EvName,0)),IFERROR(INDEX(EvID,MATCH(INT($C847),EvDate,0)),"(no event that day)"))))</f>
        <v/>
      </c>
      <c r="F847" s="16">
        <f>IF($H847="","",IFERROR(IF(SUMPRODUCT(MAX((WhoKW&lt;&gt;"")*ISNUMBER(SEARCH(WhoKW,INDEX(FormData,$H847,f_Who)&amp;""))*(ROW(WhoKW)-MIN(ROW(WhoKW))+1)))=0,"",INDEX(WhoVal,SUMPRODUCT(MAX((WhoKW&lt;&gt;"")*ISNUMBER(SEARCH(WhoKW,INDEX(FormData,$H847,f_Who)&amp;""))*(ROW(WhoKW)-MIN(ROW(WhoKW))+1))))),""))</f>
        <v/>
      </c>
      <c r="G847" s="14">
        <f>IF($H847="","",IF(COUNTIF(People!$U$5:$U$604,$B847)+COUNTIF(People!$U$5:$U$604,$B847&amp;"")&gt;0,"✓ logged","→ add"))</f>
        <v/>
      </c>
      <c r="H847">
        <f>IFERROR(IF(INDEX(FormData,844,f_Id)&amp;""="","",844),"")</f>
        <v/>
      </c>
      <c r="I847" s="16">
        <f>IF($H847="","",IFERROR(INDEX(FormData,$H847,f_Need)&amp;"",""))</f>
        <v/>
      </c>
    </row>
    <row r="848">
      <c r="A848" s="14" t="n">
        <v>844</v>
      </c>
      <c r="B848" s="14">
        <f>IF($H848="","",INDEX(FormData,$H848,f_Id))</f>
        <v/>
      </c>
      <c r="C848" s="15">
        <f>IF($H848="","",IFERROR(INDEX(FormData,$H848,f_Time),""))</f>
        <v/>
      </c>
      <c r="D848" s="14">
        <f>IF($H848="","",IFERROR(UPPER(LEFT(TRIM(INDEX(FormData,$H848,f_Name)),1)&amp;IFERROR(MID(TRIM(INDEX(FormData,$H848,f_Name)),FIND("^",SUBSTITUTE(TRIM(INDEX(FormData,$H848,f_Name))," ","^",LEN(TRIM(INDEX(FormData,$H848,f_Name)))-LEN(SUBSTITUTE(TRIM(INDEX(FormData,$H848,f_Name))," ",""))))+1,1),"")),""))</f>
        <v/>
      </c>
      <c r="E848" s="16">
        <f>IF($H848="","",IFERROR(INDEX(EvID,MATCH(INDEX(FormData,$H848,f_Event),EvID,0)),IFERROR(INDEX(EvID,MATCH(INDEX(FormData,$H848,f_Event),EvName,0)),IFERROR(INDEX(EvID,MATCH(INT($C848),EvDate,0)),"(no event that day)"))))</f>
        <v/>
      </c>
      <c r="F848" s="16">
        <f>IF($H848="","",IFERROR(IF(SUMPRODUCT(MAX((WhoKW&lt;&gt;"")*ISNUMBER(SEARCH(WhoKW,INDEX(FormData,$H848,f_Who)&amp;""))*(ROW(WhoKW)-MIN(ROW(WhoKW))+1)))=0,"",INDEX(WhoVal,SUMPRODUCT(MAX((WhoKW&lt;&gt;"")*ISNUMBER(SEARCH(WhoKW,INDEX(FormData,$H848,f_Who)&amp;""))*(ROW(WhoKW)-MIN(ROW(WhoKW))+1))))),""))</f>
        <v/>
      </c>
      <c r="G848" s="14">
        <f>IF($H848="","",IF(COUNTIF(People!$U$5:$U$604,$B848)+COUNTIF(People!$U$5:$U$604,$B848&amp;"")&gt;0,"✓ logged","→ add"))</f>
        <v/>
      </c>
      <c r="H848">
        <f>IFERROR(IF(INDEX(FormData,845,f_Id)&amp;""="","",845),"")</f>
        <v/>
      </c>
      <c r="I848" s="16">
        <f>IF($H848="","",IFERROR(INDEX(FormData,$H848,f_Need)&amp;"",""))</f>
        <v/>
      </c>
    </row>
    <row r="849">
      <c r="A849" s="14" t="n">
        <v>845</v>
      </c>
      <c r="B849" s="14">
        <f>IF($H849="","",INDEX(FormData,$H849,f_Id))</f>
        <v/>
      </c>
      <c r="C849" s="15">
        <f>IF($H849="","",IFERROR(INDEX(FormData,$H849,f_Time),""))</f>
        <v/>
      </c>
      <c r="D849" s="14">
        <f>IF($H849="","",IFERROR(UPPER(LEFT(TRIM(INDEX(FormData,$H849,f_Name)),1)&amp;IFERROR(MID(TRIM(INDEX(FormData,$H849,f_Name)),FIND("^",SUBSTITUTE(TRIM(INDEX(FormData,$H849,f_Name))," ","^",LEN(TRIM(INDEX(FormData,$H849,f_Name)))-LEN(SUBSTITUTE(TRIM(INDEX(FormData,$H849,f_Name))," ",""))))+1,1),"")),""))</f>
        <v/>
      </c>
      <c r="E849" s="16">
        <f>IF($H849="","",IFERROR(INDEX(EvID,MATCH(INDEX(FormData,$H849,f_Event),EvID,0)),IFERROR(INDEX(EvID,MATCH(INDEX(FormData,$H849,f_Event),EvName,0)),IFERROR(INDEX(EvID,MATCH(INT($C849),EvDate,0)),"(no event that day)"))))</f>
        <v/>
      </c>
      <c r="F849" s="16">
        <f>IF($H849="","",IFERROR(IF(SUMPRODUCT(MAX((WhoKW&lt;&gt;"")*ISNUMBER(SEARCH(WhoKW,INDEX(FormData,$H849,f_Who)&amp;""))*(ROW(WhoKW)-MIN(ROW(WhoKW))+1)))=0,"",INDEX(WhoVal,SUMPRODUCT(MAX((WhoKW&lt;&gt;"")*ISNUMBER(SEARCH(WhoKW,INDEX(FormData,$H849,f_Who)&amp;""))*(ROW(WhoKW)-MIN(ROW(WhoKW))+1))))),""))</f>
        <v/>
      </c>
      <c r="G849" s="14">
        <f>IF($H849="","",IF(COUNTIF(People!$U$5:$U$604,$B849)+COUNTIF(People!$U$5:$U$604,$B849&amp;"")&gt;0,"✓ logged","→ add"))</f>
        <v/>
      </c>
      <c r="H849">
        <f>IFERROR(IF(INDEX(FormData,846,f_Id)&amp;""="","",846),"")</f>
        <v/>
      </c>
      <c r="I849" s="16">
        <f>IF($H849="","",IFERROR(INDEX(FormData,$H849,f_Need)&amp;"",""))</f>
        <v/>
      </c>
    </row>
    <row r="850">
      <c r="A850" s="14" t="n">
        <v>846</v>
      </c>
      <c r="B850" s="14">
        <f>IF($H850="","",INDEX(FormData,$H850,f_Id))</f>
        <v/>
      </c>
      <c r="C850" s="15">
        <f>IF($H850="","",IFERROR(INDEX(FormData,$H850,f_Time),""))</f>
        <v/>
      </c>
      <c r="D850" s="14">
        <f>IF($H850="","",IFERROR(UPPER(LEFT(TRIM(INDEX(FormData,$H850,f_Name)),1)&amp;IFERROR(MID(TRIM(INDEX(FormData,$H850,f_Name)),FIND("^",SUBSTITUTE(TRIM(INDEX(FormData,$H850,f_Name))," ","^",LEN(TRIM(INDEX(FormData,$H850,f_Name)))-LEN(SUBSTITUTE(TRIM(INDEX(FormData,$H850,f_Name))," ",""))))+1,1),"")),""))</f>
        <v/>
      </c>
      <c r="E850" s="16">
        <f>IF($H850="","",IFERROR(INDEX(EvID,MATCH(INDEX(FormData,$H850,f_Event),EvID,0)),IFERROR(INDEX(EvID,MATCH(INDEX(FormData,$H850,f_Event),EvName,0)),IFERROR(INDEX(EvID,MATCH(INT($C850),EvDate,0)),"(no event that day)"))))</f>
        <v/>
      </c>
      <c r="F850" s="16">
        <f>IF($H850="","",IFERROR(IF(SUMPRODUCT(MAX((WhoKW&lt;&gt;"")*ISNUMBER(SEARCH(WhoKW,INDEX(FormData,$H850,f_Who)&amp;""))*(ROW(WhoKW)-MIN(ROW(WhoKW))+1)))=0,"",INDEX(WhoVal,SUMPRODUCT(MAX((WhoKW&lt;&gt;"")*ISNUMBER(SEARCH(WhoKW,INDEX(FormData,$H850,f_Who)&amp;""))*(ROW(WhoKW)-MIN(ROW(WhoKW))+1))))),""))</f>
        <v/>
      </c>
      <c r="G850" s="14">
        <f>IF($H850="","",IF(COUNTIF(People!$U$5:$U$604,$B850)+COUNTIF(People!$U$5:$U$604,$B850&amp;"")&gt;0,"✓ logged","→ add"))</f>
        <v/>
      </c>
      <c r="H850">
        <f>IFERROR(IF(INDEX(FormData,847,f_Id)&amp;""="","",847),"")</f>
        <v/>
      </c>
      <c r="I850" s="16">
        <f>IF($H850="","",IFERROR(INDEX(FormData,$H850,f_Need)&amp;"",""))</f>
        <v/>
      </c>
    </row>
    <row r="851">
      <c r="A851" s="14" t="n">
        <v>847</v>
      </c>
      <c r="B851" s="14">
        <f>IF($H851="","",INDEX(FormData,$H851,f_Id))</f>
        <v/>
      </c>
      <c r="C851" s="15">
        <f>IF($H851="","",IFERROR(INDEX(FormData,$H851,f_Time),""))</f>
        <v/>
      </c>
      <c r="D851" s="14">
        <f>IF($H851="","",IFERROR(UPPER(LEFT(TRIM(INDEX(FormData,$H851,f_Name)),1)&amp;IFERROR(MID(TRIM(INDEX(FormData,$H851,f_Name)),FIND("^",SUBSTITUTE(TRIM(INDEX(FormData,$H851,f_Name))," ","^",LEN(TRIM(INDEX(FormData,$H851,f_Name)))-LEN(SUBSTITUTE(TRIM(INDEX(FormData,$H851,f_Name))," ",""))))+1,1),"")),""))</f>
        <v/>
      </c>
      <c r="E851" s="16">
        <f>IF($H851="","",IFERROR(INDEX(EvID,MATCH(INDEX(FormData,$H851,f_Event),EvID,0)),IFERROR(INDEX(EvID,MATCH(INDEX(FormData,$H851,f_Event),EvName,0)),IFERROR(INDEX(EvID,MATCH(INT($C851),EvDate,0)),"(no event that day)"))))</f>
        <v/>
      </c>
      <c r="F851" s="16">
        <f>IF($H851="","",IFERROR(IF(SUMPRODUCT(MAX((WhoKW&lt;&gt;"")*ISNUMBER(SEARCH(WhoKW,INDEX(FormData,$H851,f_Who)&amp;""))*(ROW(WhoKW)-MIN(ROW(WhoKW))+1)))=0,"",INDEX(WhoVal,SUMPRODUCT(MAX((WhoKW&lt;&gt;"")*ISNUMBER(SEARCH(WhoKW,INDEX(FormData,$H851,f_Who)&amp;""))*(ROW(WhoKW)-MIN(ROW(WhoKW))+1))))),""))</f>
        <v/>
      </c>
      <c r="G851" s="14">
        <f>IF($H851="","",IF(COUNTIF(People!$U$5:$U$604,$B851)+COUNTIF(People!$U$5:$U$604,$B851&amp;"")&gt;0,"✓ logged","→ add"))</f>
        <v/>
      </c>
      <c r="H851">
        <f>IFERROR(IF(INDEX(FormData,848,f_Id)&amp;""="","",848),"")</f>
        <v/>
      </c>
      <c r="I851" s="16">
        <f>IF($H851="","",IFERROR(INDEX(FormData,$H851,f_Need)&amp;"",""))</f>
        <v/>
      </c>
    </row>
    <row r="852">
      <c r="A852" s="14" t="n">
        <v>848</v>
      </c>
      <c r="B852" s="14">
        <f>IF($H852="","",INDEX(FormData,$H852,f_Id))</f>
        <v/>
      </c>
      <c r="C852" s="15">
        <f>IF($H852="","",IFERROR(INDEX(FormData,$H852,f_Time),""))</f>
        <v/>
      </c>
      <c r="D852" s="14">
        <f>IF($H852="","",IFERROR(UPPER(LEFT(TRIM(INDEX(FormData,$H852,f_Name)),1)&amp;IFERROR(MID(TRIM(INDEX(FormData,$H852,f_Name)),FIND("^",SUBSTITUTE(TRIM(INDEX(FormData,$H852,f_Name))," ","^",LEN(TRIM(INDEX(FormData,$H852,f_Name)))-LEN(SUBSTITUTE(TRIM(INDEX(FormData,$H852,f_Name))," ",""))))+1,1),"")),""))</f>
        <v/>
      </c>
      <c r="E852" s="16">
        <f>IF($H852="","",IFERROR(INDEX(EvID,MATCH(INDEX(FormData,$H852,f_Event),EvID,0)),IFERROR(INDEX(EvID,MATCH(INDEX(FormData,$H852,f_Event),EvName,0)),IFERROR(INDEX(EvID,MATCH(INT($C852),EvDate,0)),"(no event that day)"))))</f>
        <v/>
      </c>
      <c r="F852" s="16">
        <f>IF($H852="","",IFERROR(IF(SUMPRODUCT(MAX((WhoKW&lt;&gt;"")*ISNUMBER(SEARCH(WhoKW,INDEX(FormData,$H852,f_Who)&amp;""))*(ROW(WhoKW)-MIN(ROW(WhoKW))+1)))=0,"",INDEX(WhoVal,SUMPRODUCT(MAX((WhoKW&lt;&gt;"")*ISNUMBER(SEARCH(WhoKW,INDEX(FormData,$H852,f_Who)&amp;""))*(ROW(WhoKW)-MIN(ROW(WhoKW))+1))))),""))</f>
        <v/>
      </c>
      <c r="G852" s="14">
        <f>IF($H852="","",IF(COUNTIF(People!$U$5:$U$604,$B852)+COUNTIF(People!$U$5:$U$604,$B852&amp;"")&gt;0,"✓ logged","→ add"))</f>
        <v/>
      </c>
      <c r="H852">
        <f>IFERROR(IF(INDEX(FormData,849,f_Id)&amp;""="","",849),"")</f>
        <v/>
      </c>
      <c r="I852" s="16">
        <f>IF($H852="","",IFERROR(INDEX(FormData,$H852,f_Need)&amp;"",""))</f>
        <v/>
      </c>
    </row>
    <row r="853">
      <c r="A853" s="14" t="n">
        <v>849</v>
      </c>
      <c r="B853" s="14">
        <f>IF($H853="","",INDEX(FormData,$H853,f_Id))</f>
        <v/>
      </c>
      <c r="C853" s="15">
        <f>IF($H853="","",IFERROR(INDEX(FormData,$H853,f_Time),""))</f>
        <v/>
      </c>
      <c r="D853" s="14">
        <f>IF($H853="","",IFERROR(UPPER(LEFT(TRIM(INDEX(FormData,$H853,f_Name)),1)&amp;IFERROR(MID(TRIM(INDEX(FormData,$H853,f_Name)),FIND("^",SUBSTITUTE(TRIM(INDEX(FormData,$H853,f_Name))," ","^",LEN(TRIM(INDEX(FormData,$H853,f_Name)))-LEN(SUBSTITUTE(TRIM(INDEX(FormData,$H853,f_Name))," ",""))))+1,1),"")),""))</f>
        <v/>
      </c>
      <c r="E853" s="16">
        <f>IF($H853="","",IFERROR(INDEX(EvID,MATCH(INDEX(FormData,$H853,f_Event),EvID,0)),IFERROR(INDEX(EvID,MATCH(INDEX(FormData,$H853,f_Event),EvName,0)),IFERROR(INDEX(EvID,MATCH(INT($C853),EvDate,0)),"(no event that day)"))))</f>
        <v/>
      </c>
      <c r="F853" s="16">
        <f>IF($H853="","",IFERROR(IF(SUMPRODUCT(MAX((WhoKW&lt;&gt;"")*ISNUMBER(SEARCH(WhoKW,INDEX(FormData,$H853,f_Who)&amp;""))*(ROW(WhoKW)-MIN(ROW(WhoKW))+1)))=0,"",INDEX(WhoVal,SUMPRODUCT(MAX((WhoKW&lt;&gt;"")*ISNUMBER(SEARCH(WhoKW,INDEX(FormData,$H853,f_Who)&amp;""))*(ROW(WhoKW)-MIN(ROW(WhoKW))+1))))),""))</f>
        <v/>
      </c>
      <c r="G853" s="14">
        <f>IF($H853="","",IF(COUNTIF(People!$U$5:$U$604,$B853)+COUNTIF(People!$U$5:$U$604,$B853&amp;"")&gt;0,"✓ logged","→ add"))</f>
        <v/>
      </c>
      <c r="H853">
        <f>IFERROR(IF(INDEX(FormData,850,f_Id)&amp;""="","",850),"")</f>
        <v/>
      </c>
      <c r="I853" s="16">
        <f>IF($H853="","",IFERROR(INDEX(FormData,$H853,f_Need)&amp;"",""))</f>
        <v/>
      </c>
    </row>
    <row r="854">
      <c r="A854" s="14" t="n">
        <v>850</v>
      </c>
      <c r="B854" s="14">
        <f>IF($H854="","",INDEX(FormData,$H854,f_Id))</f>
        <v/>
      </c>
      <c r="C854" s="15">
        <f>IF($H854="","",IFERROR(INDEX(FormData,$H854,f_Time),""))</f>
        <v/>
      </c>
      <c r="D854" s="14">
        <f>IF($H854="","",IFERROR(UPPER(LEFT(TRIM(INDEX(FormData,$H854,f_Name)),1)&amp;IFERROR(MID(TRIM(INDEX(FormData,$H854,f_Name)),FIND("^",SUBSTITUTE(TRIM(INDEX(FormData,$H854,f_Name))," ","^",LEN(TRIM(INDEX(FormData,$H854,f_Name)))-LEN(SUBSTITUTE(TRIM(INDEX(FormData,$H854,f_Name))," ",""))))+1,1),"")),""))</f>
        <v/>
      </c>
      <c r="E854" s="16">
        <f>IF($H854="","",IFERROR(INDEX(EvID,MATCH(INDEX(FormData,$H854,f_Event),EvID,0)),IFERROR(INDEX(EvID,MATCH(INDEX(FormData,$H854,f_Event),EvName,0)),IFERROR(INDEX(EvID,MATCH(INT($C854),EvDate,0)),"(no event that day)"))))</f>
        <v/>
      </c>
      <c r="F854" s="16">
        <f>IF($H854="","",IFERROR(IF(SUMPRODUCT(MAX((WhoKW&lt;&gt;"")*ISNUMBER(SEARCH(WhoKW,INDEX(FormData,$H854,f_Who)&amp;""))*(ROW(WhoKW)-MIN(ROW(WhoKW))+1)))=0,"",INDEX(WhoVal,SUMPRODUCT(MAX((WhoKW&lt;&gt;"")*ISNUMBER(SEARCH(WhoKW,INDEX(FormData,$H854,f_Who)&amp;""))*(ROW(WhoKW)-MIN(ROW(WhoKW))+1))))),""))</f>
        <v/>
      </c>
      <c r="G854" s="14">
        <f>IF($H854="","",IF(COUNTIF(People!$U$5:$U$604,$B854)+COUNTIF(People!$U$5:$U$604,$B854&amp;"")&gt;0,"✓ logged","→ add"))</f>
        <v/>
      </c>
      <c r="H854">
        <f>IFERROR(IF(INDEX(FormData,851,f_Id)&amp;""="","",851),"")</f>
        <v/>
      </c>
      <c r="I854" s="16">
        <f>IF($H854="","",IFERROR(INDEX(FormData,$H854,f_Need)&amp;"",""))</f>
        <v/>
      </c>
    </row>
    <row r="855">
      <c r="A855" s="14" t="n">
        <v>851</v>
      </c>
      <c r="B855" s="14">
        <f>IF($H855="","",INDEX(FormData,$H855,f_Id))</f>
        <v/>
      </c>
      <c r="C855" s="15">
        <f>IF($H855="","",IFERROR(INDEX(FormData,$H855,f_Time),""))</f>
        <v/>
      </c>
      <c r="D855" s="14">
        <f>IF($H855="","",IFERROR(UPPER(LEFT(TRIM(INDEX(FormData,$H855,f_Name)),1)&amp;IFERROR(MID(TRIM(INDEX(FormData,$H855,f_Name)),FIND("^",SUBSTITUTE(TRIM(INDEX(FormData,$H855,f_Name))," ","^",LEN(TRIM(INDEX(FormData,$H855,f_Name)))-LEN(SUBSTITUTE(TRIM(INDEX(FormData,$H855,f_Name))," ",""))))+1,1),"")),""))</f>
        <v/>
      </c>
      <c r="E855" s="16">
        <f>IF($H855="","",IFERROR(INDEX(EvID,MATCH(INDEX(FormData,$H855,f_Event),EvID,0)),IFERROR(INDEX(EvID,MATCH(INDEX(FormData,$H855,f_Event),EvName,0)),IFERROR(INDEX(EvID,MATCH(INT($C855),EvDate,0)),"(no event that day)"))))</f>
        <v/>
      </c>
      <c r="F855" s="16">
        <f>IF($H855="","",IFERROR(IF(SUMPRODUCT(MAX((WhoKW&lt;&gt;"")*ISNUMBER(SEARCH(WhoKW,INDEX(FormData,$H855,f_Who)&amp;""))*(ROW(WhoKW)-MIN(ROW(WhoKW))+1)))=0,"",INDEX(WhoVal,SUMPRODUCT(MAX((WhoKW&lt;&gt;"")*ISNUMBER(SEARCH(WhoKW,INDEX(FormData,$H855,f_Who)&amp;""))*(ROW(WhoKW)-MIN(ROW(WhoKW))+1))))),""))</f>
        <v/>
      </c>
      <c r="G855" s="14">
        <f>IF($H855="","",IF(COUNTIF(People!$U$5:$U$604,$B855)+COUNTIF(People!$U$5:$U$604,$B855&amp;"")&gt;0,"✓ logged","→ add"))</f>
        <v/>
      </c>
      <c r="H855">
        <f>IFERROR(IF(INDEX(FormData,852,f_Id)&amp;""="","",852),"")</f>
        <v/>
      </c>
      <c r="I855" s="16">
        <f>IF($H855="","",IFERROR(INDEX(FormData,$H855,f_Need)&amp;"",""))</f>
        <v/>
      </c>
    </row>
    <row r="856">
      <c r="A856" s="14" t="n">
        <v>852</v>
      </c>
      <c r="B856" s="14">
        <f>IF($H856="","",INDEX(FormData,$H856,f_Id))</f>
        <v/>
      </c>
      <c r="C856" s="15">
        <f>IF($H856="","",IFERROR(INDEX(FormData,$H856,f_Time),""))</f>
        <v/>
      </c>
      <c r="D856" s="14">
        <f>IF($H856="","",IFERROR(UPPER(LEFT(TRIM(INDEX(FormData,$H856,f_Name)),1)&amp;IFERROR(MID(TRIM(INDEX(FormData,$H856,f_Name)),FIND("^",SUBSTITUTE(TRIM(INDEX(FormData,$H856,f_Name))," ","^",LEN(TRIM(INDEX(FormData,$H856,f_Name)))-LEN(SUBSTITUTE(TRIM(INDEX(FormData,$H856,f_Name))," ",""))))+1,1),"")),""))</f>
        <v/>
      </c>
      <c r="E856" s="16">
        <f>IF($H856="","",IFERROR(INDEX(EvID,MATCH(INDEX(FormData,$H856,f_Event),EvID,0)),IFERROR(INDEX(EvID,MATCH(INDEX(FormData,$H856,f_Event),EvName,0)),IFERROR(INDEX(EvID,MATCH(INT($C856),EvDate,0)),"(no event that day)"))))</f>
        <v/>
      </c>
      <c r="F856" s="16">
        <f>IF($H856="","",IFERROR(IF(SUMPRODUCT(MAX((WhoKW&lt;&gt;"")*ISNUMBER(SEARCH(WhoKW,INDEX(FormData,$H856,f_Who)&amp;""))*(ROW(WhoKW)-MIN(ROW(WhoKW))+1)))=0,"",INDEX(WhoVal,SUMPRODUCT(MAX((WhoKW&lt;&gt;"")*ISNUMBER(SEARCH(WhoKW,INDEX(FormData,$H856,f_Who)&amp;""))*(ROW(WhoKW)-MIN(ROW(WhoKW))+1))))),""))</f>
        <v/>
      </c>
      <c r="G856" s="14">
        <f>IF($H856="","",IF(COUNTIF(People!$U$5:$U$604,$B856)+COUNTIF(People!$U$5:$U$604,$B856&amp;"")&gt;0,"✓ logged","→ add"))</f>
        <v/>
      </c>
      <c r="H856">
        <f>IFERROR(IF(INDEX(FormData,853,f_Id)&amp;""="","",853),"")</f>
        <v/>
      </c>
      <c r="I856" s="16">
        <f>IF($H856="","",IFERROR(INDEX(FormData,$H856,f_Need)&amp;"",""))</f>
        <v/>
      </c>
    </row>
    <row r="857">
      <c r="A857" s="14" t="n">
        <v>853</v>
      </c>
      <c r="B857" s="14">
        <f>IF($H857="","",INDEX(FormData,$H857,f_Id))</f>
        <v/>
      </c>
      <c r="C857" s="15">
        <f>IF($H857="","",IFERROR(INDEX(FormData,$H857,f_Time),""))</f>
        <v/>
      </c>
      <c r="D857" s="14">
        <f>IF($H857="","",IFERROR(UPPER(LEFT(TRIM(INDEX(FormData,$H857,f_Name)),1)&amp;IFERROR(MID(TRIM(INDEX(FormData,$H857,f_Name)),FIND("^",SUBSTITUTE(TRIM(INDEX(FormData,$H857,f_Name))," ","^",LEN(TRIM(INDEX(FormData,$H857,f_Name)))-LEN(SUBSTITUTE(TRIM(INDEX(FormData,$H857,f_Name))," ",""))))+1,1),"")),""))</f>
        <v/>
      </c>
      <c r="E857" s="16">
        <f>IF($H857="","",IFERROR(INDEX(EvID,MATCH(INDEX(FormData,$H857,f_Event),EvID,0)),IFERROR(INDEX(EvID,MATCH(INDEX(FormData,$H857,f_Event),EvName,0)),IFERROR(INDEX(EvID,MATCH(INT($C857),EvDate,0)),"(no event that day)"))))</f>
        <v/>
      </c>
      <c r="F857" s="16">
        <f>IF($H857="","",IFERROR(IF(SUMPRODUCT(MAX((WhoKW&lt;&gt;"")*ISNUMBER(SEARCH(WhoKW,INDEX(FormData,$H857,f_Who)&amp;""))*(ROW(WhoKW)-MIN(ROW(WhoKW))+1)))=0,"",INDEX(WhoVal,SUMPRODUCT(MAX((WhoKW&lt;&gt;"")*ISNUMBER(SEARCH(WhoKW,INDEX(FormData,$H857,f_Who)&amp;""))*(ROW(WhoKW)-MIN(ROW(WhoKW))+1))))),""))</f>
        <v/>
      </c>
      <c r="G857" s="14">
        <f>IF($H857="","",IF(COUNTIF(People!$U$5:$U$604,$B857)+COUNTIF(People!$U$5:$U$604,$B857&amp;"")&gt;0,"✓ logged","→ add"))</f>
        <v/>
      </c>
      <c r="H857">
        <f>IFERROR(IF(INDEX(FormData,854,f_Id)&amp;""="","",854),"")</f>
        <v/>
      </c>
      <c r="I857" s="16">
        <f>IF($H857="","",IFERROR(INDEX(FormData,$H857,f_Need)&amp;"",""))</f>
        <v/>
      </c>
    </row>
    <row r="858">
      <c r="A858" s="14" t="n">
        <v>854</v>
      </c>
      <c r="B858" s="14">
        <f>IF($H858="","",INDEX(FormData,$H858,f_Id))</f>
        <v/>
      </c>
      <c r="C858" s="15">
        <f>IF($H858="","",IFERROR(INDEX(FormData,$H858,f_Time),""))</f>
        <v/>
      </c>
      <c r="D858" s="14">
        <f>IF($H858="","",IFERROR(UPPER(LEFT(TRIM(INDEX(FormData,$H858,f_Name)),1)&amp;IFERROR(MID(TRIM(INDEX(FormData,$H858,f_Name)),FIND("^",SUBSTITUTE(TRIM(INDEX(FormData,$H858,f_Name))," ","^",LEN(TRIM(INDEX(FormData,$H858,f_Name)))-LEN(SUBSTITUTE(TRIM(INDEX(FormData,$H858,f_Name))," ",""))))+1,1),"")),""))</f>
        <v/>
      </c>
      <c r="E858" s="16">
        <f>IF($H858="","",IFERROR(INDEX(EvID,MATCH(INDEX(FormData,$H858,f_Event),EvID,0)),IFERROR(INDEX(EvID,MATCH(INDEX(FormData,$H858,f_Event),EvName,0)),IFERROR(INDEX(EvID,MATCH(INT($C858),EvDate,0)),"(no event that day)"))))</f>
        <v/>
      </c>
      <c r="F858" s="16">
        <f>IF($H858="","",IFERROR(IF(SUMPRODUCT(MAX((WhoKW&lt;&gt;"")*ISNUMBER(SEARCH(WhoKW,INDEX(FormData,$H858,f_Who)&amp;""))*(ROW(WhoKW)-MIN(ROW(WhoKW))+1)))=0,"",INDEX(WhoVal,SUMPRODUCT(MAX((WhoKW&lt;&gt;"")*ISNUMBER(SEARCH(WhoKW,INDEX(FormData,$H858,f_Who)&amp;""))*(ROW(WhoKW)-MIN(ROW(WhoKW))+1))))),""))</f>
        <v/>
      </c>
      <c r="G858" s="14">
        <f>IF($H858="","",IF(COUNTIF(People!$U$5:$U$604,$B858)+COUNTIF(People!$U$5:$U$604,$B858&amp;"")&gt;0,"✓ logged","→ add"))</f>
        <v/>
      </c>
      <c r="H858">
        <f>IFERROR(IF(INDEX(FormData,855,f_Id)&amp;""="","",855),"")</f>
        <v/>
      </c>
      <c r="I858" s="16">
        <f>IF($H858="","",IFERROR(INDEX(FormData,$H858,f_Need)&amp;"",""))</f>
        <v/>
      </c>
    </row>
    <row r="859">
      <c r="A859" s="14" t="n">
        <v>855</v>
      </c>
      <c r="B859" s="14">
        <f>IF($H859="","",INDEX(FormData,$H859,f_Id))</f>
        <v/>
      </c>
      <c r="C859" s="15">
        <f>IF($H859="","",IFERROR(INDEX(FormData,$H859,f_Time),""))</f>
        <v/>
      </c>
      <c r="D859" s="14">
        <f>IF($H859="","",IFERROR(UPPER(LEFT(TRIM(INDEX(FormData,$H859,f_Name)),1)&amp;IFERROR(MID(TRIM(INDEX(FormData,$H859,f_Name)),FIND("^",SUBSTITUTE(TRIM(INDEX(FormData,$H859,f_Name))," ","^",LEN(TRIM(INDEX(FormData,$H859,f_Name)))-LEN(SUBSTITUTE(TRIM(INDEX(FormData,$H859,f_Name))," ",""))))+1,1),"")),""))</f>
        <v/>
      </c>
      <c r="E859" s="16">
        <f>IF($H859="","",IFERROR(INDEX(EvID,MATCH(INDEX(FormData,$H859,f_Event),EvID,0)),IFERROR(INDEX(EvID,MATCH(INDEX(FormData,$H859,f_Event),EvName,0)),IFERROR(INDEX(EvID,MATCH(INT($C859),EvDate,0)),"(no event that day)"))))</f>
        <v/>
      </c>
      <c r="F859" s="16">
        <f>IF($H859="","",IFERROR(IF(SUMPRODUCT(MAX((WhoKW&lt;&gt;"")*ISNUMBER(SEARCH(WhoKW,INDEX(FormData,$H859,f_Who)&amp;""))*(ROW(WhoKW)-MIN(ROW(WhoKW))+1)))=0,"",INDEX(WhoVal,SUMPRODUCT(MAX((WhoKW&lt;&gt;"")*ISNUMBER(SEARCH(WhoKW,INDEX(FormData,$H859,f_Who)&amp;""))*(ROW(WhoKW)-MIN(ROW(WhoKW))+1))))),""))</f>
        <v/>
      </c>
      <c r="G859" s="14">
        <f>IF($H859="","",IF(COUNTIF(People!$U$5:$U$604,$B859)+COUNTIF(People!$U$5:$U$604,$B859&amp;"")&gt;0,"✓ logged","→ add"))</f>
        <v/>
      </c>
      <c r="H859">
        <f>IFERROR(IF(INDEX(FormData,856,f_Id)&amp;""="","",856),"")</f>
        <v/>
      </c>
      <c r="I859" s="16">
        <f>IF($H859="","",IFERROR(INDEX(FormData,$H859,f_Need)&amp;"",""))</f>
        <v/>
      </c>
    </row>
    <row r="860">
      <c r="A860" s="14" t="n">
        <v>856</v>
      </c>
      <c r="B860" s="14">
        <f>IF($H860="","",INDEX(FormData,$H860,f_Id))</f>
        <v/>
      </c>
      <c r="C860" s="15">
        <f>IF($H860="","",IFERROR(INDEX(FormData,$H860,f_Time),""))</f>
        <v/>
      </c>
      <c r="D860" s="14">
        <f>IF($H860="","",IFERROR(UPPER(LEFT(TRIM(INDEX(FormData,$H860,f_Name)),1)&amp;IFERROR(MID(TRIM(INDEX(FormData,$H860,f_Name)),FIND("^",SUBSTITUTE(TRIM(INDEX(FormData,$H860,f_Name))," ","^",LEN(TRIM(INDEX(FormData,$H860,f_Name)))-LEN(SUBSTITUTE(TRIM(INDEX(FormData,$H860,f_Name))," ",""))))+1,1),"")),""))</f>
        <v/>
      </c>
      <c r="E860" s="16">
        <f>IF($H860="","",IFERROR(INDEX(EvID,MATCH(INDEX(FormData,$H860,f_Event),EvID,0)),IFERROR(INDEX(EvID,MATCH(INDEX(FormData,$H860,f_Event),EvName,0)),IFERROR(INDEX(EvID,MATCH(INT($C860),EvDate,0)),"(no event that day)"))))</f>
        <v/>
      </c>
      <c r="F860" s="16">
        <f>IF($H860="","",IFERROR(IF(SUMPRODUCT(MAX((WhoKW&lt;&gt;"")*ISNUMBER(SEARCH(WhoKW,INDEX(FormData,$H860,f_Who)&amp;""))*(ROW(WhoKW)-MIN(ROW(WhoKW))+1)))=0,"",INDEX(WhoVal,SUMPRODUCT(MAX((WhoKW&lt;&gt;"")*ISNUMBER(SEARCH(WhoKW,INDEX(FormData,$H860,f_Who)&amp;""))*(ROW(WhoKW)-MIN(ROW(WhoKW))+1))))),""))</f>
        <v/>
      </c>
      <c r="G860" s="14">
        <f>IF($H860="","",IF(COUNTIF(People!$U$5:$U$604,$B860)+COUNTIF(People!$U$5:$U$604,$B860&amp;"")&gt;0,"✓ logged","→ add"))</f>
        <v/>
      </c>
      <c r="H860">
        <f>IFERROR(IF(INDEX(FormData,857,f_Id)&amp;""="","",857),"")</f>
        <v/>
      </c>
      <c r="I860" s="16">
        <f>IF($H860="","",IFERROR(INDEX(FormData,$H860,f_Need)&amp;"",""))</f>
        <v/>
      </c>
    </row>
    <row r="861">
      <c r="A861" s="14" t="n">
        <v>857</v>
      </c>
      <c r="B861" s="14">
        <f>IF($H861="","",INDEX(FormData,$H861,f_Id))</f>
        <v/>
      </c>
      <c r="C861" s="15">
        <f>IF($H861="","",IFERROR(INDEX(FormData,$H861,f_Time),""))</f>
        <v/>
      </c>
      <c r="D861" s="14">
        <f>IF($H861="","",IFERROR(UPPER(LEFT(TRIM(INDEX(FormData,$H861,f_Name)),1)&amp;IFERROR(MID(TRIM(INDEX(FormData,$H861,f_Name)),FIND("^",SUBSTITUTE(TRIM(INDEX(FormData,$H861,f_Name))," ","^",LEN(TRIM(INDEX(FormData,$H861,f_Name)))-LEN(SUBSTITUTE(TRIM(INDEX(FormData,$H861,f_Name))," ",""))))+1,1),"")),""))</f>
        <v/>
      </c>
      <c r="E861" s="16">
        <f>IF($H861="","",IFERROR(INDEX(EvID,MATCH(INDEX(FormData,$H861,f_Event),EvID,0)),IFERROR(INDEX(EvID,MATCH(INDEX(FormData,$H861,f_Event),EvName,0)),IFERROR(INDEX(EvID,MATCH(INT($C861),EvDate,0)),"(no event that day)"))))</f>
        <v/>
      </c>
      <c r="F861" s="16">
        <f>IF($H861="","",IFERROR(IF(SUMPRODUCT(MAX((WhoKW&lt;&gt;"")*ISNUMBER(SEARCH(WhoKW,INDEX(FormData,$H861,f_Who)&amp;""))*(ROW(WhoKW)-MIN(ROW(WhoKW))+1)))=0,"",INDEX(WhoVal,SUMPRODUCT(MAX((WhoKW&lt;&gt;"")*ISNUMBER(SEARCH(WhoKW,INDEX(FormData,$H861,f_Who)&amp;""))*(ROW(WhoKW)-MIN(ROW(WhoKW))+1))))),""))</f>
        <v/>
      </c>
      <c r="G861" s="14">
        <f>IF($H861="","",IF(COUNTIF(People!$U$5:$U$604,$B861)+COUNTIF(People!$U$5:$U$604,$B861&amp;"")&gt;0,"✓ logged","→ add"))</f>
        <v/>
      </c>
      <c r="H861">
        <f>IFERROR(IF(INDEX(FormData,858,f_Id)&amp;""="","",858),"")</f>
        <v/>
      </c>
      <c r="I861" s="16">
        <f>IF($H861="","",IFERROR(INDEX(FormData,$H861,f_Need)&amp;"",""))</f>
        <v/>
      </c>
    </row>
    <row r="862">
      <c r="A862" s="14" t="n">
        <v>858</v>
      </c>
      <c r="B862" s="14">
        <f>IF($H862="","",INDEX(FormData,$H862,f_Id))</f>
        <v/>
      </c>
      <c r="C862" s="15">
        <f>IF($H862="","",IFERROR(INDEX(FormData,$H862,f_Time),""))</f>
        <v/>
      </c>
      <c r="D862" s="14">
        <f>IF($H862="","",IFERROR(UPPER(LEFT(TRIM(INDEX(FormData,$H862,f_Name)),1)&amp;IFERROR(MID(TRIM(INDEX(FormData,$H862,f_Name)),FIND("^",SUBSTITUTE(TRIM(INDEX(FormData,$H862,f_Name))," ","^",LEN(TRIM(INDEX(FormData,$H862,f_Name)))-LEN(SUBSTITUTE(TRIM(INDEX(FormData,$H862,f_Name))," ",""))))+1,1),"")),""))</f>
        <v/>
      </c>
      <c r="E862" s="16">
        <f>IF($H862="","",IFERROR(INDEX(EvID,MATCH(INDEX(FormData,$H862,f_Event),EvID,0)),IFERROR(INDEX(EvID,MATCH(INDEX(FormData,$H862,f_Event),EvName,0)),IFERROR(INDEX(EvID,MATCH(INT($C862),EvDate,0)),"(no event that day)"))))</f>
        <v/>
      </c>
      <c r="F862" s="16">
        <f>IF($H862="","",IFERROR(IF(SUMPRODUCT(MAX((WhoKW&lt;&gt;"")*ISNUMBER(SEARCH(WhoKW,INDEX(FormData,$H862,f_Who)&amp;""))*(ROW(WhoKW)-MIN(ROW(WhoKW))+1)))=0,"",INDEX(WhoVal,SUMPRODUCT(MAX((WhoKW&lt;&gt;"")*ISNUMBER(SEARCH(WhoKW,INDEX(FormData,$H862,f_Who)&amp;""))*(ROW(WhoKW)-MIN(ROW(WhoKW))+1))))),""))</f>
        <v/>
      </c>
      <c r="G862" s="14">
        <f>IF($H862="","",IF(COUNTIF(People!$U$5:$U$604,$B862)+COUNTIF(People!$U$5:$U$604,$B862&amp;"")&gt;0,"✓ logged","→ add"))</f>
        <v/>
      </c>
      <c r="H862">
        <f>IFERROR(IF(INDEX(FormData,859,f_Id)&amp;""="","",859),"")</f>
        <v/>
      </c>
      <c r="I862" s="16">
        <f>IF($H862="","",IFERROR(INDEX(FormData,$H862,f_Need)&amp;"",""))</f>
        <v/>
      </c>
    </row>
    <row r="863">
      <c r="A863" s="14" t="n">
        <v>859</v>
      </c>
      <c r="B863" s="14">
        <f>IF($H863="","",INDEX(FormData,$H863,f_Id))</f>
        <v/>
      </c>
      <c r="C863" s="15">
        <f>IF($H863="","",IFERROR(INDEX(FormData,$H863,f_Time),""))</f>
        <v/>
      </c>
      <c r="D863" s="14">
        <f>IF($H863="","",IFERROR(UPPER(LEFT(TRIM(INDEX(FormData,$H863,f_Name)),1)&amp;IFERROR(MID(TRIM(INDEX(FormData,$H863,f_Name)),FIND("^",SUBSTITUTE(TRIM(INDEX(FormData,$H863,f_Name))," ","^",LEN(TRIM(INDEX(FormData,$H863,f_Name)))-LEN(SUBSTITUTE(TRIM(INDEX(FormData,$H863,f_Name))," ",""))))+1,1),"")),""))</f>
        <v/>
      </c>
      <c r="E863" s="16">
        <f>IF($H863="","",IFERROR(INDEX(EvID,MATCH(INDEX(FormData,$H863,f_Event),EvID,0)),IFERROR(INDEX(EvID,MATCH(INDEX(FormData,$H863,f_Event),EvName,0)),IFERROR(INDEX(EvID,MATCH(INT($C863),EvDate,0)),"(no event that day)"))))</f>
        <v/>
      </c>
      <c r="F863" s="16">
        <f>IF($H863="","",IFERROR(IF(SUMPRODUCT(MAX((WhoKW&lt;&gt;"")*ISNUMBER(SEARCH(WhoKW,INDEX(FormData,$H863,f_Who)&amp;""))*(ROW(WhoKW)-MIN(ROW(WhoKW))+1)))=0,"",INDEX(WhoVal,SUMPRODUCT(MAX((WhoKW&lt;&gt;"")*ISNUMBER(SEARCH(WhoKW,INDEX(FormData,$H863,f_Who)&amp;""))*(ROW(WhoKW)-MIN(ROW(WhoKW))+1))))),""))</f>
        <v/>
      </c>
      <c r="G863" s="14">
        <f>IF($H863="","",IF(COUNTIF(People!$U$5:$U$604,$B863)+COUNTIF(People!$U$5:$U$604,$B863&amp;"")&gt;0,"✓ logged","→ add"))</f>
        <v/>
      </c>
      <c r="H863">
        <f>IFERROR(IF(INDEX(FormData,860,f_Id)&amp;""="","",860),"")</f>
        <v/>
      </c>
      <c r="I863" s="16">
        <f>IF($H863="","",IFERROR(INDEX(FormData,$H863,f_Need)&amp;"",""))</f>
        <v/>
      </c>
    </row>
    <row r="864">
      <c r="A864" s="14" t="n">
        <v>860</v>
      </c>
      <c r="B864" s="14">
        <f>IF($H864="","",INDEX(FormData,$H864,f_Id))</f>
        <v/>
      </c>
      <c r="C864" s="15">
        <f>IF($H864="","",IFERROR(INDEX(FormData,$H864,f_Time),""))</f>
        <v/>
      </c>
      <c r="D864" s="14">
        <f>IF($H864="","",IFERROR(UPPER(LEFT(TRIM(INDEX(FormData,$H864,f_Name)),1)&amp;IFERROR(MID(TRIM(INDEX(FormData,$H864,f_Name)),FIND("^",SUBSTITUTE(TRIM(INDEX(FormData,$H864,f_Name))," ","^",LEN(TRIM(INDEX(FormData,$H864,f_Name)))-LEN(SUBSTITUTE(TRIM(INDEX(FormData,$H864,f_Name))," ",""))))+1,1),"")),""))</f>
        <v/>
      </c>
      <c r="E864" s="16">
        <f>IF($H864="","",IFERROR(INDEX(EvID,MATCH(INDEX(FormData,$H864,f_Event),EvID,0)),IFERROR(INDEX(EvID,MATCH(INDEX(FormData,$H864,f_Event),EvName,0)),IFERROR(INDEX(EvID,MATCH(INT($C864),EvDate,0)),"(no event that day)"))))</f>
        <v/>
      </c>
      <c r="F864" s="16">
        <f>IF($H864="","",IFERROR(IF(SUMPRODUCT(MAX((WhoKW&lt;&gt;"")*ISNUMBER(SEARCH(WhoKW,INDEX(FormData,$H864,f_Who)&amp;""))*(ROW(WhoKW)-MIN(ROW(WhoKW))+1)))=0,"",INDEX(WhoVal,SUMPRODUCT(MAX((WhoKW&lt;&gt;"")*ISNUMBER(SEARCH(WhoKW,INDEX(FormData,$H864,f_Who)&amp;""))*(ROW(WhoKW)-MIN(ROW(WhoKW))+1))))),""))</f>
        <v/>
      </c>
      <c r="G864" s="14">
        <f>IF($H864="","",IF(COUNTIF(People!$U$5:$U$604,$B864)+COUNTIF(People!$U$5:$U$604,$B864&amp;"")&gt;0,"✓ logged","→ add"))</f>
        <v/>
      </c>
      <c r="H864">
        <f>IFERROR(IF(INDEX(FormData,861,f_Id)&amp;""="","",861),"")</f>
        <v/>
      </c>
      <c r="I864" s="16">
        <f>IF($H864="","",IFERROR(INDEX(FormData,$H864,f_Need)&amp;"",""))</f>
        <v/>
      </c>
    </row>
    <row r="865">
      <c r="A865" s="14" t="n">
        <v>861</v>
      </c>
      <c r="B865" s="14">
        <f>IF($H865="","",INDEX(FormData,$H865,f_Id))</f>
        <v/>
      </c>
      <c r="C865" s="15">
        <f>IF($H865="","",IFERROR(INDEX(FormData,$H865,f_Time),""))</f>
        <v/>
      </c>
      <c r="D865" s="14">
        <f>IF($H865="","",IFERROR(UPPER(LEFT(TRIM(INDEX(FormData,$H865,f_Name)),1)&amp;IFERROR(MID(TRIM(INDEX(FormData,$H865,f_Name)),FIND("^",SUBSTITUTE(TRIM(INDEX(FormData,$H865,f_Name))," ","^",LEN(TRIM(INDEX(FormData,$H865,f_Name)))-LEN(SUBSTITUTE(TRIM(INDEX(FormData,$H865,f_Name))," ",""))))+1,1),"")),""))</f>
        <v/>
      </c>
      <c r="E865" s="16">
        <f>IF($H865="","",IFERROR(INDEX(EvID,MATCH(INDEX(FormData,$H865,f_Event),EvID,0)),IFERROR(INDEX(EvID,MATCH(INDEX(FormData,$H865,f_Event),EvName,0)),IFERROR(INDEX(EvID,MATCH(INT($C865),EvDate,0)),"(no event that day)"))))</f>
        <v/>
      </c>
      <c r="F865" s="16">
        <f>IF($H865="","",IFERROR(IF(SUMPRODUCT(MAX((WhoKW&lt;&gt;"")*ISNUMBER(SEARCH(WhoKW,INDEX(FormData,$H865,f_Who)&amp;""))*(ROW(WhoKW)-MIN(ROW(WhoKW))+1)))=0,"",INDEX(WhoVal,SUMPRODUCT(MAX((WhoKW&lt;&gt;"")*ISNUMBER(SEARCH(WhoKW,INDEX(FormData,$H865,f_Who)&amp;""))*(ROW(WhoKW)-MIN(ROW(WhoKW))+1))))),""))</f>
        <v/>
      </c>
      <c r="G865" s="14">
        <f>IF($H865="","",IF(COUNTIF(People!$U$5:$U$604,$B865)+COUNTIF(People!$U$5:$U$604,$B865&amp;"")&gt;0,"✓ logged","→ add"))</f>
        <v/>
      </c>
      <c r="H865">
        <f>IFERROR(IF(INDEX(FormData,862,f_Id)&amp;""="","",862),"")</f>
        <v/>
      </c>
      <c r="I865" s="16">
        <f>IF($H865="","",IFERROR(INDEX(FormData,$H865,f_Need)&amp;"",""))</f>
        <v/>
      </c>
    </row>
    <row r="866">
      <c r="A866" s="14" t="n">
        <v>862</v>
      </c>
      <c r="B866" s="14">
        <f>IF($H866="","",INDEX(FormData,$H866,f_Id))</f>
        <v/>
      </c>
      <c r="C866" s="15">
        <f>IF($H866="","",IFERROR(INDEX(FormData,$H866,f_Time),""))</f>
        <v/>
      </c>
      <c r="D866" s="14">
        <f>IF($H866="","",IFERROR(UPPER(LEFT(TRIM(INDEX(FormData,$H866,f_Name)),1)&amp;IFERROR(MID(TRIM(INDEX(FormData,$H866,f_Name)),FIND("^",SUBSTITUTE(TRIM(INDEX(FormData,$H866,f_Name))," ","^",LEN(TRIM(INDEX(FormData,$H866,f_Name)))-LEN(SUBSTITUTE(TRIM(INDEX(FormData,$H866,f_Name))," ",""))))+1,1),"")),""))</f>
        <v/>
      </c>
      <c r="E866" s="16">
        <f>IF($H866="","",IFERROR(INDEX(EvID,MATCH(INDEX(FormData,$H866,f_Event),EvID,0)),IFERROR(INDEX(EvID,MATCH(INDEX(FormData,$H866,f_Event),EvName,0)),IFERROR(INDEX(EvID,MATCH(INT($C866),EvDate,0)),"(no event that day)"))))</f>
        <v/>
      </c>
      <c r="F866" s="16">
        <f>IF($H866="","",IFERROR(IF(SUMPRODUCT(MAX((WhoKW&lt;&gt;"")*ISNUMBER(SEARCH(WhoKW,INDEX(FormData,$H866,f_Who)&amp;""))*(ROW(WhoKW)-MIN(ROW(WhoKW))+1)))=0,"",INDEX(WhoVal,SUMPRODUCT(MAX((WhoKW&lt;&gt;"")*ISNUMBER(SEARCH(WhoKW,INDEX(FormData,$H866,f_Who)&amp;""))*(ROW(WhoKW)-MIN(ROW(WhoKW))+1))))),""))</f>
        <v/>
      </c>
      <c r="G866" s="14">
        <f>IF($H866="","",IF(COUNTIF(People!$U$5:$U$604,$B866)+COUNTIF(People!$U$5:$U$604,$B866&amp;"")&gt;0,"✓ logged","→ add"))</f>
        <v/>
      </c>
      <c r="H866">
        <f>IFERROR(IF(INDEX(FormData,863,f_Id)&amp;""="","",863),"")</f>
        <v/>
      </c>
      <c r="I866" s="16">
        <f>IF($H866="","",IFERROR(INDEX(FormData,$H866,f_Need)&amp;"",""))</f>
        <v/>
      </c>
    </row>
    <row r="867">
      <c r="A867" s="14" t="n">
        <v>863</v>
      </c>
      <c r="B867" s="14">
        <f>IF($H867="","",INDEX(FormData,$H867,f_Id))</f>
        <v/>
      </c>
      <c r="C867" s="15">
        <f>IF($H867="","",IFERROR(INDEX(FormData,$H867,f_Time),""))</f>
        <v/>
      </c>
      <c r="D867" s="14">
        <f>IF($H867="","",IFERROR(UPPER(LEFT(TRIM(INDEX(FormData,$H867,f_Name)),1)&amp;IFERROR(MID(TRIM(INDEX(FormData,$H867,f_Name)),FIND("^",SUBSTITUTE(TRIM(INDEX(FormData,$H867,f_Name))," ","^",LEN(TRIM(INDEX(FormData,$H867,f_Name)))-LEN(SUBSTITUTE(TRIM(INDEX(FormData,$H867,f_Name))," ",""))))+1,1),"")),""))</f>
        <v/>
      </c>
      <c r="E867" s="16">
        <f>IF($H867="","",IFERROR(INDEX(EvID,MATCH(INDEX(FormData,$H867,f_Event),EvID,0)),IFERROR(INDEX(EvID,MATCH(INDEX(FormData,$H867,f_Event),EvName,0)),IFERROR(INDEX(EvID,MATCH(INT($C867),EvDate,0)),"(no event that day)"))))</f>
        <v/>
      </c>
      <c r="F867" s="16">
        <f>IF($H867="","",IFERROR(IF(SUMPRODUCT(MAX((WhoKW&lt;&gt;"")*ISNUMBER(SEARCH(WhoKW,INDEX(FormData,$H867,f_Who)&amp;""))*(ROW(WhoKW)-MIN(ROW(WhoKW))+1)))=0,"",INDEX(WhoVal,SUMPRODUCT(MAX((WhoKW&lt;&gt;"")*ISNUMBER(SEARCH(WhoKW,INDEX(FormData,$H867,f_Who)&amp;""))*(ROW(WhoKW)-MIN(ROW(WhoKW))+1))))),""))</f>
        <v/>
      </c>
      <c r="G867" s="14">
        <f>IF($H867="","",IF(COUNTIF(People!$U$5:$U$604,$B867)+COUNTIF(People!$U$5:$U$604,$B867&amp;"")&gt;0,"✓ logged","→ add"))</f>
        <v/>
      </c>
      <c r="H867">
        <f>IFERROR(IF(INDEX(FormData,864,f_Id)&amp;""="","",864),"")</f>
        <v/>
      </c>
      <c r="I867" s="16">
        <f>IF($H867="","",IFERROR(INDEX(FormData,$H867,f_Need)&amp;"",""))</f>
        <v/>
      </c>
    </row>
    <row r="868">
      <c r="A868" s="14" t="n">
        <v>864</v>
      </c>
      <c r="B868" s="14">
        <f>IF($H868="","",INDEX(FormData,$H868,f_Id))</f>
        <v/>
      </c>
      <c r="C868" s="15">
        <f>IF($H868="","",IFERROR(INDEX(FormData,$H868,f_Time),""))</f>
        <v/>
      </c>
      <c r="D868" s="14">
        <f>IF($H868="","",IFERROR(UPPER(LEFT(TRIM(INDEX(FormData,$H868,f_Name)),1)&amp;IFERROR(MID(TRIM(INDEX(FormData,$H868,f_Name)),FIND("^",SUBSTITUTE(TRIM(INDEX(FormData,$H868,f_Name))," ","^",LEN(TRIM(INDEX(FormData,$H868,f_Name)))-LEN(SUBSTITUTE(TRIM(INDEX(FormData,$H868,f_Name))," ",""))))+1,1),"")),""))</f>
        <v/>
      </c>
      <c r="E868" s="16">
        <f>IF($H868="","",IFERROR(INDEX(EvID,MATCH(INDEX(FormData,$H868,f_Event),EvID,0)),IFERROR(INDEX(EvID,MATCH(INDEX(FormData,$H868,f_Event),EvName,0)),IFERROR(INDEX(EvID,MATCH(INT($C868),EvDate,0)),"(no event that day)"))))</f>
        <v/>
      </c>
      <c r="F868" s="16">
        <f>IF($H868="","",IFERROR(IF(SUMPRODUCT(MAX((WhoKW&lt;&gt;"")*ISNUMBER(SEARCH(WhoKW,INDEX(FormData,$H868,f_Who)&amp;""))*(ROW(WhoKW)-MIN(ROW(WhoKW))+1)))=0,"",INDEX(WhoVal,SUMPRODUCT(MAX((WhoKW&lt;&gt;"")*ISNUMBER(SEARCH(WhoKW,INDEX(FormData,$H868,f_Who)&amp;""))*(ROW(WhoKW)-MIN(ROW(WhoKW))+1))))),""))</f>
        <v/>
      </c>
      <c r="G868" s="14">
        <f>IF($H868="","",IF(COUNTIF(People!$U$5:$U$604,$B868)+COUNTIF(People!$U$5:$U$604,$B868&amp;"")&gt;0,"✓ logged","→ add"))</f>
        <v/>
      </c>
      <c r="H868">
        <f>IFERROR(IF(INDEX(FormData,865,f_Id)&amp;""="","",865),"")</f>
        <v/>
      </c>
      <c r="I868" s="16">
        <f>IF($H868="","",IFERROR(INDEX(FormData,$H868,f_Need)&amp;"",""))</f>
        <v/>
      </c>
    </row>
    <row r="869">
      <c r="A869" s="14" t="n">
        <v>865</v>
      </c>
      <c r="B869" s="14">
        <f>IF($H869="","",INDEX(FormData,$H869,f_Id))</f>
        <v/>
      </c>
      <c r="C869" s="15">
        <f>IF($H869="","",IFERROR(INDEX(FormData,$H869,f_Time),""))</f>
        <v/>
      </c>
      <c r="D869" s="14">
        <f>IF($H869="","",IFERROR(UPPER(LEFT(TRIM(INDEX(FormData,$H869,f_Name)),1)&amp;IFERROR(MID(TRIM(INDEX(FormData,$H869,f_Name)),FIND("^",SUBSTITUTE(TRIM(INDEX(FormData,$H869,f_Name))," ","^",LEN(TRIM(INDEX(FormData,$H869,f_Name)))-LEN(SUBSTITUTE(TRIM(INDEX(FormData,$H869,f_Name))," ",""))))+1,1),"")),""))</f>
        <v/>
      </c>
      <c r="E869" s="16">
        <f>IF($H869="","",IFERROR(INDEX(EvID,MATCH(INDEX(FormData,$H869,f_Event),EvID,0)),IFERROR(INDEX(EvID,MATCH(INDEX(FormData,$H869,f_Event),EvName,0)),IFERROR(INDEX(EvID,MATCH(INT($C869),EvDate,0)),"(no event that day)"))))</f>
        <v/>
      </c>
      <c r="F869" s="16">
        <f>IF($H869="","",IFERROR(IF(SUMPRODUCT(MAX((WhoKW&lt;&gt;"")*ISNUMBER(SEARCH(WhoKW,INDEX(FormData,$H869,f_Who)&amp;""))*(ROW(WhoKW)-MIN(ROW(WhoKW))+1)))=0,"",INDEX(WhoVal,SUMPRODUCT(MAX((WhoKW&lt;&gt;"")*ISNUMBER(SEARCH(WhoKW,INDEX(FormData,$H869,f_Who)&amp;""))*(ROW(WhoKW)-MIN(ROW(WhoKW))+1))))),""))</f>
        <v/>
      </c>
      <c r="G869" s="14">
        <f>IF($H869="","",IF(COUNTIF(People!$U$5:$U$604,$B869)+COUNTIF(People!$U$5:$U$604,$B869&amp;"")&gt;0,"✓ logged","→ add"))</f>
        <v/>
      </c>
      <c r="H869">
        <f>IFERROR(IF(INDEX(FormData,866,f_Id)&amp;""="","",866),"")</f>
        <v/>
      </c>
      <c r="I869" s="16">
        <f>IF($H869="","",IFERROR(INDEX(FormData,$H869,f_Need)&amp;"",""))</f>
        <v/>
      </c>
    </row>
    <row r="870">
      <c r="A870" s="14" t="n">
        <v>866</v>
      </c>
      <c r="B870" s="14">
        <f>IF($H870="","",INDEX(FormData,$H870,f_Id))</f>
        <v/>
      </c>
      <c r="C870" s="15">
        <f>IF($H870="","",IFERROR(INDEX(FormData,$H870,f_Time),""))</f>
        <v/>
      </c>
      <c r="D870" s="14">
        <f>IF($H870="","",IFERROR(UPPER(LEFT(TRIM(INDEX(FormData,$H870,f_Name)),1)&amp;IFERROR(MID(TRIM(INDEX(FormData,$H870,f_Name)),FIND("^",SUBSTITUTE(TRIM(INDEX(FormData,$H870,f_Name))," ","^",LEN(TRIM(INDEX(FormData,$H870,f_Name)))-LEN(SUBSTITUTE(TRIM(INDEX(FormData,$H870,f_Name))," ",""))))+1,1),"")),""))</f>
        <v/>
      </c>
      <c r="E870" s="16">
        <f>IF($H870="","",IFERROR(INDEX(EvID,MATCH(INDEX(FormData,$H870,f_Event),EvID,0)),IFERROR(INDEX(EvID,MATCH(INDEX(FormData,$H870,f_Event),EvName,0)),IFERROR(INDEX(EvID,MATCH(INT($C870),EvDate,0)),"(no event that day)"))))</f>
        <v/>
      </c>
      <c r="F870" s="16">
        <f>IF($H870="","",IFERROR(IF(SUMPRODUCT(MAX((WhoKW&lt;&gt;"")*ISNUMBER(SEARCH(WhoKW,INDEX(FormData,$H870,f_Who)&amp;""))*(ROW(WhoKW)-MIN(ROW(WhoKW))+1)))=0,"",INDEX(WhoVal,SUMPRODUCT(MAX((WhoKW&lt;&gt;"")*ISNUMBER(SEARCH(WhoKW,INDEX(FormData,$H870,f_Who)&amp;""))*(ROW(WhoKW)-MIN(ROW(WhoKW))+1))))),""))</f>
        <v/>
      </c>
      <c r="G870" s="14">
        <f>IF($H870="","",IF(COUNTIF(People!$U$5:$U$604,$B870)+COUNTIF(People!$U$5:$U$604,$B870&amp;"")&gt;0,"✓ logged","→ add"))</f>
        <v/>
      </c>
      <c r="H870">
        <f>IFERROR(IF(INDEX(FormData,867,f_Id)&amp;""="","",867),"")</f>
        <v/>
      </c>
      <c r="I870" s="16">
        <f>IF($H870="","",IFERROR(INDEX(FormData,$H870,f_Need)&amp;"",""))</f>
        <v/>
      </c>
    </row>
    <row r="871">
      <c r="A871" s="14" t="n">
        <v>867</v>
      </c>
      <c r="B871" s="14">
        <f>IF($H871="","",INDEX(FormData,$H871,f_Id))</f>
        <v/>
      </c>
      <c r="C871" s="15">
        <f>IF($H871="","",IFERROR(INDEX(FormData,$H871,f_Time),""))</f>
        <v/>
      </c>
      <c r="D871" s="14">
        <f>IF($H871="","",IFERROR(UPPER(LEFT(TRIM(INDEX(FormData,$H871,f_Name)),1)&amp;IFERROR(MID(TRIM(INDEX(FormData,$H871,f_Name)),FIND("^",SUBSTITUTE(TRIM(INDEX(FormData,$H871,f_Name))," ","^",LEN(TRIM(INDEX(FormData,$H871,f_Name)))-LEN(SUBSTITUTE(TRIM(INDEX(FormData,$H871,f_Name))," ",""))))+1,1),"")),""))</f>
        <v/>
      </c>
      <c r="E871" s="16">
        <f>IF($H871="","",IFERROR(INDEX(EvID,MATCH(INDEX(FormData,$H871,f_Event),EvID,0)),IFERROR(INDEX(EvID,MATCH(INDEX(FormData,$H871,f_Event),EvName,0)),IFERROR(INDEX(EvID,MATCH(INT($C871),EvDate,0)),"(no event that day)"))))</f>
        <v/>
      </c>
      <c r="F871" s="16">
        <f>IF($H871="","",IFERROR(IF(SUMPRODUCT(MAX((WhoKW&lt;&gt;"")*ISNUMBER(SEARCH(WhoKW,INDEX(FormData,$H871,f_Who)&amp;""))*(ROW(WhoKW)-MIN(ROW(WhoKW))+1)))=0,"",INDEX(WhoVal,SUMPRODUCT(MAX((WhoKW&lt;&gt;"")*ISNUMBER(SEARCH(WhoKW,INDEX(FormData,$H871,f_Who)&amp;""))*(ROW(WhoKW)-MIN(ROW(WhoKW))+1))))),""))</f>
        <v/>
      </c>
      <c r="G871" s="14">
        <f>IF($H871="","",IF(COUNTIF(People!$U$5:$U$604,$B871)+COUNTIF(People!$U$5:$U$604,$B871&amp;"")&gt;0,"✓ logged","→ add"))</f>
        <v/>
      </c>
      <c r="H871">
        <f>IFERROR(IF(INDEX(FormData,868,f_Id)&amp;""="","",868),"")</f>
        <v/>
      </c>
      <c r="I871" s="16">
        <f>IF($H871="","",IFERROR(INDEX(FormData,$H871,f_Need)&amp;"",""))</f>
        <v/>
      </c>
    </row>
    <row r="872">
      <c r="A872" s="14" t="n">
        <v>868</v>
      </c>
      <c r="B872" s="14">
        <f>IF($H872="","",INDEX(FormData,$H872,f_Id))</f>
        <v/>
      </c>
      <c r="C872" s="15">
        <f>IF($H872="","",IFERROR(INDEX(FormData,$H872,f_Time),""))</f>
        <v/>
      </c>
      <c r="D872" s="14">
        <f>IF($H872="","",IFERROR(UPPER(LEFT(TRIM(INDEX(FormData,$H872,f_Name)),1)&amp;IFERROR(MID(TRIM(INDEX(FormData,$H872,f_Name)),FIND("^",SUBSTITUTE(TRIM(INDEX(FormData,$H872,f_Name))," ","^",LEN(TRIM(INDEX(FormData,$H872,f_Name)))-LEN(SUBSTITUTE(TRIM(INDEX(FormData,$H872,f_Name))," ",""))))+1,1),"")),""))</f>
        <v/>
      </c>
      <c r="E872" s="16">
        <f>IF($H872="","",IFERROR(INDEX(EvID,MATCH(INDEX(FormData,$H872,f_Event),EvID,0)),IFERROR(INDEX(EvID,MATCH(INDEX(FormData,$H872,f_Event),EvName,0)),IFERROR(INDEX(EvID,MATCH(INT($C872),EvDate,0)),"(no event that day)"))))</f>
        <v/>
      </c>
      <c r="F872" s="16">
        <f>IF($H872="","",IFERROR(IF(SUMPRODUCT(MAX((WhoKW&lt;&gt;"")*ISNUMBER(SEARCH(WhoKW,INDEX(FormData,$H872,f_Who)&amp;""))*(ROW(WhoKW)-MIN(ROW(WhoKW))+1)))=0,"",INDEX(WhoVal,SUMPRODUCT(MAX((WhoKW&lt;&gt;"")*ISNUMBER(SEARCH(WhoKW,INDEX(FormData,$H872,f_Who)&amp;""))*(ROW(WhoKW)-MIN(ROW(WhoKW))+1))))),""))</f>
        <v/>
      </c>
      <c r="G872" s="14">
        <f>IF($H872="","",IF(COUNTIF(People!$U$5:$U$604,$B872)+COUNTIF(People!$U$5:$U$604,$B872&amp;"")&gt;0,"✓ logged","→ add"))</f>
        <v/>
      </c>
      <c r="H872">
        <f>IFERROR(IF(INDEX(FormData,869,f_Id)&amp;""="","",869),"")</f>
        <v/>
      </c>
      <c r="I872" s="16">
        <f>IF($H872="","",IFERROR(INDEX(FormData,$H872,f_Need)&amp;"",""))</f>
        <v/>
      </c>
    </row>
    <row r="873">
      <c r="A873" s="14" t="n">
        <v>869</v>
      </c>
      <c r="B873" s="14">
        <f>IF($H873="","",INDEX(FormData,$H873,f_Id))</f>
        <v/>
      </c>
      <c r="C873" s="15">
        <f>IF($H873="","",IFERROR(INDEX(FormData,$H873,f_Time),""))</f>
        <v/>
      </c>
      <c r="D873" s="14">
        <f>IF($H873="","",IFERROR(UPPER(LEFT(TRIM(INDEX(FormData,$H873,f_Name)),1)&amp;IFERROR(MID(TRIM(INDEX(FormData,$H873,f_Name)),FIND("^",SUBSTITUTE(TRIM(INDEX(FormData,$H873,f_Name))," ","^",LEN(TRIM(INDEX(FormData,$H873,f_Name)))-LEN(SUBSTITUTE(TRIM(INDEX(FormData,$H873,f_Name))," ",""))))+1,1),"")),""))</f>
        <v/>
      </c>
      <c r="E873" s="16">
        <f>IF($H873="","",IFERROR(INDEX(EvID,MATCH(INDEX(FormData,$H873,f_Event),EvID,0)),IFERROR(INDEX(EvID,MATCH(INDEX(FormData,$H873,f_Event),EvName,0)),IFERROR(INDEX(EvID,MATCH(INT($C873),EvDate,0)),"(no event that day)"))))</f>
        <v/>
      </c>
      <c r="F873" s="16">
        <f>IF($H873="","",IFERROR(IF(SUMPRODUCT(MAX((WhoKW&lt;&gt;"")*ISNUMBER(SEARCH(WhoKW,INDEX(FormData,$H873,f_Who)&amp;""))*(ROW(WhoKW)-MIN(ROW(WhoKW))+1)))=0,"",INDEX(WhoVal,SUMPRODUCT(MAX((WhoKW&lt;&gt;"")*ISNUMBER(SEARCH(WhoKW,INDEX(FormData,$H873,f_Who)&amp;""))*(ROW(WhoKW)-MIN(ROW(WhoKW))+1))))),""))</f>
        <v/>
      </c>
      <c r="G873" s="14">
        <f>IF($H873="","",IF(COUNTIF(People!$U$5:$U$604,$B873)+COUNTIF(People!$U$5:$U$604,$B873&amp;"")&gt;0,"✓ logged","→ add"))</f>
        <v/>
      </c>
      <c r="H873">
        <f>IFERROR(IF(INDEX(FormData,870,f_Id)&amp;""="","",870),"")</f>
        <v/>
      </c>
      <c r="I873" s="16">
        <f>IF($H873="","",IFERROR(INDEX(FormData,$H873,f_Need)&amp;"",""))</f>
        <v/>
      </c>
    </row>
    <row r="874">
      <c r="A874" s="14" t="n">
        <v>870</v>
      </c>
      <c r="B874" s="14">
        <f>IF($H874="","",INDEX(FormData,$H874,f_Id))</f>
        <v/>
      </c>
      <c r="C874" s="15">
        <f>IF($H874="","",IFERROR(INDEX(FormData,$H874,f_Time),""))</f>
        <v/>
      </c>
      <c r="D874" s="14">
        <f>IF($H874="","",IFERROR(UPPER(LEFT(TRIM(INDEX(FormData,$H874,f_Name)),1)&amp;IFERROR(MID(TRIM(INDEX(FormData,$H874,f_Name)),FIND("^",SUBSTITUTE(TRIM(INDEX(FormData,$H874,f_Name))," ","^",LEN(TRIM(INDEX(FormData,$H874,f_Name)))-LEN(SUBSTITUTE(TRIM(INDEX(FormData,$H874,f_Name))," ",""))))+1,1),"")),""))</f>
        <v/>
      </c>
      <c r="E874" s="16">
        <f>IF($H874="","",IFERROR(INDEX(EvID,MATCH(INDEX(FormData,$H874,f_Event),EvID,0)),IFERROR(INDEX(EvID,MATCH(INDEX(FormData,$H874,f_Event),EvName,0)),IFERROR(INDEX(EvID,MATCH(INT($C874),EvDate,0)),"(no event that day)"))))</f>
        <v/>
      </c>
      <c r="F874" s="16">
        <f>IF($H874="","",IFERROR(IF(SUMPRODUCT(MAX((WhoKW&lt;&gt;"")*ISNUMBER(SEARCH(WhoKW,INDEX(FormData,$H874,f_Who)&amp;""))*(ROW(WhoKW)-MIN(ROW(WhoKW))+1)))=0,"",INDEX(WhoVal,SUMPRODUCT(MAX((WhoKW&lt;&gt;"")*ISNUMBER(SEARCH(WhoKW,INDEX(FormData,$H874,f_Who)&amp;""))*(ROW(WhoKW)-MIN(ROW(WhoKW))+1))))),""))</f>
        <v/>
      </c>
      <c r="G874" s="14">
        <f>IF($H874="","",IF(COUNTIF(People!$U$5:$U$604,$B874)+COUNTIF(People!$U$5:$U$604,$B874&amp;"")&gt;0,"✓ logged","→ add"))</f>
        <v/>
      </c>
      <c r="H874">
        <f>IFERROR(IF(INDEX(FormData,871,f_Id)&amp;""="","",871),"")</f>
        <v/>
      </c>
      <c r="I874" s="16">
        <f>IF($H874="","",IFERROR(INDEX(FormData,$H874,f_Need)&amp;"",""))</f>
        <v/>
      </c>
    </row>
    <row r="875">
      <c r="A875" s="14" t="n">
        <v>871</v>
      </c>
      <c r="B875" s="14">
        <f>IF($H875="","",INDEX(FormData,$H875,f_Id))</f>
        <v/>
      </c>
      <c r="C875" s="15">
        <f>IF($H875="","",IFERROR(INDEX(FormData,$H875,f_Time),""))</f>
        <v/>
      </c>
      <c r="D875" s="14">
        <f>IF($H875="","",IFERROR(UPPER(LEFT(TRIM(INDEX(FormData,$H875,f_Name)),1)&amp;IFERROR(MID(TRIM(INDEX(FormData,$H875,f_Name)),FIND("^",SUBSTITUTE(TRIM(INDEX(FormData,$H875,f_Name))," ","^",LEN(TRIM(INDEX(FormData,$H875,f_Name)))-LEN(SUBSTITUTE(TRIM(INDEX(FormData,$H875,f_Name))," ",""))))+1,1),"")),""))</f>
        <v/>
      </c>
      <c r="E875" s="16">
        <f>IF($H875="","",IFERROR(INDEX(EvID,MATCH(INDEX(FormData,$H875,f_Event),EvID,0)),IFERROR(INDEX(EvID,MATCH(INDEX(FormData,$H875,f_Event),EvName,0)),IFERROR(INDEX(EvID,MATCH(INT($C875),EvDate,0)),"(no event that day)"))))</f>
        <v/>
      </c>
      <c r="F875" s="16">
        <f>IF($H875="","",IFERROR(IF(SUMPRODUCT(MAX((WhoKW&lt;&gt;"")*ISNUMBER(SEARCH(WhoKW,INDEX(FormData,$H875,f_Who)&amp;""))*(ROW(WhoKW)-MIN(ROW(WhoKW))+1)))=0,"",INDEX(WhoVal,SUMPRODUCT(MAX((WhoKW&lt;&gt;"")*ISNUMBER(SEARCH(WhoKW,INDEX(FormData,$H875,f_Who)&amp;""))*(ROW(WhoKW)-MIN(ROW(WhoKW))+1))))),""))</f>
        <v/>
      </c>
      <c r="G875" s="14">
        <f>IF($H875="","",IF(COUNTIF(People!$U$5:$U$604,$B875)+COUNTIF(People!$U$5:$U$604,$B875&amp;"")&gt;0,"✓ logged","→ add"))</f>
        <v/>
      </c>
      <c r="H875">
        <f>IFERROR(IF(INDEX(FormData,872,f_Id)&amp;""="","",872),"")</f>
        <v/>
      </c>
      <c r="I875" s="16">
        <f>IF($H875="","",IFERROR(INDEX(FormData,$H875,f_Need)&amp;"",""))</f>
        <v/>
      </c>
    </row>
    <row r="876">
      <c r="A876" s="14" t="n">
        <v>872</v>
      </c>
      <c r="B876" s="14">
        <f>IF($H876="","",INDEX(FormData,$H876,f_Id))</f>
        <v/>
      </c>
      <c r="C876" s="15">
        <f>IF($H876="","",IFERROR(INDEX(FormData,$H876,f_Time),""))</f>
        <v/>
      </c>
      <c r="D876" s="14">
        <f>IF($H876="","",IFERROR(UPPER(LEFT(TRIM(INDEX(FormData,$H876,f_Name)),1)&amp;IFERROR(MID(TRIM(INDEX(FormData,$H876,f_Name)),FIND("^",SUBSTITUTE(TRIM(INDEX(FormData,$H876,f_Name))," ","^",LEN(TRIM(INDEX(FormData,$H876,f_Name)))-LEN(SUBSTITUTE(TRIM(INDEX(FormData,$H876,f_Name))," ",""))))+1,1),"")),""))</f>
        <v/>
      </c>
      <c r="E876" s="16">
        <f>IF($H876="","",IFERROR(INDEX(EvID,MATCH(INDEX(FormData,$H876,f_Event),EvID,0)),IFERROR(INDEX(EvID,MATCH(INDEX(FormData,$H876,f_Event),EvName,0)),IFERROR(INDEX(EvID,MATCH(INT($C876),EvDate,0)),"(no event that day)"))))</f>
        <v/>
      </c>
      <c r="F876" s="16">
        <f>IF($H876="","",IFERROR(IF(SUMPRODUCT(MAX((WhoKW&lt;&gt;"")*ISNUMBER(SEARCH(WhoKW,INDEX(FormData,$H876,f_Who)&amp;""))*(ROW(WhoKW)-MIN(ROW(WhoKW))+1)))=0,"",INDEX(WhoVal,SUMPRODUCT(MAX((WhoKW&lt;&gt;"")*ISNUMBER(SEARCH(WhoKW,INDEX(FormData,$H876,f_Who)&amp;""))*(ROW(WhoKW)-MIN(ROW(WhoKW))+1))))),""))</f>
        <v/>
      </c>
      <c r="G876" s="14">
        <f>IF($H876="","",IF(COUNTIF(People!$U$5:$U$604,$B876)+COUNTIF(People!$U$5:$U$604,$B876&amp;"")&gt;0,"✓ logged","→ add"))</f>
        <v/>
      </c>
      <c r="H876">
        <f>IFERROR(IF(INDEX(FormData,873,f_Id)&amp;""="","",873),"")</f>
        <v/>
      </c>
      <c r="I876" s="16">
        <f>IF($H876="","",IFERROR(INDEX(FormData,$H876,f_Need)&amp;"",""))</f>
        <v/>
      </c>
    </row>
    <row r="877">
      <c r="A877" s="14" t="n">
        <v>873</v>
      </c>
      <c r="B877" s="14">
        <f>IF($H877="","",INDEX(FormData,$H877,f_Id))</f>
        <v/>
      </c>
      <c r="C877" s="15">
        <f>IF($H877="","",IFERROR(INDEX(FormData,$H877,f_Time),""))</f>
        <v/>
      </c>
      <c r="D877" s="14">
        <f>IF($H877="","",IFERROR(UPPER(LEFT(TRIM(INDEX(FormData,$H877,f_Name)),1)&amp;IFERROR(MID(TRIM(INDEX(FormData,$H877,f_Name)),FIND("^",SUBSTITUTE(TRIM(INDEX(FormData,$H877,f_Name))," ","^",LEN(TRIM(INDEX(FormData,$H877,f_Name)))-LEN(SUBSTITUTE(TRIM(INDEX(FormData,$H877,f_Name))," ",""))))+1,1),"")),""))</f>
        <v/>
      </c>
      <c r="E877" s="16">
        <f>IF($H877="","",IFERROR(INDEX(EvID,MATCH(INDEX(FormData,$H877,f_Event),EvID,0)),IFERROR(INDEX(EvID,MATCH(INDEX(FormData,$H877,f_Event),EvName,0)),IFERROR(INDEX(EvID,MATCH(INT($C877),EvDate,0)),"(no event that day)"))))</f>
        <v/>
      </c>
      <c r="F877" s="16">
        <f>IF($H877="","",IFERROR(IF(SUMPRODUCT(MAX((WhoKW&lt;&gt;"")*ISNUMBER(SEARCH(WhoKW,INDEX(FormData,$H877,f_Who)&amp;""))*(ROW(WhoKW)-MIN(ROW(WhoKW))+1)))=0,"",INDEX(WhoVal,SUMPRODUCT(MAX((WhoKW&lt;&gt;"")*ISNUMBER(SEARCH(WhoKW,INDEX(FormData,$H877,f_Who)&amp;""))*(ROW(WhoKW)-MIN(ROW(WhoKW))+1))))),""))</f>
        <v/>
      </c>
      <c r="G877" s="14">
        <f>IF($H877="","",IF(COUNTIF(People!$U$5:$U$604,$B877)+COUNTIF(People!$U$5:$U$604,$B877&amp;"")&gt;0,"✓ logged","→ add"))</f>
        <v/>
      </c>
      <c r="H877">
        <f>IFERROR(IF(INDEX(FormData,874,f_Id)&amp;""="","",874),"")</f>
        <v/>
      </c>
      <c r="I877" s="16">
        <f>IF($H877="","",IFERROR(INDEX(FormData,$H877,f_Need)&amp;"",""))</f>
        <v/>
      </c>
    </row>
    <row r="878">
      <c r="A878" s="14" t="n">
        <v>874</v>
      </c>
      <c r="B878" s="14">
        <f>IF($H878="","",INDEX(FormData,$H878,f_Id))</f>
        <v/>
      </c>
      <c r="C878" s="15">
        <f>IF($H878="","",IFERROR(INDEX(FormData,$H878,f_Time),""))</f>
        <v/>
      </c>
      <c r="D878" s="14">
        <f>IF($H878="","",IFERROR(UPPER(LEFT(TRIM(INDEX(FormData,$H878,f_Name)),1)&amp;IFERROR(MID(TRIM(INDEX(FormData,$H878,f_Name)),FIND("^",SUBSTITUTE(TRIM(INDEX(FormData,$H878,f_Name))," ","^",LEN(TRIM(INDEX(FormData,$H878,f_Name)))-LEN(SUBSTITUTE(TRIM(INDEX(FormData,$H878,f_Name))," ",""))))+1,1),"")),""))</f>
        <v/>
      </c>
      <c r="E878" s="16">
        <f>IF($H878="","",IFERROR(INDEX(EvID,MATCH(INDEX(FormData,$H878,f_Event),EvID,0)),IFERROR(INDEX(EvID,MATCH(INDEX(FormData,$H878,f_Event),EvName,0)),IFERROR(INDEX(EvID,MATCH(INT($C878),EvDate,0)),"(no event that day)"))))</f>
        <v/>
      </c>
      <c r="F878" s="16">
        <f>IF($H878="","",IFERROR(IF(SUMPRODUCT(MAX((WhoKW&lt;&gt;"")*ISNUMBER(SEARCH(WhoKW,INDEX(FormData,$H878,f_Who)&amp;""))*(ROW(WhoKW)-MIN(ROW(WhoKW))+1)))=0,"",INDEX(WhoVal,SUMPRODUCT(MAX((WhoKW&lt;&gt;"")*ISNUMBER(SEARCH(WhoKW,INDEX(FormData,$H878,f_Who)&amp;""))*(ROW(WhoKW)-MIN(ROW(WhoKW))+1))))),""))</f>
        <v/>
      </c>
      <c r="G878" s="14">
        <f>IF($H878="","",IF(COUNTIF(People!$U$5:$U$604,$B878)+COUNTIF(People!$U$5:$U$604,$B878&amp;"")&gt;0,"✓ logged","→ add"))</f>
        <v/>
      </c>
      <c r="H878">
        <f>IFERROR(IF(INDEX(FormData,875,f_Id)&amp;""="","",875),"")</f>
        <v/>
      </c>
      <c r="I878" s="16">
        <f>IF($H878="","",IFERROR(INDEX(FormData,$H878,f_Need)&amp;"",""))</f>
        <v/>
      </c>
    </row>
    <row r="879">
      <c r="A879" s="14" t="n">
        <v>875</v>
      </c>
      <c r="B879" s="14">
        <f>IF($H879="","",INDEX(FormData,$H879,f_Id))</f>
        <v/>
      </c>
      <c r="C879" s="15">
        <f>IF($H879="","",IFERROR(INDEX(FormData,$H879,f_Time),""))</f>
        <v/>
      </c>
      <c r="D879" s="14">
        <f>IF($H879="","",IFERROR(UPPER(LEFT(TRIM(INDEX(FormData,$H879,f_Name)),1)&amp;IFERROR(MID(TRIM(INDEX(FormData,$H879,f_Name)),FIND("^",SUBSTITUTE(TRIM(INDEX(FormData,$H879,f_Name))," ","^",LEN(TRIM(INDEX(FormData,$H879,f_Name)))-LEN(SUBSTITUTE(TRIM(INDEX(FormData,$H879,f_Name))," ",""))))+1,1),"")),""))</f>
        <v/>
      </c>
      <c r="E879" s="16">
        <f>IF($H879="","",IFERROR(INDEX(EvID,MATCH(INDEX(FormData,$H879,f_Event),EvID,0)),IFERROR(INDEX(EvID,MATCH(INDEX(FormData,$H879,f_Event),EvName,0)),IFERROR(INDEX(EvID,MATCH(INT($C879),EvDate,0)),"(no event that day)"))))</f>
        <v/>
      </c>
      <c r="F879" s="16">
        <f>IF($H879="","",IFERROR(IF(SUMPRODUCT(MAX((WhoKW&lt;&gt;"")*ISNUMBER(SEARCH(WhoKW,INDEX(FormData,$H879,f_Who)&amp;""))*(ROW(WhoKW)-MIN(ROW(WhoKW))+1)))=0,"",INDEX(WhoVal,SUMPRODUCT(MAX((WhoKW&lt;&gt;"")*ISNUMBER(SEARCH(WhoKW,INDEX(FormData,$H879,f_Who)&amp;""))*(ROW(WhoKW)-MIN(ROW(WhoKW))+1))))),""))</f>
        <v/>
      </c>
      <c r="G879" s="14">
        <f>IF($H879="","",IF(COUNTIF(People!$U$5:$U$604,$B879)+COUNTIF(People!$U$5:$U$604,$B879&amp;"")&gt;0,"✓ logged","→ add"))</f>
        <v/>
      </c>
      <c r="H879">
        <f>IFERROR(IF(INDEX(FormData,876,f_Id)&amp;""="","",876),"")</f>
        <v/>
      </c>
      <c r="I879" s="16">
        <f>IF($H879="","",IFERROR(INDEX(FormData,$H879,f_Need)&amp;"",""))</f>
        <v/>
      </c>
    </row>
    <row r="880">
      <c r="A880" s="14" t="n">
        <v>876</v>
      </c>
      <c r="B880" s="14">
        <f>IF($H880="","",INDEX(FormData,$H880,f_Id))</f>
        <v/>
      </c>
      <c r="C880" s="15">
        <f>IF($H880="","",IFERROR(INDEX(FormData,$H880,f_Time),""))</f>
        <v/>
      </c>
      <c r="D880" s="14">
        <f>IF($H880="","",IFERROR(UPPER(LEFT(TRIM(INDEX(FormData,$H880,f_Name)),1)&amp;IFERROR(MID(TRIM(INDEX(FormData,$H880,f_Name)),FIND("^",SUBSTITUTE(TRIM(INDEX(FormData,$H880,f_Name))," ","^",LEN(TRIM(INDEX(FormData,$H880,f_Name)))-LEN(SUBSTITUTE(TRIM(INDEX(FormData,$H880,f_Name))," ",""))))+1,1),"")),""))</f>
        <v/>
      </c>
      <c r="E880" s="16">
        <f>IF($H880="","",IFERROR(INDEX(EvID,MATCH(INDEX(FormData,$H880,f_Event),EvID,0)),IFERROR(INDEX(EvID,MATCH(INDEX(FormData,$H880,f_Event),EvName,0)),IFERROR(INDEX(EvID,MATCH(INT($C880),EvDate,0)),"(no event that day)"))))</f>
        <v/>
      </c>
      <c r="F880" s="16">
        <f>IF($H880="","",IFERROR(IF(SUMPRODUCT(MAX((WhoKW&lt;&gt;"")*ISNUMBER(SEARCH(WhoKW,INDEX(FormData,$H880,f_Who)&amp;""))*(ROW(WhoKW)-MIN(ROW(WhoKW))+1)))=0,"",INDEX(WhoVal,SUMPRODUCT(MAX((WhoKW&lt;&gt;"")*ISNUMBER(SEARCH(WhoKW,INDEX(FormData,$H880,f_Who)&amp;""))*(ROW(WhoKW)-MIN(ROW(WhoKW))+1))))),""))</f>
        <v/>
      </c>
      <c r="G880" s="14">
        <f>IF($H880="","",IF(COUNTIF(People!$U$5:$U$604,$B880)+COUNTIF(People!$U$5:$U$604,$B880&amp;"")&gt;0,"✓ logged","→ add"))</f>
        <v/>
      </c>
      <c r="H880">
        <f>IFERROR(IF(INDEX(FormData,877,f_Id)&amp;""="","",877),"")</f>
        <v/>
      </c>
      <c r="I880" s="16">
        <f>IF($H880="","",IFERROR(INDEX(FormData,$H880,f_Need)&amp;"",""))</f>
        <v/>
      </c>
    </row>
    <row r="881">
      <c r="A881" s="14" t="n">
        <v>877</v>
      </c>
      <c r="B881" s="14">
        <f>IF($H881="","",INDEX(FormData,$H881,f_Id))</f>
        <v/>
      </c>
      <c r="C881" s="15">
        <f>IF($H881="","",IFERROR(INDEX(FormData,$H881,f_Time),""))</f>
        <v/>
      </c>
      <c r="D881" s="14">
        <f>IF($H881="","",IFERROR(UPPER(LEFT(TRIM(INDEX(FormData,$H881,f_Name)),1)&amp;IFERROR(MID(TRIM(INDEX(FormData,$H881,f_Name)),FIND("^",SUBSTITUTE(TRIM(INDEX(FormData,$H881,f_Name))," ","^",LEN(TRIM(INDEX(FormData,$H881,f_Name)))-LEN(SUBSTITUTE(TRIM(INDEX(FormData,$H881,f_Name))," ",""))))+1,1),"")),""))</f>
        <v/>
      </c>
      <c r="E881" s="16">
        <f>IF($H881="","",IFERROR(INDEX(EvID,MATCH(INDEX(FormData,$H881,f_Event),EvID,0)),IFERROR(INDEX(EvID,MATCH(INDEX(FormData,$H881,f_Event),EvName,0)),IFERROR(INDEX(EvID,MATCH(INT($C881),EvDate,0)),"(no event that day)"))))</f>
        <v/>
      </c>
      <c r="F881" s="16">
        <f>IF($H881="","",IFERROR(IF(SUMPRODUCT(MAX((WhoKW&lt;&gt;"")*ISNUMBER(SEARCH(WhoKW,INDEX(FormData,$H881,f_Who)&amp;""))*(ROW(WhoKW)-MIN(ROW(WhoKW))+1)))=0,"",INDEX(WhoVal,SUMPRODUCT(MAX((WhoKW&lt;&gt;"")*ISNUMBER(SEARCH(WhoKW,INDEX(FormData,$H881,f_Who)&amp;""))*(ROW(WhoKW)-MIN(ROW(WhoKW))+1))))),""))</f>
        <v/>
      </c>
      <c r="G881" s="14">
        <f>IF($H881="","",IF(COUNTIF(People!$U$5:$U$604,$B881)+COUNTIF(People!$U$5:$U$604,$B881&amp;"")&gt;0,"✓ logged","→ add"))</f>
        <v/>
      </c>
      <c r="H881">
        <f>IFERROR(IF(INDEX(FormData,878,f_Id)&amp;""="","",878),"")</f>
        <v/>
      </c>
      <c r="I881" s="16">
        <f>IF($H881="","",IFERROR(INDEX(FormData,$H881,f_Need)&amp;"",""))</f>
        <v/>
      </c>
    </row>
    <row r="882">
      <c r="A882" s="14" t="n">
        <v>878</v>
      </c>
      <c r="B882" s="14">
        <f>IF($H882="","",INDEX(FormData,$H882,f_Id))</f>
        <v/>
      </c>
      <c r="C882" s="15">
        <f>IF($H882="","",IFERROR(INDEX(FormData,$H882,f_Time),""))</f>
        <v/>
      </c>
      <c r="D882" s="14">
        <f>IF($H882="","",IFERROR(UPPER(LEFT(TRIM(INDEX(FormData,$H882,f_Name)),1)&amp;IFERROR(MID(TRIM(INDEX(FormData,$H882,f_Name)),FIND("^",SUBSTITUTE(TRIM(INDEX(FormData,$H882,f_Name))," ","^",LEN(TRIM(INDEX(FormData,$H882,f_Name)))-LEN(SUBSTITUTE(TRIM(INDEX(FormData,$H882,f_Name))," ",""))))+1,1),"")),""))</f>
        <v/>
      </c>
      <c r="E882" s="16">
        <f>IF($H882="","",IFERROR(INDEX(EvID,MATCH(INDEX(FormData,$H882,f_Event),EvID,0)),IFERROR(INDEX(EvID,MATCH(INDEX(FormData,$H882,f_Event),EvName,0)),IFERROR(INDEX(EvID,MATCH(INT($C882),EvDate,0)),"(no event that day)"))))</f>
        <v/>
      </c>
      <c r="F882" s="16">
        <f>IF($H882="","",IFERROR(IF(SUMPRODUCT(MAX((WhoKW&lt;&gt;"")*ISNUMBER(SEARCH(WhoKW,INDEX(FormData,$H882,f_Who)&amp;""))*(ROW(WhoKW)-MIN(ROW(WhoKW))+1)))=0,"",INDEX(WhoVal,SUMPRODUCT(MAX((WhoKW&lt;&gt;"")*ISNUMBER(SEARCH(WhoKW,INDEX(FormData,$H882,f_Who)&amp;""))*(ROW(WhoKW)-MIN(ROW(WhoKW))+1))))),""))</f>
        <v/>
      </c>
      <c r="G882" s="14">
        <f>IF($H882="","",IF(COUNTIF(People!$U$5:$U$604,$B882)+COUNTIF(People!$U$5:$U$604,$B882&amp;"")&gt;0,"✓ logged","→ add"))</f>
        <v/>
      </c>
      <c r="H882">
        <f>IFERROR(IF(INDEX(FormData,879,f_Id)&amp;""="","",879),"")</f>
        <v/>
      </c>
      <c r="I882" s="16">
        <f>IF($H882="","",IFERROR(INDEX(FormData,$H882,f_Need)&amp;"",""))</f>
        <v/>
      </c>
    </row>
    <row r="883">
      <c r="A883" s="14" t="n">
        <v>879</v>
      </c>
      <c r="B883" s="14">
        <f>IF($H883="","",INDEX(FormData,$H883,f_Id))</f>
        <v/>
      </c>
      <c r="C883" s="15">
        <f>IF($H883="","",IFERROR(INDEX(FormData,$H883,f_Time),""))</f>
        <v/>
      </c>
      <c r="D883" s="14">
        <f>IF($H883="","",IFERROR(UPPER(LEFT(TRIM(INDEX(FormData,$H883,f_Name)),1)&amp;IFERROR(MID(TRIM(INDEX(FormData,$H883,f_Name)),FIND("^",SUBSTITUTE(TRIM(INDEX(FormData,$H883,f_Name))," ","^",LEN(TRIM(INDEX(FormData,$H883,f_Name)))-LEN(SUBSTITUTE(TRIM(INDEX(FormData,$H883,f_Name))," ",""))))+1,1),"")),""))</f>
        <v/>
      </c>
      <c r="E883" s="16">
        <f>IF($H883="","",IFERROR(INDEX(EvID,MATCH(INDEX(FormData,$H883,f_Event),EvID,0)),IFERROR(INDEX(EvID,MATCH(INDEX(FormData,$H883,f_Event),EvName,0)),IFERROR(INDEX(EvID,MATCH(INT($C883),EvDate,0)),"(no event that day)"))))</f>
        <v/>
      </c>
      <c r="F883" s="16">
        <f>IF($H883="","",IFERROR(IF(SUMPRODUCT(MAX((WhoKW&lt;&gt;"")*ISNUMBER(SEARCH(WhoKW,INDEX(FormData,$H883,f_Who)&amp;""))*(ROW(WhoKW)-MIN(ROW(WhoKW))+1)))=0,"",INDEX(WhoVal,SUMPRODUCT(MAX((WhoKW&lt;&gt;"")*ISNUMBER(SEARCH(WhoKW,INDEX(FormData,$H883,f_Who)&amp;""))*(ROW(WhoKW)-MIN(ROW(WhoKW))+1))))),""))</f>
        <v/>
      </c>
      <c r="G883" s="14">
        <f>IF($H883="","",IF(COUNTIF(People!$U$5:$U$604,$B883)+COUNTIF(People!$U$5:$U$604,$B883&amp;"")&gt;0,"✓ logged","→ add"))</f>
        <v/>
      </c>
      <c r="H883">
        <f>IFERROR(IF(INDEX(FormData,880,f_Id)&amp;""="","",880),"")</f>
        <v/>
      </c>
      <c r="I883" s="16">
        <f>IF($H883="","",IFERROR(INDEX(FormData,$H883,f_Need)&amp;"",""))</f>
        <v/>
      </c>
    </row>
    <row r="884">
      <c r="A884" s="14" t="n">
        <v>880</v>
      </c>
      <c r="B884" s="14">
        <f>IF($H884="","",INDEX(FormData,$H884,f_Id))</f>
        <v/>
      </c>
      <c r="C884" s="15">
        <f>IF($H884="","",IFERROR(INDEX(FormData,$H884,f_Time),""))</f>
        <v/>
      </c>
      <c r="D884" s="14">
        <f>IF($H884="","",IFERROR(UPPER(LEFT(TRIM(INDEX(FormData,$H884,f_Name)),1)&amp;IFERROR(MID(TRIM(INDEX(FormData,$H884,f_Name)),FIND("^",SUBSTITUTE(TRIM(INDEX(FormData,$H884,f_Name))," ","^",LEN(TRIM(INDEX(FormData,$H884,f_Name)))-LEN(SUBSTITUTE(TRIM(INDEX(FormData,$H884,f_Name))," ",""))))+1,1),"")),""))</f>
        <v/>
      </c>
      <c r="E884" s="16">
        <f>IF($H884="","",IFERROR(INDEX(EvID,MATCH(INDEX(FormData,$H884,f_Event),EvID,0)),IFERROR(INDEX(EvID,MATCH(INDEX(FormData,$H884,f_Event),EvName,0)),IFERROR(INDEX(EvID,MATCH(INT($C884),EvDate,0)),"(no event that day)"))))</f>
        <v/>
      </c>
      <c r="F884" s="16">
        <f>IF($H884="","",IFERROR(IF(SUMPRODUCT(MAX((WhoKW&lt;&gt;"")*ISNUMBER(SEARCH(WhoKW,INDEX(FormData,$H884,f_Who)&amp;""))*(ROW(WhoKW)-MIN(ROW(WhoKW))+1)))=0,"",INDEX(WhoVal,SUMPRODUCT(MAX((WhoKW&lt;&gt;"")*ISNUMBER(SEARCH(WhoKW,INDEX(FormData,$H884,f_Who)&amp;""))*(ROW(WhoKW)-MIN(ROW(WhoKW))+1))))),""))</f>
        <v/>
      </c>
      <c r="G884" s="14">
        <f>IF($H884="","",IF(COUNTIF(People!$U$5:$U$604,$B884)+COUNTIF(People!$U$5:$U$604,$B884&amp;"")&gt;0,"✓ logged","→ add"))</f>
        <v/>
      </c>
      <c r="H884">
        <f>IFERROR(IF(INDEX(FormData,881,f_Id)&amp;""="","",881),"")</f>
        <v/>
      </c>
      <c r="I884" s="16">
        <f>IF($H884="","",IFERROR(INDEX(FormData,$H884,f_Need)&amp;"",""))</f>
        <v/>
      </c>
    </row>
    <row r="885">
      <c r="A885" s="14" t="n">
        <v>881</v>
      </c>
      <c r="B885" s="14">
        <f>IF($H885="","",INDEX(FormData,$H885,f_Id))</f>
        <v/>
      </c>
      <c r="C885" s="15">
        <f>IF($H885="","",IFERROR(INDEX(FormData,$H885,f_Time),""))</f>
        <v/>
      </c>
      <c r="D885" s="14">
        <f>IF($H885="","",IFERROR(UPPER(LEFT(TRIM(INDEX(FormData,$H885,f_Name)),1)&amp;IFERROR(MID(TRIM(INDEX(FormData,$H885,f_Name)),FIND("^",SUBSTITUTE(TRIM(INDEX(FormData,$H885,f_Name))," ","^",LEN(TRIM(INDEX(FormData,$H885,f_Name)))-LEN(SUBSTITUTE(TRIM(INDEX(FormData,$H885,f_Name))," ",""))))+1,1),"")),""))</f>
        <v/>
      </c>
      <c r="E885" s="16">
        <f>IF($H885="","",IFERROR(INDEX(EvID,MATCH(INDEX(FormData,$H885,f_Event),EvID,0)),IFERROR(INDEX(EvID,MATCH(INDEX(FormData,$H885,f_Event),EvName,0)),IFERROR(INDEX(EvID,MATCH(INT($C885),EvDate,0)),"(no event that day)"))))</f>
        <v/>
      </c>
      <c r="F885" s="16">
        <f>IF($H885="","",IFERROR(IF(SUMPRODUCT(MAX((WhoKW&lt;&gt;"")*ISNUMBER(SEARCH(WhoKW,INDEX(FormData,$H885,f_Who)&amp;""))*(ROW(WhoKW)-MIN(ROW(WhoKW))+1)))=0,"",INDEX(WhoVal,SUMPRODUCT(MAX((WhoKW&lt;&gt;"")*ISNUMBER(SEARCH(WhoKW,INDEX(FormData,$H885,f_Who)&amp;""))*(ROW(WhoKW)-MIN(ROW(WhoKW))+1))))),""))</f>
        <v/>
      </c>
      <c r="G885" s="14">
        <f>IF($H885="","",IF(COUNTIF(People!$U$5:$U$604,$B885)+COUNTIF(People!$U$5:$U$604,$B885&amp;"")&gt;0,"✓ logged","→ add"))</f>
        <v/>
      </c>
      <c r="H885">
        <f>IFERROR(IF(INDEX(FormData,882,f_Id)&amp;""="","",882),"")</f>
        <v/>
      </c>
      <c r="I885" s="16">
        <f>IF($H885="","",IFERROR(INDEX(FormData,$H885,f_Need)&amp;"",""))</f>
        <v/>
      </c>
    </row>
    <row r="886">
      <c r="A886" s="14" t="n">
        <v>882</v>
      </c>
      <c r="B886" s="14">
        <f>IF($H886="","",INDEX(FormData,$H886,f_Id))</f>
        <v/>
      </c>
      <c r="C886" s="15">
        <f>IF($H886="","",IFERROR(INDEX(FormData,$H886,f_Time),""))</f>
        <v/>
      </c>
      <c r="D886" s="14">
        <f>IF($H886="","",IFERROR(UPPER(LEFT(TRIM(INDEX(FormData,$H886,f_Name)),1)&amp;IFERROR(MID(TRIM(INDEX(FormData,$H886,f_Name)),FIND("^",SUBSTITUTE(TRIM(INDEX(FormData,$H886,f_Name))," ","^",LEN(TRIM(INDEX(FormData,$H886,f_Name)))-LEN(SUBSTITUTE(TRIM(INDEX(FormData,$H886,f_Name))," ",""))))+1,1),"")),""))</f>
        <v/>
      </c>
      <c r="E886" s="16">
        <f>IF($H886="","",IFERROR(INDEX(EvID,MATCH(INDEX(FormData,$H886,f_Event),EvID,0)),IFERROR(INDEX(EvID,MATCH(INDEX(FormData,$H886,f_Event),EvName,0)),IFERROR(INDEX(EvID,MATCH(INT($C886),EvDate,0)),"(no event that day)"))))</f>
        <v/>
      </c>
      <c r="F886" s="16">
        <f>IF($H886="","",IFERROR(IF(SUMPRODUCT(MAX((WhoKW&lt;&gt;"")*ISNUMBER(SEARCH(WhoKW,INDEX(FormData,$H886,f_Who)&amp;""))*(ROW(WhoKW)-MIN(ROW(WhoKW))+1)))=0,"",INDEX(WhoVal,SUMPRODUCT(MAX((WhoKW&lt;&gt;"")*ISNUMBER(SEARCH(WhoKW,INDEX(FormData,$H886,f_Who)&amp;""))*(ROW(WhoKW)-MIN(ROW(WhoKW))+1))))),""))</f>
        <v/>
      </c>
      <c r="G886" s="14">
        <f>IF($H886="","",IF(COUNTIF(People!$U$5:$U$604,$B886)+COUNTIF(People!$U$5:$U$604,$B886&amp;"")&gt;0,"✓ logged","→ add"))</f>
        <v/>
      </c>
      <c r="H886">
        <f>IFERROR(IF(INDEX(FormData,883,f_Id)&amp;""="","",883),"")</f>
        <v/>
      </c>
      <c r="I886" s="16">
        <f>IF($H886="","",IFERROR(INDEX(FormData,$H886,f_Need)&amp;"",""))</f>
        <v/>
      </c>
    </row>
    <row r="887">
      <c r="A887" s="14" t="n">
        <v>883</v>
      </c>
      <c r="B887" s="14">
        <f>IF($H887="","",INDEX(FormData,$H887,f_Id))</f>
        <v/>
      </c>
      <c r="C887" s="15">
        <f>IF($H887="","",IFERROR(INDEX(FormData,$H887,f_Time),""))</f>
        <v/>
      </c>
      <c r="D887" s="14">
        <f>IF($H887="","",IFERROR(UPPER(LEFT(TRIM(INDEX(FormData,$H887,f_Name)),1)&amp;IFERROR(MID(TRIM(INDEX(FormData,$H887,f_Name)),FIND("^",SUBSTITUTE(TRIM(INDEX(FormData,$H887,f_Name))," ","^",LEN(TRIM(INDEX(FormData,$H887,f_Name)))-LEN(SUBSTITUTE(TRIM(INDEX(FormData,$H887,f_Name))," ",""))))+1,1),"")),""))</f>
        <v/>
      </c>
      <c r="E887" s="16">
        <f>IF($H887="","",IFERROR(INDEX(EvID,MATCH(INDEX(FormData,$H887,f_Event),EvID,0)),IFERROR(INDEX(EvID,MATCH(INDEX(FormData,$H887,f_Event),EvName,0)),IFERROR(INDEX(EvID,MATCH(INT($C887),EvDate,0)),"(no event that day)"))))</f>
        <v/>
      </c>
      <c r="F887" s="16">
        <f>IF($H887="","",IFERROR(IF(SUMPRODUCT(MAX((WhoKW&lt;&gt;"")*ISNUMBER(SEARCH(WhoKW,INDEX(FormData,$H887,f_Who)&amp;""))*(ROW(WhoKW)-MIN(ROW(WhoKW))+1)))=0,"",INDEX(WhoVal,SUMPRODUCT(MAX((WhoKW&lt;&gt;"")*ISNUMBER(SEARCH(WhoKW,INDEX(FormData,$H887,f_Who)&amp;""))*(ROW(WhoKW)-MIN(ROW(WhoKW))+1))))),""))</f>
        <v/>
      </c>
      <c r="G887" s="14">
        <f>IF($H887="","",IF(COUNTIF(People!$U$5:$U$604,$B887)+COUNTIF(People!$U$5:$U$604,$B887&amp;"")&gt;0,"✓ logged","→ add"))</f>
        <v/>
      </c>
      <c r="H887">
        <f>IFERROR(IF(INDEX(FormData,884,f_Id)&amp;""="","",884),"")</f>
        <v/>
      </c>
      <c r="I887" s="16">
        <f>IF($H887="","",IFERROR(INDEX(FormData,$H887,f_Need)&amp;"",""))</f>
        <v/>
      </c>
    </row>
    <row r="888">
      <c r="A888" s="14" t="n">
        <v>884</v>
      </c>
      <c r="B888" s="14">
        <f>IF($H888="","",INDEX(FormData,$H888,f_Id))</f>
        <v/>
      </c>
      <c r="C888" s="15">
        <f>IF($H888="","",IFERROR(INDEX(FormData,$H888,f_Time),""))</f>
        <v/>
      </c>
      <c r="D888" s="14">
        <f>IF($H888="","",IFERROR(UPPER(LEFT(TRIM(INDEX(FormData,$H888,f_Name)),1)&amp;IFERROR(MID(TRIM(INDEX(FormData,$H888,f_Name)),FIND("^",SUBSTITUTE(TRIM(INDEX(FormData,$H888,f_Name))," ","^",LEN(TRIM(INDEX(FormData,$H888,f_Name)))-LEN(SUBSTITUTE(TRIM(INDEX(FormData,$H888,f_Name))," ",""))))+1,1),"")),""))</f>
        <v/>
      </c>
      <c r="E888" s="16">
        <f>IF($H888="","",IFERROR(INDEX(EvID,MATCH(INDEX(FormData,$H888,f_Event),EvID,0)),IFERROR(INDEX(EvID,MATCH(INDEX(FormData,$H888,f_Event),EvName,0)),IFERROR(INDEX(EvID,MATCH(INT($C888),EvDate,0)),"(no event that day)"))))</f>
        <v/>
      </c>
      <c r="F888" s="16">
        <f>IF($H888="","",IFERROR(IF(SUMPRODUCT(MAX((WhoKW&lt;&gt;"")*ISNUMBER(SEARCH(WhoKW,INDEX(FormData,$H888,f_Who)&amp;""))*(ROW(WhoKW)-MIN(ROW(WhoKW))+1)))=0,"",INDEX(WhoVal,SUMPRODUCT(MAX((WhoKW&lt;&gt;"")*ISNUMBER(SEARCH(WhoKW,INDEX(FormData,$H888,f_Who)&amp;""))*(ROW(WhoKW)-MIN(ROW(WhoKW))+1))))),""))</f>
        <v/>
      </c>
      <c r="G888" s="14">
        <f>IF($H888="","",IF(COUNTIF(People!$U$5:$U$604,$B888)+COUNTIF(People!$U$5:$U$604,$B888&amp;"")&gt;0,"✓ logged","→ add"))</f>
        <v/>
      </c>
      <c r="H888">
        <f>IFERROR(IF(INDEX(FormData,885,f_Id)&amp;""="","",885),"")</f>
        <v/>
      </c>
      <c r="I888" s="16">
        <f>IF($H888="","",IFERROR(INDEX(FormData,$H888,f_Need)&amp;"",""))</f>
        <v/>
      </c>
    </row>
    <row r="889">
      <c r="A889" s="14" t="n">
        <v>885</v>
      </c>
      <c r="B889" s="14">
        <f>IF($H889="","",INDEX(FormData,$H889,f_Id))</f>
        <v/>
      </c>
      <c r="C889" s="15">
        <f>IF($H889="","",IFERROR(INDEX(FormData,$H889,f_Time),""))</f>
        <v/>
      </c>
      <c r="D889" s="14">
        <f>IF($H889="","",IFERROR(UPPER(LEFT(TRIM(INDEX(FormData,$H889,f_Name)),1)&amp;IFERROR(MID(TRIM(INDEX(FormData,$H889,f_Name)),FIND("^",SUBSTITUTE(TRIM(INDEX(FormData,$H889,f_Name))," ","^",LEN(TRIM(INDEX(FormData,$H889,f_Name)))-LEN(SUBSTITUTE(TRIM(INDEX(FormData,$H889,f_Name))," ",""))))+1,1),"")),""))</f>
        <v/>
      </c>
      <c r="E889" s="16">
        <f>IF($H889="","",IFERROR(INDEX(EvID,MATCH(INDEX(FormData,$H889,f_Event),EvID,0)),IFERROR(INDEX(EvID,MATCH(INDEX(FormData,$H889,f_Event),EvName,0)),IFERROR(INDEX(EvID,MATCH(INT($C889),EvDate,0)),"(no event that day)"))))</f>
        <v/>
      </c>
      <c r="F889" s="16">
        <f>IF($H889="","",IFERROR(IF(SUMPRODUCT(MAX((WhoKW&lt;&gt;"")*ISNUMBER(SEARCH(WhoKW,INDEX(FormData,$H889,f_Who)&amp;""))*(ROW(WhoKW)-MIN(ROW(WhoKW))+1)))=0,"",INDEX(WhoVal,SUMPRODUCT(MAX((WhoKW&lt;&gt;"")*ISNUMBER(SEARCH(WhoKW,INDEX(FormData,$H889,f_Who)&amp;""))*(ROW(WhoKW)-MIN(ROW(WhoKW))+1))))),""))</f>
        <v/>
      </c>
      <c r="G889" s="14">
        <f>IF($H889="","",IF(COUNTIF(People!$U$5:$U$604,$B889)+COUNTIF(People!$U$5:$U$604,$B889&amp;"")&gt;0,"✓ logged","→ add"))</f>
        <v/>
      </c>
      <c r="H889">
        <f>IFERROR(IF(INDEX(FormData,886,f_Id)&amp;""="","",886),"")</f>
        <v/>
      </c>
      <c r="I889" s="16">
        <f>IF($H889="","",IFERROR(INDEX(FormData,$H889,f_Need)&amp;"",""))</f>
        <v/>
      </c>
    </row>
    <row r="890">
      <c r="A890" s="14" t="n">
        <v>886</v>
      </c>
      <c r="B890" s="14">
        <f>IF($H890="","",INDEX(FormData,$H890,f_Id))</f>
        <v/>
      </c>
      <c r="C890" s="15">
        <f>IF($H890="","",IFERROR(INDEX(FormData,$H890,f_Time),""))</f>
        <v/>
      </c>
      <c r="D890" s="14">
        <f>IF($H890="","",IFERROR(UPPER(LEFT(TRIM(INDEX(FormData,$H890,f_Name)),1)&amp;IFERROR(MID(TRIM(INDEX(FormData,$H890,f_Name)),FIND("^",SUBSTITUTE(TRIM(INDEX(FormData,$H890,f_Name))," ","^",LEN(TRIM(INDEX(FormData,$H890,f_Name)))-LEN(SUBSTITUTE(TRIM(INDEX(FormData,$H890,f_Name))," ",""))))+1,1),"")),""))</f>
        <v/>
      </c>
      <c r="E890" s="16">
        <f>IF($H890="","",IFERROR(INDEX(EvID,MATCH(INDEX(FormData,$H890,f_Event),EvID,0)),IFERROR(INDEX(EvID,MATCH(INDEX(FormData,$H890,f_Event),EvName,0)),IFERROR(INDEX(EvID,MATCH(INT($C890),EvDate,0)),"(no event that day)"))))</f>
        <v/>
      </c>
      <c r="F890" s="16">
        <f>IF($H890="","",IFERROR(IF(SUMPRODUCT(MAX((WhoKW&lt;&gt;"")*ISNUMBER(SEARCH(WhoKW,INDEX(FormData,$H890,f_Who)&amp;""))*(ROW(WhoKW)-MIN(ROW(WhoKW))+1)))=0,"",INDEX(WhoVal,SUMPRODUCT(MAX((WhoKW&lt;&gt;"")*ISNUMBER(SEARCH(WhoKW,INDEX(FormData,$H890,f_Who)&amp;""))*(ROW(WhoKW)-MIN(ROW(WhoKW))+1))))),""))</f>
        <v/>
      </c>
      <c r="G890" s="14">
        <f>IF($H890="","",IF(COUNTIF(People!$U$5:$U$604,$B890)+COUNTIF(People!$U$5:$U$604,$B890&amp;"")&gt;0,"✓ logged","→ add"))</f>
        <v/>
      </c>
      <c r="H890">
        <f>IFERROR(IF(INDEX(FormData,887,f_Id)&amp;""="","",887),"")</f>
        <v/>
      </c>
      <c r="I890" s="16">
        <f>IF($H890="","",IFERROR(INDEX(FormData,$H890,f_Need)&amp;"",""))</f>
        <v/>
      </c>
    </row>
    <row r="891">
      <c r="A891" s="14" t="n">
        <v>887</v>
      </c>
      <c r="B891" s="14">
        <f>IF($H891="","",INDEX(FormData,$H891,f_Id))</f>
        <v/>
      </c>
      <c r="C891" s="15">
        <f>IF($H891="","",IFERROR(INDEX(FormData,$H891,f_Time),""))</f>
        <v/>
      </c>
      <c r="D891" s="14">
        <f>IF($H891="","",IFERROR(UPPER(LEFT(TRIM(INDEX(FormData,$H891,f_Name)),1)&amp;IFERROR(MID(TRIM(INDEX(FormData,$H891,f_Name)),FIND("^",SUBSTITUTE(TRIM(INDEX(FormData,$H891,f_Name))," ","^",LEN(TRIM(INDEX(FormData,$H891,f_Name)))-LEN(SUBSTITUTE(TRIM(INDEX(FormData,$H891,f_Name))," ",""))))+1,1),"")),""))</f>
        <v/>
      </c>
      <c r="E891" s="16">
        <f>IF($H891="","",IFERROR(INDEX(EvID,MATCH(INDEX(FormData,$H891,f_Event),EvID,0)),IFERROR(INDEX(EvID,MATCH(INDEX(FormData,$H891,f_Event),EvName,0)),IFERROR(INDEX(EvID,MATCH(INT($C891),EvDate,0)),"(no event that day)"))))</f>
        <v/>
      </c>
      <c r="F891" s="16">
        <f>IF($H891="","",IFERROR(IF(SUMPRODUCT(MAX((WhoKW&lt;&gt;"")*ISNUMBER(SEARCH(WhoKW,INDEX(FormData,$H891,f_Who)&amp;""))*(ROW(WhoKW)-MIN(ROW(WhoKW))+1)))=0,"",INDEX(WhoVal,SUMPRODUCT(MAX((WhoKW&lt;&gt;"")*ISNUMBER(SEARCH(WhoKW,INDEX(FormData,$H891,f_Who)&amp;""))*(ROW(WhoKW)-MIN(ROW(WhoKW))+1))))),""))</f>
        <v/>
      </c>
      <c r="G891" s="14">
        <f>IF($H891="","",IF(COUNTIF(People!$U$5:$U$604,$B891)+COUNTIF(People!$U$5:$U$604,$B891&amp;"")&gt;0,"✓ logged","→ add"))</f>
        <v/>
      </c>
      <c r="H891">
        <f>IFERROR(IF(INDEX(FormData,888,f_Id)&amp;""="","",888),"")</f>
        <v/>
      </c>
      <c r="I891" s="16">
        <f>IF($H891="","",IFERROR(INDEX(FormData,$H891,f_Need)&amp;"",""))</f>
        <v/>
      </c>
    </row>
    <row r="892">
      <c r="A892" s="14" t="n">
        <v>888</v>
      </c>
      <c r="B892" s="14">
        <f>IF($H892="","",INDEX(FormData,$H892,f_Id))</f>
        <v/>
      </c>
      <c r="C892" s="15">
        <f>IF($H892="","",IFERROR(INDEX(FormData,$H892,f_Time),""))</f>
        <v/>
      </c>
      <c r="D892" s="14">
        <f>IF($H892="","",IFERROR(UPPER(LEFT(TRIM(INDEX(FormData,$H892,f_Name)),1)&amp;IFERROR(MID(TRIM(INDEX(FormData,$H892,f_Name)),FIND("^",SUBSTITUTE(TRIM(INDEX(FormData,$H892,f_Name))," ","^",LEN(TRIM(INDEX(FormData,$H892,f_Name)))-LEN(SUBSTITUTE(TRIM(INDEX(FormData,$H892,f_Name))," ",""))))+1,1),"")),""))</f>
        <v/>
      </c>
      <c r="E892" s="16">
        <f>IF($H892="","",IFERROR(INDEX(EvID,MATCH(INDEX(FormData,$H892,f_Event),EvID,0)),IFERROR(INDEX(EvID,MATCH(INDEX(FormData,$H892,f_Event),EvName,0)),IFERROR(INDEX(EvID,MATCH(INT($C892),EvDate,0)),"(no event that day)"))))</f>
        <v/>
      </c>
      <c r="F892" s="16">
        <f>IF($H892="","",IFERROR(IF(SUMPRODUCT(MAX((WhoKW&lt;&gt;"")*ISNUMBER(SEARCH(WhoKW,INDEX(FormData,$H892,f_Who)&amp;""))*(ROW(WhoKW)-MIN(ROW(WhoKW))+1)))=0,"",INDEX(WhoVal,SUMPRODUCT(MAX((WhoKW&lt;&gt;"")*ISNUMBER(SEARCH(WhoKW,INDEX(FormData,$H892,f_Who)&amp;""))*(ROW(WhoKW)-MIN(ROW(WhoKW))+1))))),""))</f>
        <v/>
      </c>
      <c r="G892" s="14">
        <f>IF($H892="","",IF(COUNTIF(People!$U$5:$U$604,$B892)+COUNTIF(People!$U$5:$U$604,$B892&amp;"")&gt;0,"✓ logged","→ add"))</f>
        <v/>
      </c>
      <c r="H892">
        <f>IFERROR(IF(INDEX(FormData,889,f_Id)&amp;""="","",889),"")</f>
        <v/>
      </c>
      <c r="I892" s="16">
        <f>IF($H892="","",IFERROR(INDEX(FormData,$H892,f_Need)&amp;"",""))</f>
        <v/>
      </c>
    </row>
    <row r="893">
      <c r="A893" s="14" t="n">
        <v>889</v>
      </c>
      <c r="B893" s="14">
        <f>IF($H893="","",INDEX(FormData,$H893,f_Id))</f>
        <v/>
      </c>
      <c r="C893" s="15">
        <f>IF($H893="","",IFERROR(INDEX(FormData,$H893,f_Time),""))</f>
        <v/>
      </c>
      <c r="D893" s="14">
        <f>IF($H893="","",IFERROR(UPPER(LEFT(TRIM(INDEX(FormData,$H893,f_Name)),1)&amp;IFERROR(MID(TRIM(INDEX(FormData,$H893,f_Name)),FIND("^",SUBSTITUTE(TRIM(INDEX(FormData,$H893,f_Name))," ","^",LEN(TRIM(INDEX(FormData,$H893,f_Name)))-LEN(SUBSTITUTE(TRIM(INDEX(FormData,$H893,f_Name))," ",""))))+1,1),"")),""))</f>
        <v/>
      </c>
      <c r="E893" s="16">
        <f>IF($H893="","",IFERROR(INDEX(EvID,MATCH(INDEX(FormData,$H893,f_Event),EvID,0)),IFERROR(INDEX(EvID,MATCH(INDEX(FormData,$H893,f_Event),EvName,0)),IFERROR(INDEX(EvID,MATCH(INT($C893),EvDate,0)),"(no event that day)"))))</f>
        <v/>
      </c>
      <c r="F893" s="16">
        <f>IF($H893="","",IFERROR(IF(SUMPRODUCT(MAX((WhoKW&lt;&gt;"")*ISNUMBER(SEARCH(WhoKW,INDEX(FormData,$H893,f_Who)&amp;""))*(ROW(WhoKW)-MIN(ROW(WhoKW))+1)))=0,"",INDEX(WhoVal,SUMPRODUCT(MAX((WhoKW&lt;&gt;"")*ISNUMBER(SEARCH(WhoKW,INDEX(FormData,$H893,f_Who)&amp;""))*(ROW(WhoKW)-MIN(ROW(WhoKW))+1))))),""))</f>
        <v/>
      </c>
      <c r="G893" s="14">
        <f>IF($H893="","",IF(COUNTIF(People!$U$5:$U$604,$B893)+COUNTIF(People!$U$5:$U$604,$B893&amp;"")&gt;0,"✓ logged","→ add"))</f>
        <v/>
      </c>
      <c r="H893">
        <f>IFERROR(IF(INDEX(FormData,890,f_Id)&amp;""="","",890),"")</f>
        <v/>
      </c>
      <c r="I893" s="16">
        <f>IF($H893="","",IFERROR(INDEX(FormData,$H893,f_Need)&amp;"",""))</f>
        <v/>
      </c>
    </row>
    <row r="894">
      <c r="A894" s="14" t="n">
        <v>890</v>
      </c>
      <c r="B894" s="14">
        <f>IF($H894="","",INDEX(FormData,$H894,f_Id))</f>
        <v/>
      </c>
      <c r="C894" s="15">
        <f>IF($H894="","",IFERROR(INDEX(FormData,$H894,f_Time),""))</f>
        <v/>
      </c>
      <c r="D894" s="14">
        <f>IF($H894="","",IFERROR(UPPER(LEFT(TRIM(INDEX(FormData,$H894,f_Name)),1)&amp;IFERROR(MID(TRIM(INDEX(FormData,$H894,f_Name)),FIND("^",SUBSTITUTE(TRIM(INDEX(FormData,$H894,f_Name))," ","^",LEN(TRIM(INDEX(FormData,$H894,f_Name)))-LEN(SUBSTITUTE(TRIM(INDEX(FormData,$H894,f_Name))," ",""))))+1,1),"")),""))</f>
        <v/>
      </c>
      <c r="E894" s="16">
        <f>IF($H894="","",IFERROR(INDEX(EvID,MATCH(INDEX(FormData,$H894,f_Event),EvID,0)),IFERROR(INDEX(EvID,MATCH(INDEX(FormData,$H894,f_Event),EvName,0)),IFERROR(INDEX(EvID,MATCH(INT($C894),EvDate,0)),"(no event that day)"))))</f>
        <v/>
      </c>
      <c r="F894" s="16">
        <f>IF($H894="","",IFERROR(IF(SUMPRODUCT(MAX((WhoKW&lt;&gt;"")*ISNUMBER(SEARCH(WhoKW,INDEX(FormData,$H894,f_Who)&amp;""))*(ROW(WhoKW)-MIN(ROW(WhoKW))+1)))=0,"",INDEX(WhoVal,SUMPRODUCT(MAX((WhoKW&lt;&gt;"")*ISNUMBER(SEARCH(WhoKW,INDEX(FormData,$H894,f_Who)&amp;""))*(ROW(WhoKW)-MIN(ROW(WhoKW))+1))))),""))</f>
        <v/>
      </c>
      <c r="G894" s="14">
        <f>IF($H894="","",IF(COUNTIF(People!$U$5:$U$604,$B894)+COUNTIF(People!$U$5:$U$604,$B894&amp;"")&gt;0,"✓ logged","→ add"))</f>
        <v/>
      </c>
      <c r="H894">
        <f>IFERROR(IF(INDEX(FormData,891,f_Id)&amp;""="","",891),"")</f>
        <v/>
      </c>
      <c r="I894" s="16">
        <f>IF($H894="","",IFERROR(INDEX(FormData,$H894,f_Need)&amp;"",""))</f>
        <v/>
      </c>
    </row>
    <row r="895">
      <c r="A895" s="14" t="n">
        <v>891</v>
      </c>
      <c r="B895" s="14">
        <f>IF($H895="","",INDEX(FormData,$H895,f_Id))</f>
        <v/>
      </c>
      <c r="C895" s="15">
        <f>IF($H895="","",IFERROR(INDEX(FormData,$H895,f_Time),""))</f>
        <v/>
      </c>
      <c r="D895" s="14">
        <f>IF($H895="","",IFERROR(UPPER(LEFT(TRIM(INDEX(FormData,$H895,f_Name)),1)&amp;IFERROR(MID(TRIM(INDEX(FormData,$H895,f_Name)),FIND("^",SUBSTITUTE(TRIM(INDEX(FormData,$H895,f_Name))," ","^",LEN(TRIM(INDEX(FormData,$H895,f_Name)))-LEN(SUBSTITUTE(TRIM(INDEX(FormData,$H895,f_Name))," ",""))))+1,1),"")),""))</f>
        <v/>
      </c>
      <c r="E895" s="16">
        <f>IF($H895="","",IFERROR(INDEX(EvID,MATCH(INDEX(FormData,$H895,f_Event),EvID,0)),IFERROR(INDEX(EvID,MATCH(INDEX(FormData,$H895,f_Event),EvName,0)),IFERROR(INDEX(EvID,MATCH(INT($C895),EvDate,0)),"(no event that day)"))))</f>
        <v/>
      </c>
      <c r="F895" s="16">
        <f>IF($H895="","",IFERROR(IF(SUMPRODUCT(MAX((WhoKW&lt;&gt;"")*ISNUMBER(SEARCH(WhoKW,INDEX(FormData,$H895,f_Who)&amp;""))*(ROW(WhoKW)-MIN(ROW(WhoKW))+1)))=0,"",INDEX(WhoVal,SUMPRODUCT(MAX((WhoKW&lt;&gt;"")*ISNUMBER(SEARCH(WhoKW,INDEX(FormData,$H895,f_Who)&amp;""))*(ROW(WhoKW)-MIN(ROW(WhoKW))+1))))),""))</f>
        <v/>
      </c>
      <c r="G895" s="14">
        <f>IF($H895="","",IF(COUNTIF(People!$U$5:$U$604,$B895)+COUNTIF(People!$U$5:$U$604,$B895&amp;"")&gt;0,"✓ logged","→ add"))</f>
        <v/>
      </c>
      <c r="H895">
        <f>IFERROR(IF(INDEX(FormData,892,f_Id)&amp;""="","",892),"")</f>
        <v/>
      </c>
      <c r="I895" s="16">
        <f>IF($H895="","",IFERROR(INDEX(FormData,$H895,f_Need)&amp;"",""))</f>
        <v/>
      </c>
    </row>
    <row r="896">
      <c r="A896" s="14" t="n">
        <v>892</v>
      </c>
      <c r="B896" s="14">
        <f>IF($H896="","",INDEX(FormData,$H896,f_Id))</f>
        <v/>
      </c>
      <c r="C896" s="15">
        <f>IF($H896="","",IFERROR(INDEX(FormData,$H896,f_Time),""))</f>
        <v/>
      </c>
      <c r="D896" s="14">
        <f>IF($H896="","",IFERROR(UPPER(LEFT(TRIM(INDEX(FormData,$H896,f_Name)),1)&amp;IFERROR(MID(TRIM(INDEX(FormData,$H896,f_Name)),FIND("^",SUBSTITUTE(TRIM(INDEX(FormData,$H896,f_Name))," ","^",LEN(TRIM(INDEX(FormData,$H896,f_Name)))-LEN(SUBSTITUTE(TRIM(INDEX(FormData,$H896,f_Name))," ",""))))+1,1),"")),""))</f>
        <v/>
      </c>
      <c r="E896" s="16">
        <f>IF($H896="","",IFERROR(INDEX(EvID,MATCH(INDEX(FormData,$H896,f_Event),EvID,0)),IFERROR(INDEX(EvID,MATCH(INDEX(FormData,$H896,f_Event),EvName,0)),IFERROR(INDEX(EvID,MATCH(INT($C896),EvDate,0)),"(no event that day)"))))</f>
        <v/>
      </c>
      <c r="F896" s="16">
        <f>IF($H896="","",IFERROR(IF(SUMPRODUCT(MAX((WhoKW&lt;&gt;"")*ISNUMBER(SEARCH(WhoKW,INDEX(FormData,$H896,f_Who)&amp;""))*(ROW(WhoKW)-MIN(ROW(WhoKW))+1)))=0,"",INDEX(WhoVal,SUMPRODUCT(MAX((WhoKW&lt;&gt;"")*ISNUMBER(SEARCH(WhoKW,INDEX(FormData,$H896,f_Who)&amp;""))*(ROW(WhoKW)-MIN(ROW(WhoKW))+1))))),""))</f>
        <v/>
      </c>
      <c r="G896" s="14">
        <f>IF($H896="","",IF(COUNTIF(People!$U$5:$U$604,$B896)+COUNTIF(People!$U$5:$U$604,$B896&amp;"")&gt;0,"✓ logged","→ add"))</f>
        <v/>
      </c>
      <c r="H896">
        <f>IFERROR(IF(INDEX(FormData,893,f_Id)&amp;""="","",893),"")</f>
        <v/>
      </c>
      <c r="I896" s="16">
        <f>IF($H896="","",IFERROR(INDEX(FormData,$H896,f_Need)&amp;"",""))</f>
        <v/>
      </c>
    </row>
    <row r="897">
      <c r="A897" s="14" t="n">
        <v>893</v>
      </c>
      <c r="B897" s="14">
        <f>IF($H897="","",INDEX(FormData,$H897,f_Id))</f>
        <v/>
      </c>
      <c r="C897" s="15">
        <f>IF($H897="","",IFERROR(INDEX(FormData,$H897,f_Time),""))</f>
        <v/>
      </c>
      <c r="D897" s="14">
        <f>IF($H897="","",IFERROR(UPPER(LEFT(TRIM(INDEX(FormData,$H897,f_Name)),1)&amp;IFERROR(MID(TRIM(INDEX(FormData,$H897,f_Name)),FIND("^",SUBSTITUTE(TRIM(INDEX(FormData,$H897,f_Name))," ","^",LEN(TRIM(INDEX(FormData,$H897,f_Name)))-LEN(SUBSTITUTE(TRIM(INDEX(FormData,$H897,f_Name))," ",""))))+1,1),"")),""))</f>
        <v/>
      </c>
      <c r="E897" s="16">
        <f>IF($H897="","",IFERROR(INDEX(EvID,MATCH(INDEX(FormData,$H897,f_Event),EvID,0)),IFERROR(INDEX(EvID,MATCH(INDEX(FormData,$H897,f_Event),EvName,0)),IFERROR(INDEX(EvID,MATCH(INT($C897),EvDate,0)),"(no event that day)"))))</f>
        <v/>
      </c>
      <c r="F897" s="16">
        <f>IF($H897="","",IFERROR(IF(SUMPRODUCT(MAX((WhoKW&lt;&gt;"")*ISNUMBER(SEARCH(WhoKW,INDEX(FormData,$H897,f_Who)&amp;""))*(ROW(WhoKW)-MIN(ROW(WhoKW))+1)))=0,"",INDEX(WhoVal,SUMPRODUCT(MAX((WhoKW&lt;&gt;"")*ISNUMBER(SEARCH(WhoKW,INDEX(FormData,$H897,f_Who)&amp;""))*(ROW(WhoKW)-MIN(ROW(WhoKW))+1))))),""))</f>
        <v/>
      </c>
      <c r="G897" s="14">
        <f>IF($H897="","",IF(COUNTIF(People!$U$5:$U$604,$B897)+COUNTIF(People!$U$5:$U$604,$B897&amp;"")&gt;0,"✓ logged","→ add"))</f>
        <v/>
      </c>
      <c r="H897">
        <f>IFERROR(IF(INDEX(FormData,894,f_Id)&amp;""="","",894),"")</f>
        <v/>
      </c>
      <c r="I897" s="16">
        <f>IF($H897="","",IFERROR(INDEX(FormData,$H897,f_Need)&amp;"",""))</f>
        <v/>
      </c>
    </row>
    <row r="898">
      <c r="A898" s="14" t="n">
        <v>894</v>
      </c>
      <c r="B898" s="14">
        <f>IF($H898="","",INDEX(FormData,$H898,f_Id))</f>
        <v/>
      </c>
      <c r="C898" s="15">
        <f>IF($H898="","",IFERROR(INDEX(FormData,$H898,f_Time),""))</f>
        <v/>
      </c>
      <c r="D898" s="14">
        <f>IF($H898="","",IFERROR(UPPER(LEFT(TRIM(INDEX(FormData,$H898,f_Name)),1)&amp;IFERROR(MID(TRIM(INDEX(FormData,$H898,f_Name)),FIND("^",SUBSTITUTE(TRIM(INDEX(FormData,$H898,f_Name))," ","^",LEN(TRIM(INDEX(FormData,$H898,f_Name)))-LEN(SUBSTITUTE(TRIM(INDEX(FormData,$H898,f_Name))," ",""))))+1,1),"")),""))</f>
        <v/>
      </c>
      <c r="E898" s="16">
        <f>IF($H898="","",IFERROR(INDEX(EvID,MATCH(INDEX(FormData,$H898,f_Event),EvID,0)),IFERROR(INDEX(EvID,MATCH(INDEX(FormData,$H898,f_Event),EvName,0)),IFERROR(INDEX(EvID,MATCH(INT($C898),EvDate,0)),"(no event that day)"))))</f>
        <v/>
      </c>
      <c r="F898" s="16">
        <f>IF($H898="","",IFERROR(IF(SUMPRODUCT(MAX((WhoKW&lt;&gt;"")*ISNUMBER(SEARCH(WhoKW,INDEX(FormData,$H898,f_Who)&amp;""))*(ROW(WhoKW)-MIN(ROW(WhoKW))+1)))=0,"",INDEX(WhoVal,SUMPRODUCT(MAX((WhoKW&lt;&gt;"")*ISNUMBER(SEARCH(WhoKW,INDEX(FormData,$H898,f_Who)&amp;""))*(ROW(WhoKW)-MIN(ROW(WhoKW))+1))))),""))</f>
        <v/>
      </c>
      <c r="G898" s="14">
        <f>IF($H898="","",IF(COUNTIF(People!$U$5:$U$604,$B898)+COUNTIF(People!$U$5:$U$604,$B898&amp;"")&gt;0,"✓ logged","→ add"))</f>
        <v/>
      </c>
      <c r="H898">
        <f>IFERROR(IF(INDEX(FormData,895,f_Id)&amp;""="","",895),"")</f>
        <v/>
      </c>
      <c r="I898" s="16">
        <f>IF($H898="","",IFERROR(INDEX(FormData,$H898,f_Need)&amp;"",""))</f>
        <v/>
      </c>
    </row>
    <row r="899">
      <c r="A899" s="14" t="n">
        <v>895</v>
      </c>
      <c r="B899" s="14">
        <f>IF($H899="","",INDEX(FormData,$H899,f_Id))</f>
        <v/>
      </c>
      <c r="C899" s="15">
        <f>IF($H899="","",IFERROR(INDEX(FormData,$H899,f_Time),""))</f>
        <v/>
      </c>
      <c r="D899" s="14">
        <f>IF($H899="","",IFERROR(UPPER(LEFT(TRIM(INDEX(FormData,$H899,f_Name)),1)&amp;IFERROR(MID(TRIM(INDEX(FormData,$H899,f_Name)),FIND("^",SUBSTITUTE(TRIM(INDEX(FormData,$H899,f_Name))," ","^",LEN(TRIM(INDEX(FormData,$H899,f_Name)))-LEN(SUBSTITUTE(TRIM(INDEX(FormData,$H899,f_Name))," ",""))))+1,1),"")),""))</f>
        <v/>
      </c>
      <c r="E899" s="16">
        <f>IF($H899="","",IFERROR(INDEX(EvID,MATCH(INDEX(FormData,$H899,f_Event),EvID,0)),IFERROR(INDEX(EvID,MATCH(INDEX(FormData,$H899,f_Event),EvName,0)),IFERROR(INDEX(EvID,MATCH(INT($C899),EvDate,0)),"(no event that day)"))))</f>
        <v/>
      </c>
      <c r="F899" s="16">
        <f>IF($H899="","",IFERROR(IF(SUMPRODUCT(MAX((WhoKW&lt;&gt;"")*ISNUMBER(SEARCH(WhoKW,INDEX(FormData,$H899,f_Who)&amp;""))*(ROW(WhoKW)-MIN(ROW(WhoKW))+1)))=0,"",INDEX(WhoVal,SUMPRODUCT(MAX((WhoKW&lt;&gt;"")*ISNUMBER(SEARCH(WhoKW,INDEX(FormData,$H899,f_Who)&amp;""))*(ROW(WhoKW)-MIN(ROW(WhoKW))+1))))),""))</f>
        <v/>
      </c>
      <c r="G899" s="14">
        <f>IF($H899="","",IF(COUNTIF(People!$U$5:$U$604,$B899)+COUNTIF(People!$U$5:$U$604,$B899&amp;"")&gt;0,"✓ logged","→ add"))</f>
        <v/>
      </c>
      <c r="H899">
        <f>IFERROR(IF(INDEX(FormData,896,f_Id)&amp;""="","",896),"")</f>
        <v/>
      </c>
      <c r="I899" s="16">
        <f>IF($H899="","",IFERROR(INDEX(FormData,$H899,f_Need)&amp;"",""))</f>
        <v/>
      </c>
    </row>
    <row r="900">
      <c r="A900" s="14" t="n">
        <v>896</v>
      </c>
      <c r="B900" s="14">
        <f>IF($H900="","",INDEX(FormData,$H900,f_Id))</f>
        <v/>
      </c>
      <c r="C900" s="15">
        <f>IF($H900="","",IFERROR(INDEX(FormData,$H900,f_Time),""))</f>
        <v/>
      </c>
      <c r="D900" s="14">
        <f>IF($H900="","",IFERROR(UPPER(LEFT(TRIM(INDEX(FormData,$H900,f_Name)),1)&amp;IFERROR(MID(TRIM(INDEX(FormData,$H900,f_Name)),FIND("^",SUBSTITUTE(TRIM(INDEX(FormData,$H900,f_Name))," ","^",LEN(TRIM(INDEX(FormData,$H900,f_Name)))-LEN(SUBSTITUTE(TRIM(INDEX(FormData,$H900,f_Name))," ",""))))+1,1),"")),""))</f>
        <v/>
      </c>
      <c r="E900" s="16">
        <f>IF($H900="","",IFERROR(INDEX(EvID,MATCH(INDEX(FormData,$H900,f_Event),EvID,0)),IFERROR(INDEX(EvID,MATCH(INDEX(FormData,$H900,f_Event),EvName,0)),IFERROR(INDEX(EvID,MATCH(INT($C900),EvDate,0)),"(no event that day)"))))</f>
        <v/>
      </c>
      <c r="F900" s="16">
        <f>IF($H900="","",IFERROR(IF(SUMPRODUCT(MAX((WhoKW&lt;&gt;"")*ISNUMBER(SEARCH(WhoKW,INDEX(FormData,$H900,f_Who)&amp;""))*(ROW(WhoKW)-MIN(ROW(WhoKW))+1)))=0,"",INDEX(WhoVal,SUMPRODUCT(MAX((WhoKW&lt;&gt;"")*ISNUMBER(SEARCH(WhoKW,INDEX(FormData,$H900,f_Who)&amp;""))*(ROW(WhoKW)-MIN(ROW(WhoKW))+1))))),""))</f>
        <v/>
      </c>
      <c r="G900" s="14">
        <f>IF($H900="","",IF(COUNTIF(People!$U$5:$U$604,$B900)+COUNTIF(People!$U$5:$U$604,$B900&amp;"")&gt;0,"✓ logged","→ add"))</f>
        <v/>
      </c>
      <c r="H900">
        <f>IFERROR(IF(INDEX(FormData,897,f_Id)&amp;""="","",897),"")</f>
        <v/>
      </c>
      <c r="I900" s="16">
        <f>IF($H900="","",IFERROR(INDEX(FormData,$H900,f_Need)&amp;"",""))</f>
        <v/>
      </c>
    </row>
    <row r="901">
      <c r="A901" s="14" t="n">
        <v>897</v>
      </c>
      <c r="B901" s="14">
        <f>IF($H901="","",INDEX(FormData,$H901,f_Id))</f>
        <v/>
      </c>
      <c r="C901" s="15">
        <f>IF($H901="","",IFERROR(INDEX(FormData,$H901,f_Time),""))</f>
        <v/>
      </c>
      <c r="D901" s="14">
        <f>IF($H901="","",IFERROR(UPPER(LEFT(TRIM(INDEX(FormData,$H901,f_Name)),1)&amp;IFERROR(MID(TRIM(INDEX(FormData,$H901,f_Name)),FIND("^",SUBSTITUTE(TRIM(INDEX(FormData,$H901,f_Name))," ","^",LEN(TRIM(INDEX(FormData,$H901,f_Name)))-LEN(SUBSTITUTE(TRIM(INDEX(FormData,$H901,f_Name))," ",""))))+1,1),"")),""))</f>
        <v/>
      </c>
      <c r="E901" s="16">
        <f>IF($H901="","",IFERROR(INDEX(EvID,MATCH(INDEX(FormData,$H901,f_Event),EvID,0)),IFERROR(INDEX(EvID,MATCH(INDEX(FormData,$H901,f_Event),EvName,0)),IFERROR(INDEX(EvID,MATCH(INT($C901),EvDate,0)),"(no event that day)"))))</f>
        <v/>
      </c>
      <c r="F901" s="16">
        <f>IF($H901="","",IFERROR(IF(SUMPRODUCT(MAX((WhoKW&lt;&gt;"")*ISNUMBER(SEARCH(WhoKW,INDEX(FormData,$H901,f_Who)&amp;""))*(ROW(WhoKW)-MIN(ROW(WhoKW))+1)))=0,"",INDEX(WhoVal,SUMPRODUCT(MAX((WhoKW&lt;&gt;"")*ISNUMBER(SEARCH(WhoKW,INDEX(FormData,$H901,f_Who)&amp;""))*(ROW(WhoKW)-MIN(ROW(WhoKW))+1))))),""))</f>
        <v/>
      </c>
      <c r="G901" s="14">
        <f>IF($H901="","",IF(COUNTIF(People!$U$5:$U$604,$B901)+COUNTIF(People!$U$5:$U$604,$B901&amp;"")&gt;0,"✓ logged","→ add"))</f>
        <v/>
      </c>
      <c r="H901">
        <f>IFERROR(IF(INDEX(FormData,898,f_Id)&amp;""="","",898),"")</f>
        <v/>
      </c>
      <c r="I901" s="16">
        <f>IF($H901="","",IFERROR(INDEX(FormData,$H901,f_Need)&amp;"",""))</f>
        <v/>
      </c>
    </row>
    <row r="902">
      <c r="A902" s="14" t="n">
        <v>898</v>
      </c>
      <c r="B902" s="14">
        <f>IF($H902="","",INDEX(FormData,$H902,f_Id))</f>
        <v/>
      </c>
      <c r="C902" s="15">
        <f>IF($H902="","",IFERROR(INDEX(FormData,$H902,f_Time),""))</f>
        <v/>
      </c>
      <c r="D902" s="14">
        <f>IF($H902="","",IFERROR(UPPER(LEFT(TRIM(INDEX(FormData,$H902,f_Name)),1)&amp;IFERROR(MID(TRIM(INDEX(FormData,$H902,f_Name)),FIND("^",SUBSTITUTE(TRIM(INDEX(FormData,$H902,f_Name))," ","^",LEN(TRIM(INDEX(FormData,$H902,f_Name)))-LEN(SUBSTITUTE(TRIM(INDEX(FormData,$H902,f_Name))," ",""))))+1,1),"")),""))</f>
        <v/>
      </c>
      <c r="E902" s="16">
        <f>IF($H902="","",IFERROR(INDEX(EvID,MATCH(INDEX(FormData,$H902,f_Event),EvID,0)),IFERROR(INDEX(EvID,MATCH(INDEX(FormData,$H902,f_Event),EvName,0)),IFERROR(INDEX(EvID,MATCH(INT($C902),EvDate,0)),"(no event that day)"))))</f>
        <v/>
      </c>
      <c r="F902" s="16">
        <f>IF($H902="","",IFERROR(IF(SUMPRODUCT(MAX((WhoKW&lt;&gt;"")*ISNUMBER(SEARCH(WhoKW,INDEX(FormData,$H902,f_Who)&amp;""))*(ROW(WhoKW)-MIN(ROW(WhoKW))+1)))=0,"",INDEX(WhoVal,SUMPRODUCT(MAX((WhoKW&lt;&gt;"")*ISNUMBER(SEARCH(WhoKW,INDEX(FormData,$H902,f_Who)&amp;""))*(ROW(WhoKW)-MIN(ROW(WhoKW))+1))))),""))</f>
        <v/>
      </c>
      <c r="G902" s="14">
        <f>IF($H902="","",IF(COUNTIF(People!$U$5:$U$604,$B902)+COUNTIF(People!$U$5:$U$604,$B902&amp;"")&gt;0,"✓ logged","→ add"))</f>
        <v/>
      </c>
      <c r="H902">
        <f>IFERROR(IF(INDEX(FormData,899,f_Id)&amp;""="","",899),"")</f>
        <v/>
      </c>
      <c r="I902" s="16">
        <f>IF($H902="","",IFERROR(INDEX(FormData,$H902,f_Need)&amp;"",""))</f>
        <v/>
      </c>
    </row>
    <row r="903">
      <c r="A903" s="14" t="n">
        <v>899</v>
      </c>
      <c r="B903" s="14">
        <f>IF($H903="","",INDEX(FormData,$H903,f_Id))</f>
        <v/>
      </c>
      <c r="C903" s="15">
        <f>IF($H903="","",IFERROR(INDEX(FormData,$H903,f_Time),""))</f>
        <v/>
      </c>
      <c r="D903" s="14">
        <f>IF($H903="","",IFERROR(UPPER(LEFT(TRIM(INDEX(FormData,$H903,f_Name)),1)&amp;IFERROR(MID(TRIM(INDEX(FormData,$H903,f_Name)),FIND("^",SUBSTITUTE(TRIM(INDEX(FormData,$H903,f_Name))," ","^",LEN(TRIM(INDEX(FormData,$H903,f_Name)))-LEN(SUBSTITUTE(TRIM(INDEX(FormData,$H903,f_Name))," ",""))))+1,1),"")),""))</f>
        <v/>
      </c>
      <c r="E903" s="16">
        <f>IF($H903="","",IFERROR(INDEX(EvID,MATCH(INDEX(FormData,$H903,f_Event),EvID,0)),IFERROR(INDEX(EvID,MATCH(INDEX(FormData,$H903,f_Event),EvName,0)),IFERROR(INDEX(EvID,MATCH(INT($C903),EvDate,0)),"(no event that day)"))))</f>
        <v/>
      </c>
      <c r="F903" s="16">
        <f>IF($H903="","",IFERROR(IF(SUMPRODUCT(MAX((WhoKW&lt;&gt;"")*ISNUMBER(SEARCH(WhoKW,INDEX(FormData,$H903,f_Who)&amp;""))*(ROW(WhoKW)-MIN(ROW(WhoKW))+1)))=0,"",INDEX(WhoVal,SUMPRODUCT(MAX((WhoKW&lt;&gt;"")*ISNUMBER(SEARCH(WhoKW,INDEX(FormData,$H903,f_Who)&amp;""))*(ROW(WhoKW)-MIN(ROW(WhoKW))+1))))),""))</f>
        <v/>
      </c>
      <c r="G903" s="14">
        <f>IF($H903="","",IF(COUNTIF(People!$U$5:$U$604,$B903)+COUNTIF(People!$U$5:$U$604,$B903&amp;"")&gt;0,"✓ logged","→ add"))</f>
        <v/>
      </c>
      <c r="H903">
        <f>IFERROR(IF(INDEX(FormData,900,f_Id)&amp;""="","",900),"")</f>
        <v/>
      </c>
      <c r="I903" s="16">
        <f>IF($H903="","",IFERROR(INDEX(FormData,$H903,f_Need)&amp;"",""))</f>
        <v/>
      </c>
    </row>
    <row r="904">
      <c r="A904" s="14" t="n">
        <v>900</v>
      </c>
      <c r="B904" s="14">
        <f>IF($H904="","",INDEX(FormData,$H904,f_Id))</f>
        <v/>
      </c>
      <c r="C904" s="15">
        <f>IF($H904="","",IFERROR(INDEX(FormData,$H904,f_Time),""))</f>
        <v/>
      </c>
      <c r="D904" s="14">
        <f>IF($H904="","",IFERROR(UPPER(LEFT(TRIM(INDEX(FormData,$H904,f_Name)),1)&amp;IFERROR(MID(TRIM(INDEX(FormData,$H904,f_Name)),FIND("^",SUBSTITUTE(TRIM(INDEX(FormData,$H904,f_Name))," ","^",LEN(TRIM(INDEX(FormData,$H904,f_Name)))-LEN(SUBSTITUTE(TRIM(INDEX(FormData,$H904,f_Name))," ",""))))+1,1),"")),""))</f>
        <v/>
      </c>
      <c r="E904" s="16">
        <f>IF($H904="","",IFERROR(INDEX(EvID,MATCH(INDEX(FormData,$H904,f_Event),EvID,0)),IFERROR(INDEX(EvID,MATCH(INDEX(FormData,$H904,f_Event),EvName,0)),IFERROR(INDEX(EvID,MATCH(INT($C904),EvDate,0)),"(no event that day)"))))</f>
        <v/>
      </c>
      <c r="F904" s="16">
        <f>IF($H904="","",IFERROR(IF(SUMPRODUCT(MAX((WhoKW&lt;&gt;"")*ISNUMBER(SEARCH(WhoKW,INDEX(FormData,$H904,f_Who)&amp;""))*(ROW(WhoKW)-MIN(ROW(WhoKW))+1)))=0,"",INDEX(WhoVal,SUMPRODUCT(MAX((WhoKW&lt;&gt;"")*ISNUMBER(SEARCH(WhoKW,INDEX(FormData,$H904,f_Who)&amp;""))*(ROW(WhoKW)-MIN(ROW(WhoKW))+1))))),""))</f>
        <v/>
      </c>
      <c r="G904" s="14">
        <f>IF($H904="","",IF(COUNTIF(People!$U$5:$U$604,$B904)+COUNTIF(People!$U$5:$U$604,$B904&amp;"")&gt;0,"✓ logged","→ add"))</f>
        <v/>
      </c>
      <c r="H904">
        <f>IFERROR(IF(INDEX(FormData,901,f_Id)&amp;""="","",901),"")</f>
        <v/>
      </c>
      <c r="I904" s="16">
        <f>IF($H904="","",IFERROR(INDEX(FormData,$H904,f_Need)&amp;"",""))</f>
        <v/>
      </c>
    </row>
    <row r="905">
      <c r="A905" s="14" t="n">
        <v>901</v>
      </c>
      <c r="B905" s="14">
        <f>IF($H905="","",INDEX(FormData,$H905,f_Id))</f>
        <v/>
      </c>
      <c r="C905" s="15">
        <f>IF($H905="","",IFERROR(INDEX(FormData,$H905,f_Time),""))</f>
        <v/>
      </c>
      <c r="D905" s="14">
        <f>IF($H905="","",IFERROR(UPPER(LEFT(TRIM(INDEX(FormData,$H905,f_Name)),1)&amp;IFERROR(MID(TRIM(INDEX(FormData,$H905,f_Name)),FIND("^",SUBSTITUTE(TRIM(INDEX(FormData,$H905,f_Name))," ","^",LEN(TRIM(INDEX(FormData,$H905,f_Name)))-LEN(SUBSTITUTE(TRIM(INDEX(FormData,$H905,f_Name))," ",""))))+1,1),"")),""))</f>
        <v/>
      </c>
      <c r="E905" s="16">
        <f>IF($H905="","",IFERROR(INDEX(EvID,MATCH(INDEX(FormData,$H905,f_Event),EvID,0)),IFERROR(INDEX(EvID,MATCH(INDEX(FormData,$H905,f_Event),EvName,0)),IFERROR(INDEX(EvID,MATCH(INT($C905),EvDate,0)),"(no event that day)"))))</f>
        <v/>
      </c>
      <c r="F905" s="16">
        <f>IF($H905="","",IFERROR(IF(SUMPRODUCT(MAX((WhoKW&lt;&gt;"")*ISNUMBER(SEARCH(WhoKW,INDEX(FormData,$H905,f_Who)&amp;""))*(ROW(WhoKW)-MIN(ROW(WhoKW))+1)))=0,"",INDEX(WhoVal,SUMPRODUCT(MAX((WhoKW&lt;&gt;"")*ISNUMBER(SEARCH(WhoKW,INDEX(FormData,$H905,f_Who)&amp;""))*(ROW(WhoKW)-MIN(ROW(WhoKW))+1))))),""))</f>
        <v/>
      </c>
      <c r="G905" s="14">
        <f>IF($H905="","",IF(COUNTIF(People!$U$5:$U$604,$B905)+COUNTIF(People!$U$5:$U$604,$B905&amp;"")&gt;0,"✓ logged","→ add"))</f>
        <v/>
      </c>
      <c r="H905">
        <f>IFERROR(IF(INDEX(FormData,902,f_Id)&amp;""="","",902),"")</f>
        <v/>
      </c>
      <c r="I905" s="16">
        <f>IF($H905="","",IFERROR(INDEX(FormData,$H905,f_Need)&amp;"",""))</f>
        <v/>
      </c>
    </row>
    <row r="906">
      <c r="A906" s="14" t="n">
        <v>902</v>
      </c>
      <c r="B906" s="14">
        <f>IF($H906="","",INDEX(FormData,$H906,f_Id))</f>
        <v/>
      </c>
      <c r="C906" s="15">
        <f>IF($H906="","",IFERROR(INDEX(FormData,$H906,f_Time),""))</f>
        <v/>
      </c>
      <c r="D906" s="14">
        <f>IF($H906="","",IFERROR(UPPER(LEFT(TRIM(INDEX(FormData,$H906,f_Name)),1)&amp;IFERROR(MID(TRIM(INDEX(FormData,$H906,f_Name)),FIND("^",SUBSTITUTE(TRIM(INDEX(FormData,$H906,f_Name))," ","^",LEN(TRIM(INDEX(FormData,$H906,f_Name)))-LEN(SUBSTITUTE(TRIM(INDEX(FormData,$H906,f_Name))," ",""))))+1,1),"")),""))</f>
        <v/>
      </c>
      <c r="E906" s="16">
        <f>IF($H906="","",IFERROR(INDEX(EvID,MATCH(INDEX(FormData,$H906,f_Event),EvID,0)),IFERROR(INDEX(EvID,MATCH(INDEX(FormData,$H906,f_Event),EvName,0)),IFERROR(INDEX(EvID,MATCH(INT($C906),EvDate,0)),"(no event that day)"))))</f>
        <v/>
      </c>
      <c r="F906" s="16">
        <f>IF($H906="","",IFERROR(IF(SUMPRODUCT(MAX((WhoKW&lt;&gt;"")*ISNUMBER(SEARCH(WhoKW,INDEX(FormData,$H906,f_Who)&amp;""))*(ROW(WhoKW)-MIN(ROW(WhoKW))+1)))=0,"",INDEX(WhoVal,SUMPRODUCT(MAX((WhoKW&lt;&gt;"")*ISNUMBER(SEARCH(WhoKW,INDEX(FormData,$H906,f_Who)&amp;""))*(ROW(WhoKW)-MIN(ROW(WhoKW))+1))))),""))</f>
        <v/>
      </c>
      <c r="G906" s="14">
        <f>IF($H906="","",IF(COUNTIF(People!$U$5:$U$604,$B906)+COUNTIF(People!$U$5:$U$604,$B906&amp;"")&gt;0,"✓ logged","→ add"))</f>
        <v/>
      </c>
      <c r="H906">
        <f>IFERROR(IF(INDEX(FormData,903,f_Id)&amp;""="","",903),"")</f>
        <v/>
      </c>
      <c r="I906" s="16">
        <f>IF($H906="","",IFERROR(INDEX(FormData,$H906,f_Need)&amp;"",""))</f>
        <v/>
      </c>
    </row>
    <row r="907">
      <c r="A907" s="14" t="n">
        <v>903</v>
      </c>
      <c r="B907" s="14">
        <f>IF($H907="","",INDEX(FormData,$H907,f_Id))</f>
        <v/>
      </c>
      <c r="C907" s="15">
        <f>IF($H907="","",IFERROR(INDEX(FormData,$H907,f_Time),""))</f>
        <v/>
      </c>
      <c r="D907" s="14">
        <f>IF($H907="","",IFERROR(UPPER(LEFT(TRIM(INDEX(FormData,$H907,f_Name)),1)&amp;IFERROR(MID(TRIM(INDEX(FormData,$H907,f_Name)),FIND("^",SUBSTITUTE(TRIM(INDEX(FormData,$H907,f_Name))," ","^",LEN(TRIM(INDEX(FormData,$H907,f_Name)))-LEN(SUBSTITUTE(TRIM(INDEX(FormData,$H907,f_Name))," ",""))))+1,1),"")),""))</f>
        <v/>
      </c>
      <c r="E907" s="16">
        <f>IF($H907="","",IFERROR(INDEX(EvID,MATCH(INDEX(FormData,$H907,f_Event),EvID,0)),IFERROR(INDEX(EvID,MATCH(INDEX(FormData,$H907,f_Event),EvName,0)),IFERROR(INDEX(EvID,MATCH(INT($C907),EvDate,0)),"(no event that day)"))))</f>
        <v/>
      </c>
      <c r="F907" s="16">
        <f>IF($H907="","",IFERROR(IF(SUMPRODUCT(MAX((WhoKW&lt;&gt;"")*ISNUMBER(SEARCH(WhoKW,INDEX(FormData,$H907,f_Who)&amp;""))*(ROW(WhoKW)-MIN(ROW(WhoKW))+1)))=0,"",INDEX(WhoVal,SUMPRODUCT(MAX((WhoKW&lt;&gt;"")*ISNUMBER(SEARCH(WhoKW,INDEX(FormData,$H907,f_Who)&amp;""))*(ROW(WhoKW)-MIN(ROW(WhoKW))+1))))),""))</f>
        <v/>
      </c>
      <c r="G907" s="14">
        <f>IF($H907="","",IF(COUNTIF(People!$U$5:$U$604,$B907)+COUNTIF(People!$U$5:$U$604,$B907&amp;"")&gt;0,"✓ logged","→ add"))</f>
        <v/>
      </c>
      <c r="H907">
        <f>IFERROR(IF(INDEX(FormData,904,f_Id)&amp;""="","",904),"")</f>
        <v/>
      </c>
      <c r="I907" s="16">
        <f>IF($H907="","",IFERROR(INDEX(FormData,$H907,f_Need)&amp;"",""))</f>
        <v/>
      </c>
    </row>
    <row r="908">
      <c r="A908" s="14" t="n">
        <v>904</v>
      </c>
      <c r="B908" s="14">
        <f>IF($H908="","",INDEX(FormData,$H908,f_Id))</f>
        <v/>
      </c>
      <c r="C908" s="15">
        <f>IF($H908="","",IFERROR(INDEX(FormData,$H908,f_Time),""))</f>
        <v/>
      </c>
      <c r="D908" s="14">
        <f>IF($H908="","",IFERROR(UPPER(LEFT(TRIM(INDEX(FormData,$H908,f_Name)),1)&amp;IFERROR(MID(TRIM(INDEX(FormData,$H908,f_Name)),FIND("^",SUBSTITUTE(TRIM(INDEX(FormData,$H908,f_Name))," ","^",LEN(TRIM(INDEX(FormData,$H908,f_Name)))-LEN(SUBSTITUTE(TRIM(INDEX(FormData,$H908,f_Name))," ",""))))+1,1),"")),""))</f>
        <v/>
      </c>
      <c r="E908" s="16">
        <f>IF($H908="","",IFERROR(INDEX(EvID,MATCH(INDEX(FormData,$H908,f_Event),EvID,0)),IFERROR(INDEX(EvID,MATCH(INDEX(FormData,$H908,f_Event),EvName,0)),IFERROR(INDEX(EvID,MATCH(INT($C908),EvDate,0)),"(no event that day)"))))</f>
        <v/>
      </c>
      <c r="F908" s="16">
        <f>IF($H908="","",IFERROR(IF(SUMPRODUCT(MAX((WhoKW&lt;&gt;"")*ISNUMBER(SEARCH(WhoKW,INDEX(FormData,$H908,f_Who)&amp;""))*(ROW(WhoKW)-MIN(ROW(WhoKW))+1)))=0,"",INDEX(WhoVal,SUMPRODUCT(MAX((WhoKW&lt;&gt;"")*ISNUMBER(SEARCH(WhoKW,INDEX(FormData,$H908,f_Who)&amp;""))*(ROW(WhoKW)-MIN(ROW(WhoKW))+1))))),""))</f>
        <v/>
      </c>
      <c r="G908" s="14">
        <f>IF($H908="","",IF(COUNTIF(People!$U$5:$U$604,$B908)+COUNTIF(People!$U$5:$U$604,$B908&amp;"")&gt;0,"✓ logged","→ add"))</f>
        <v/>
      </c>
      <c r="H908">
        <f>IFERROR(IF(INDEX(FormData,905,f_Id)&amp;""="","",905),"")</f>
        <v/>
      </c>
      <c r="I908" s="16">
        <f>IF($H908="","",IFERROR(INDEX(FormData,$H908,f_Need)&amp;"",""))</f>
        <v/>
      </c>
    </row>
    <row r="909">
      <c r="A909" s="14" t="n">
        <v>905</v>
      </c>
      <c r="B909" s="14">
        <f>IF($H909="","",INDEX(FormData,$H909,f_Id))</f>
        <v/>
      </c>
      <c r="C909" s="15">
        <f>IF($H909="","",IFERROR(INDEX(FormData,$H909,f_Time),""))</f>
        <v/>
      </c>
      <c r="D909" s="14">
        <f>IF($H909="","",IFERROR(UPPER(LEFT(TRIM(INDEX(FormData,$H909,f_Name)),1)&amp;IFERROR(MID(TRIM(INDEX(FormData,$H909,f_Name)),FIND("^",SUBSTITUTE(TRIM(INDEX(FormData,$H909,f_Name))," ","^",LEN(TRIM(INDEX(FormData,$H909,f_Name)))-LEN(SUBSTITUTE(TRIM(INDEX(FormData,$H909,f_Name))," ",""))))+1,1),"")),""))</f>
        <v/>
      </c>
      <c r="E909" s="16">
        <f>IF($H909="","",IFERROR(INDEX(EvID,MATCH(INDEX(FormData,$H909,f_Event),EvID,0)),IFERROR(INDEX(EvID,MATCH(INDEX(FormData,$H909,f_Event),EvName,0)),IFERROR(INDEX(EvID,MATCH(INT($C909),EvDate,0)),"(no event that day)"))))</f>
        <v/>
      </c>
      <c r="F909" s="16">
        <f>IF($H909="","",IFERROR(IF(SUMPRODUCT(MAX((WhoKW&lt;&gt;"")*ISNUMBER(SEARCH(WhoKW,INDEX(FormData,$H909,f_Who)&amp;""))*(ROW(WhoKW)-MIN(ROW(WhoKW))+1)))=0,"",INDEX(WhoVal,SUMPRODUCT(MAX((WhoKW&lt;&gt;"")*ISNUMBER(SEARCH(WhoKW,INDEX(FormData,$H909,f_Who)&amp;""))*(ROW(WhoKW)-MIN(ROW(WhoKW))+1))))),""))</f>
        <v/>
      </c>
      <c r="G909" s="14">
        <f>IF($H909="","",IF(COUNTIF(People!$U$5:$U$604,$B909)+COUNTIF(People!$U$5:$U$604,$B909&amp;"")&gt;0,"✓ logged","→ add"))</f>
        <v/>
      </c>
      <c r="H909">
        <f>IFERROR(IF(INDEX(FormData,906,f_Id)&amp;""="","",906),"")</f>
        <v/>
      </c>
      <c r="I909" s="16">
        <f>IF($H909="","",IFERROR(INDEX(FormData,$H909,f_Need)&amp;"",""))</f>
        <v/>
      </c>
    </row>
    <row r="910">
      <c r="A910" s="14" t="n">
        <v>906</v>
      </c>
      <c r="B910" s="14">
        <f>IF($H910="","",INDEX(FormData,$H910,f_Id))</f>
        <v/>
      </c>
      <c r="C910" s="15">
        <f>IF($H910="","",IFERROR(INDEX(FormData,$H910,f_Time),""))</f>
        <v/>
      </c>
      <c r="D910" s="14">
        <f>IF($H910="","",IFERROR(UPPER(LEFT(TRIM(INDEX(FormData,$H910,f_Name)),1)&amp;IFERROR(MID(TRIM(INDEX(FormData,$H910,f_Name)),FIND("^",SUBSTITUTE(TRIM(INDEX(FormData,$H910,f_Name))," ","^",LEN(TRIM(INDEX(FormData,$H910,f_Name)))-LEN(SUBSTITUTE(TRIM(INDEX(FormData,$H910,f_Name))," ",""))))+1,1),"")),""))</f>
        <v/>
      </c>
      <c r="E910" s="16">
        <f>IF($H910="","",IFERROR(INDEX(EvID,MATCH(INDEX(FormData,$H910,f_Event),EvID,0)),IFERROR(INDEX(EvID,MATCH(INDEX(FormData,$H910,f_Event),EvName,0)),IFERROR(INDEX(EvID,MATCH(INT($C910),EvDate,0)),"(no event that day)"))))</f>
        <v/>
      </c>
      <c r="F910" s="16">
        <f>IF($H910="","",IFERROR(IF(SUMPRODUCT(MAX((WhoKW&lt;&gt;"")*ISNUMBER(SEARCH(WhoKW,INDEX(FormData,$H910,f_Who)&amp;""))*(ROW(WhoKW)-MIN(ROW(WhoKW))+1)))=0,"",INDEX(WhoVal,SUMPRODUCT(MAX((WhoKW&lt;&gt;"")*ISNUMBER(SEARCH(WhoKW,INDEX(FormData,$H910,f_Who)&amp;""))*(ROW(WhoKW)-MIN(ROW(WhoKW))+1))))),""))</f>
        <v/>
      </c>
      <c r="G910" s="14">
        <f>IF($H910="","",IF(COUNTIF(People!$U$5:$U$604,$B910)+COUNTIF(People!$U$5:$U$604,$B910&amp;"")&gt;0,"✓ logged","→ add"))</f>
        <v/>
      </c>
      <c r="H910">
        <f>IFERROR(IF(INDEX(FormData,907,f_Id)&amp;""="","",907),"")</f>
        <v/>
      </c>
      <c r="I910" s="16">
        <f>IF($H910="","",IFERROR(INDEX(FormData,$H910,f_Need)&amp;"",""))</f>
        <v/>
      </c>
    </row>
    <row r="911">
      <c r="A911" s="14" t="n">
        <v>907</v>
      </c>
      <c r="B911" s="14">
        <f>IF($H911="","",INDEX(FormData,$H911,f_Id))</f>
        <v/>
      </c>
      <c r="C911" s="15">
        <f>IF($H911="","",IFERROR(INDEX(FormData,$H911,f_Time),""))</f>
        <v/>
      </c>
      <c r="D911" s="14">
        <f>IF($H911="","",IFERROR(UPPER(LEFT(TRIM(INDEX(FormData,$H911,f_Name)),1)&amp;IFERROR(MID(TRIM(INDEX(FormData,$H911,f_Name)),FIND("^",SUBSTITUTE(TRIM(INDEX(FormData,$H911,f_Name))," ","^",LEN(TRIM(INDEX(FormData,$H911,f_Name)))-LEN(SUBSTITUTE(TRIM(INDEX(FormData,$H911,f_Name))," ",""))))+1,1),"")),""))</f>
        <v/>
      </c>
      <c r="E911" s="16">
        <f>IF($H911="","",IFERROR(INDEX(EvID,MATCH(INDEX(FormData,$H911,f_Event),EvID,0)),IFERROR(INDEX(EvID,MATCH(INDEX(FormData,$H911,f_Event),EvName,0)),IFERROR(INDEX(EvID,MATCH(INT($C911),EvDate,0)),"(no event that day)"))))</f>
        <v/>
      </c>
      <c r="F911" s="16">
        <f>IF($H911="","",IFERROR(IF(SUMPRODUCT(MAX((WhoKW&lt;&gt;"")*ISNUMBER(SEARCH(WhoKW,INDEX(FormData,$H911,f_Who)&amp;""))*(ROW(WhoKW)-MIN(ROW(WhoKW))+1)))=0,"",INDEX(WhoVal,SUMPRODUCT(MAX((WhoKW&lt;&gt;"")*ISNUMBER(SEARCH(WhoKW,INDEX(FormData,$H911,f_Who)&amp;""))*(ROW(WhoKW)-MIN(ROW(WhoKW))+1))))),""))</f>
        <v/>
      </c>
      <c r="G911" s="14">
        <f>IF($H911="","",IF(COUNTIF(People!$U$5:$U$604,$B911)+COUNTIF(People!$U$5:$U$604,$B911&amp;"")&gt;0,"✓ logged","→ add"))</f>
        <v/>
      </c>
      <c r="H911">
        <f>IFERROR(IF(INDEX(FormData,908,f_Id)&amp;""="","",908),"")</f>
        <v/>
      </c>
      <c r="I911" s="16">
        <f>IF($H911="","",IFERROR(INDEX(FormData,$H911,f_Need)&amp;"",""))</f>
        <v/>
      </c>
    </row>
    <row r="912">
      <c r="A912" s="14" t="n">
        <v>908</v>
      </c>
      <c r="B912" s="14">
        <f>IF($H912="","",INDEX(FormData,$H912,f_Id))</f>
        <v/>
      </c>
      <c r="C912" s="15">
        <f>IF($H912="","",IFERROR(INDEX(FormData,$H912,f_Time),""))</f>
        <v/>
      </c>
      <c r="D912" s="14">
        <f>IF($H912="","",IFERROR(UPPER(LEFT(TRIM(INDEX(FormData,$H912,f_Name)),1)&amp;IFERROR(MID(TRIM(INDEX(FormData,$H912,f_Name)),FIND("^",SUBSTITUTE(TRIM(INDEX(FormData,$H912,f_Name))," ","^",LEN(TRIM(INDEX(FormData,$H912,f_Name)))-LEN(SUBSTITUTE(TRIM(INDEX(FormData,$H912,f_Name))," ",""))))+1,1),"")),""))</f>
        <v/>
      </c>
      <c r="E912" s="16">
        <f>IF($H912="","",IFERROR(INDEX(EvID,MATCH(INDEX(FormData,$H912,f_Event),EvID,0)),IFERROR(INDEX(EvID,MATCH(INDEX(FormData,$H912,f_Event),EvName,0)),IFERROR(INDEX(EvID,MATCH(INT($C912),EvDate,0)),"(no event that day)"))))</f>
        <v/>
      </c>
      <c r="F912" s="16">
        <f>IF($H912="","",IFERROR(IF(SUMPRODUCT(MAX((WhoKW&lt;&gt;"")*ISNUMBER(SEARCH(WhoKW,INDEX(FormData,$H912,f_Who)&amp;""))*(ROW(WhoKW)-MIN(ROW(WhoKW))+1)))=0,"",INDEX(WhoVal,SUMPRODUCT(MAX((WhoKW&lt;&gt;"")*ISNUMBER(SEARCH(WhoKW,INDEX(FormData,$H912,f_Who)&amp;""))*(ROW(WhoKW)-MIN(ROW(WhoKW))+1))))),""))</f>
        <v/>
      </c>
      <c r="G912" s="14">
        <f>IF($H912="","",IF(COUNTIF(People!$U$5:$U$604,$B912)+COUNTIF(People!$U$5:$U$604,$B912&amp;"")&gt;0,"✓ logged","→ add"))</f>
        <v/>
      </c>
      <c r="H912">
        <f>IFERROR(IF(INDEX(FormData,909,f_Id)&amp;""="","",909),"")</f>
        <v/>
      </c>
      <c r="I912" s="16">
        <f>IF($H912="","",IFERROR(INDEX(FormData,$H912,f_Need)&amp;"",""))</f>
        <v/>
      </c>
    </row>
    <row r="913">
      <c r="A913" s="14" t="n">
        <v>909</v>
      </c>
      <c r="B913" s="14">
        <f>IF($H913="","",INDEX(FormData,$H913,f_Id))</f>
        <v/>
      </c>
      <c r="C913" s="15">
        <f>IF($H913="","",IFERROR(INDEX(FormData,$H913,f_Time),""))</f>
        <v/>
      </c>
      <c r="D913" s="14">
        <f>IF($H913="","",IFERROR(UPPER(LEFT(TRIM(INDEX(FormData,$H913,f_Name)),1)&amp;IFERROR(MID(TRIM(INDEX(FormData,$H913,f_Name)),FIND("^",SUBSTITUTE(TRIM(INDEX(FormData,$H913,f_Name))," ","^",LEN(TRIM(INDEX(FormData,$H913,f_Name)))-LEN(SUBSTITUTE(TRIM(INDEX(FormData,$H913,f_Name))," ",""))))+1,1),"")),""))</f>
        <v/>
      </c>
      <c r="E913" s="16">
        <f>IF($H913="","",IFERROR(INDEX(EvID,MATCH(INDEX(FormData,$H913,f_Event),EvID,0)),IFERROR(INDEX(EvID,MATCH(INDEX(FormData,$H913,f_Event),EvName,0)),IFERROR(INDEX(EvID,MATCH(INT($C913),EvDate,0)),"(no event that day)"))))</f>
        <v/>
      </c>
      <c r="F913" s="16">
        <f>IF($H913="","",IFERROR(IF(SUMPRODUCT(MAX((WhoKW&lt;&gt;"")*ISNUMBER(SEARCH(WhoKW,INDEX(FormData,$H913,f_Who)&amp;""))*(ROW(WhoKW)-MIN(ROW(WhoKW))+1)))=0,"",INDEX(WhoVal,SUMPRODUCT(MAX((WhoKW&lt;&gt;"")*ISNUMBER(SEARCH(WhoKW,INDEX(FormData,$H913,f_Who)&amp;""))*(ROW(WhoKW)-MIN(ROW(WhoKW))+1))))),""))</f>
        <v/>
      </c>
      <c r="G913" s="14">
        <f>IF($H913="","",IF(COUNTIF(People!$U$5:$U$604,$B913)+COUNTIF(People!$U$5:$U$604,$B913&amp;"")&gt;0,"✓ logged","→ add"))</f>
        <v/>
      </c>
      <c r="H913">
        <f>IFERROR(IF(INDEX(FormData,910,f_Id)&amp;""="","",910),"")</f>
        <v/>
      </c>
      <c r="I913" s="16">
        <f>IF($H913="","",IFERROR(INDEX(FormData,$H913,f_Need)&amp;"",""))</f>
        <v/>
      </c>
    </row>
    <row r="914">
      <c r="A914" s="14" t="n">
        <v>910</v>
      </c>
      <c r="B914" s="14">
        <f>IF($H914="","",INDEX(FormData,$H914,f_Id))</f>
        <v/>
      </c>
      <c r="C914" s="15">
        <f>IF($H914="","",IFERROR(INDEX(FormData,$H914,f_Time),""))</f>
        <v/>
      </c>
      <c r="D914" s="14">
        <f>IF($H914="","",IFERROR(UPPER(LEFT(TRIM(INDEX(FormData,$H914,f_Name)),1)&amp;IFERROR(MID(TRIM(INDEX(FormData,$H914,f_Name)),FIND("^",SUBSTITUTE(TRIM(INDEX(FormData,$H914,f_Name))," ","^",LEN(TRIM(INDEX(FormData,$H914,f_Name)))-LEN(SUBSTITUTE(TRIM(INDEX(FormData,$H914,f_Name))," ",""))))+1,1),"")),""))</f>
        <v/>
      </c>
      <c r="E914" s="16">
        <f>IF($H914="","",IFERROR(INDEX(EvID,MATCH(INDEX(FormData,$H914,f_Event),EvID,0)),IFERROR(INDEX(EvID,MATCH(INDEX(FormData,$H914,f_Event),EvName,0)),IFERROR(INDEX(EvID,MATCH(INT($C914),EvDate,0)),"(no event that day)"))))</f>
        <v/>
      </c>
      <c r="F914" s="16">
        <f>IF($H914="","",IFERROR(IF(SUMPRODUCT(MAX((WhoKW&lt;&gt;"")*ISNUMBER(SEARCH(WhoKW,INDEX(FormData,$H914,f_Who)&amp;""))*(ROW(WhoKW)-MIN(ROW(WhoKW))+1)))=0,"",INDEX(WhoVal,SUMPRODUCT(MAX((WhoKW&lt;&gt;"")*ISNUMBER(SEARCH(WhoKW,INDEX(FormData,$H914,f_Who)&amp;""))*(ROW(WhoKW)-MIN(ROW(WhoKW))+1))))),""))</f>
        <v/>
      </c>
      <c r="G914" s="14">
        <f>IF($H914="","",IF(COUNTIF(People!$U$5:$U$604,$B914)+COUNTIF(People!$U$5:$U$604,$B914&amp;"")&gt;0,"✓ logged","→ add"))</f>
        <v/>
      </c>
      <c r="H914">
        <f>IFERROR(IF(INDEX(FormData,911,f_Id)&amp;""="","",911),"")</f>
        <v/>
      </c>
      <c r="I914" s="16">
        <f>IF($H914="","",IFERROR(INDEX(FormData,$H914,f_Need)&amp;"",""))</f>
        <v/>
      </c>
    </row>
    <row r="915">
      <c r="A915" s="14" t="n">
        <v>911</v>
      </c>
      <c r="B915" s="14">
        <f>IF($H915="","",INDEX(FormData,$H915,f_Id))</f>
        <v/>
      </c>
      <c r="C915" s="15">
        <f>IF($H915="","",IFERROR(INDEX(FormData,$H915,f_Time),""))</f>
        <v/>
      </c>
      <c r="D915" s="14">
        <f>IF($H915="","",IFERROR(UPPER(LEFT(TRIM(INDEX(FormData,$H915,f_Name)),1)&amp;IFERROR(MID(TRIM(INDEX(FormData,$H915,f_Name)),FIND("^",SUBSTITUTE(TRIM(INDEX(FormData,$H915,f_Name))," ","^",LEN(TRIM(INDEX(FormData,$H915,f_Name)))-LEN(SUBSTITUTE(TRIM(INDEX(FormData,$H915,f_Name))," ",""))))+1,1),"")),""))</f>
        <v/>
      </c>
      <c r="E915" s="16">
        <f>IF($H915="","",IFERROR(INDEX(EvID,MATCH(INDEX(FormData,$H915,f_Event),EvID,0)),IFERROR(INDEX(EvID,MATCH(INDEX(FormData,$H915,f_Event),EvName,0)),IFERROR(INDEX(EvID,MATCH(INT($C915),EvDate,0)),"(no event that day)"))))</f>
        <v/>
      </c>
      <c r="F915" s="16">
        <f>IF($H915="","",IFERROR(IF(SUMPRODUCT(MAX((WhoKW&lt;&gt;"")*ISNUMBER(SEARCH(WhoKW,INDEX(FormData,$H915,f_Who)&amp;""))*(ROW(WhoKW)-MIN(ROW(WhoKW))+1)))=0,"",INDEX(WhoVal,SUMPRODUCT(MAX((WhoKW&lt;&gt;"")*ISNUMBER(SEARCH(WhoKW,INDEX(FormData,$H915,f_Who)&amp;""))*(ROW(WhoKW)-MIN(ROW(WhoKW))+1))))),""))</f>
        <v/>
      </c>
      <c r="G915" s="14">
        <f>IF($H915="","",IF(COUNTIF(People!$U$5:$U$604,$B915)+COUNTIF(People!$U$5:$U$604,$B915&amp;"")&gt;0,"✓ logged","→ add"))</f>
        <v/>
      </c>
      <c r="H915">
        <f>IFERROR(IF(INDEX(FormData,912,f_Id)&amp;""="","",912),"")</f>
        <v/>
      </c>
      <c r="I915" s="16">
        <f>IF($H915="","",IFERROR(INDEX(FormData,$H915,f_Need)&amp;"",""))</f>
        <v/>
      </c>
    </row>
    <row r="916">
      <c r="A916" s="14" t="n">
        <v>912</v>
      </c>
      <c r="B916" s="14">
        <f>IF($H916="","",INDEX(FormData,$H916,f_Id))</f>
        <v/>
      </c>
      <c r="C916" s="15">
        <f>IF($H916="","",IFERROR(INDEX(FormData,$H916,f_Time),""))</f>
        <v/>
      </c>
      <c r="D916" s="14">
        <f>IF($H916="","",IFERROR(UPPER(LEFT(TRIM(INDEX(FormData,$H916,f_Name)),1)&amp;IFERROR(MID(TRIM(INDEX(FormData,$H916,f_Name)),FIND("^",SUBSTITUTE(TRIM(INDEX(FormData,$H916,f_Name))," ","^",LEN(TRIM(INDEX(FormData,$H916,f_Name)))-LEN(SUBSTITUTE(TRIM(INDEX(FormData,$H916,f_Name))," ",""))))+1,1),"")),""))</f>
        <v/>
      </c>
      <c r="E916" s="16">
        <f>IF($H916="","",IFERROR(INDEX(EvID,MATCH(INDEX(FormData,$H916,f_Event),EvID,0)),IFERROR(INDEX(EvID,MATCH(INDEX(FormData,$H916,f_Event),EvName,0)),IFERROR(INDEX(EvID,MATCH(INT($C916),EvDate,0)),"(no event that day)"))))</f>
        <v/>
      </c>
      <c r="F916" s="16">
        <f>IF($H916="","",IFERROR(IF(SUMPRODUCT(MAX((WhoKW&lt;&gt;"")*ISNUMBER(SEARCH(WhoKW,INDEX(FormData,$H916,f_Who)&amp;""))*(ROW(WhoKW)-MIN(ROW(WhoKW))+1)))=0,"",INDEX(WhoVal,SUMPRODUCT(MAX((WhoKW&lt;&gt;"")*ISNUMBER(SEARCH(WhoKW,INDEX(FormData,$H916,f_Who)&amp;""))*(ROW(WhoKW)-MIN(ROW(WhoKW))+1))))),""))</f>
        <v/>
      </c>
      <c r="G916" s="14">
        <f>IF($H916="","",IF(COUNTIF(People!$U$5:$U$604,$B916)+COUNTIF(People!$U$5:$U$604,$B916&amp;"")&gt;0,"✓ logged","→ add"))</f>
        <v/>
      </c>
      <c r="H916">
        <f>IFERROR(IF(INDEX(FormData,913,f_Id)&amp;""="","",913),"")</f>
        <v/>
      </c>
      <c r="I916" s="16">
        <f>IF($H916="","",IFERROR(INDEX(FormData,$H916,f_Need)&amp;"",""))</f>
        <v/>
      </c>
    </row>
    <row r="917">
      <c r="A917" s="14" t="n">
        <v>913</v>
      </c>
      <c r="B917" s="14">
        <f>IF($H917="","",INDEX(FormData,$H917,f_Id))</f>
        <v/>
      </c>
      <c r="C917" s="15">
        <f>IF($H917="","",IFERROR(INDEX(FormData,$H917,f_Time),""))</f>
        <v/>
      </c>
      <c r="D917" s="14">
        <f>IF($H917="","",IFERROR(UPPER(LEFT(TRIM(INDEX(FormData,$H917,f_Name)),1)&amp;IFERROR(MID(TRIM(INDEX(FormData,$H917,f_Name)),FIND("^",SUBSTITUTE(TRIM(INDEX(FormData,$H917,f_Name))," ","^",LEN(TRIM(INDEX(FormData,$H917,f_Name)))-LEN(SUBSTITUTE(TRIM(INDEX(FormData,$H917,f_Name))," ",""))))+1,1),"")),""))</f>
        <v/>
      </c>
      <c r="E917" s="16">
        <f>IF($H917="","",IFERROR(INDEX(EvID,MATCH(INDEX(FormData,$H917,f_Event),EvID,0)),IFERROR(INDEX(EvID,MATCH(INDEX(FormData,$H917,f_Event),EvName,0)),IFERROR(INDEX(EvID,MATCH(INT($C917),EvDate,0)),"(no event that day)"))))</f>
        <v/>
      </c>
      <c r="F917" s="16">
        <f>IF($H917="","",IFERROR(IF(SUMPRODUCT(MAX((WhoKW&lt;&gt;"")*ISNUMBER(SEARCH(WhoKW,INDEX(FormData,$H917,f_Who)&amp;""))*(ROW(WhoKW)-MIN(ROW(WhoKW))+1)))=0,"",INDEX(WhoVal,SUMPRODUCT(MAX((WhoKW&lt;&gt;"")*ISNUMBER(SEARCH(WhoKW,INDEX(FormData,$H917,f_Who)&amp;""))*(ROW(WhoKW)-MIN(ROW(WhoKW))+1))))),""))</f>
        <v/>
      </c>
      <c r="G917" s="14">
        <f>IF($H917="","",IF(COUNTIF(People!$U$5:$U$604,$B917)+COUNTIF(People!$U$5:$U$604,$B917&amp;"")&gt;0,"✓ logged","→ add"))</f>
        <v/>
      </c>
      <c r="H917">
        <f>IFERROR(IF(INDEX(FormData,914,f_Id)&amp;""="","",914),"")</f>
        <v/>
      </c>
      <c r="I917" s="16">
        <f>IF($H917="","",IFERROR(INDEX(FormData,$H917,f_Need)&amp;"",""))</f>
        <v/>
      </c>
    </row>
    <row r="918">
      <c r="A918" s="14" t="n">
        <v>914</v>
      </c>
      <c r="B918" s="14">
        <f>IF($H918="","",INDEX(FormData,$H918,f_Id))</f>
        <v/>
      </c>
      <c r="C918" s="15">
        <f>IF($H918="","",IFERROR(INDEX(FormData,$H918,f_Time),""))</f>
        <v/>
      </c>
      <c r="D918" s="14">
        <f>IF($H918="","",IFERROR(UPPER(LEFT(TRIM(INDEX(FormData,$H918,f_Name)),1)&amp;IFERROR(MID(TRIM(INDEX(FormData,$H918,f_Name)),FIND("^",SUBSTITUTE(TRIM(INDEX(FormData,$H918,f_Name))," ","^",LEN(TRIM(INDEX(FormData,$H918,f_Name)))-LEN(SUBSTITUTE(TRIM(INDEX(FormData,$H918,f_Name))," ",""))))+1,1),"")),""))</f>
        <v/>
      </c>
      <c r="E918" s="16">
        <f>IF($H918="","",IFERROR(INDEX(EvID,MATCH(INDEX(FormData,$H918,f_Event),EvID,0)),IFERROR(INDEX(EvID,MATCH(INDEX(FormData,$H918,f_Event),EvName,0)),IFERROR(INDEX(EvID,MATCH(INT($C918),EvDate,0)),"(no event that day)"))))</f>
        <v/>
      </c>
      <c r="F918" s="16">
        <f>IF($H918="","",IFERROR(IF(SUMPRODUCT(MAX((WhoKW&lt;&gt;"")*ISNUMBER(SEARCH(WhoKW,INDEX(FormData,$H918,f_Who)&amp;""))*(ROW(WhoKW)-MIN(ROW(WhoKW))+1)))=0,"",INDEX(WhoVal,SUMPRODUCT(MAX((WhoKW&lt;&gt;"")*ISNUMBER(SEARCH(WhoKW,INDEX(FormData,$H918,f_Who)&amp;""))*(ROW(WhoKW)-MIN(ROW(WhoKW))+1))))),""))</f>
        <v/>
      </c>
      <c r="G918" s="14">
        <f>IF($H918="","",IF(COUNTIF(People!$U$5:$U$604,$B918)+COUNTIF(People!$U$5:$U$604,$B918&amp;"")&gt;0,"✓ logged","→ add"))</f>
        <v/>
      </c>
      <c r="H918">
        <f>IFERROR(IF(INDEX(FormData,915,f_Id)&amp;""="","",915),"")</f>
        <v/>
      </c>
      <c r="I918" s="16">
        <f>IF($H918="","",IFERROR(INDEX(FormData,$H918,f_Need)&amp;"",""))</f>
        <v/>
      </c>
    </row>
    <row r="919">
      <c r="A919" s="14" t="n">
        <v>915</v>
      </c>
      <c r="B919" s="14">
        <f>IF($H919="","",INDEX(FormData,$H919,f_Id))</f>
        <v/>
      </c>
      <c r="C919" s="15">
        <f>IF($H919="","",IFERROR(INDEX(FormData,$H919,f_Time),""))</f>
        <v/>
      </c>
      <c r="D919" s="14">
        <f>IF($H919="","",IFERROR(UPPER(LEFT(TRIM(INDEX(FormData,$H919,f_Name)),1)&amp;IFERROR(MID(TRIM(INDEX(FormData,$H919,f_Name)),FIND("^",SUBSTITUTE(TRIM(INDEX(FormData,$H919,f_Name))," ","^",LEN(TRIM(INDEX(FormData,$H919,f_Name)))-LEN(SUBSTITUTE(TRIM(INDEX(FormData,$H919,f_Name))," ",""))))+1,1),"")),""))</f>
        <v/>
      </c>
      <c r="E919" s="16">
        <f>IF($H919="","",IFERROR(INDEX(EvID,MATCH(INDEX(FormData,$H919,f_Event),EvID,0)),IFERROR(INDEX(EvID,MATCH(INDEX(FormData,$H919,f_Event),EvName,0)),IFERROR(INDEX(EvID,MATCH(INT($C919),EvDate,0)),"(no event that day)"))))</f>
        <v/>
      </c>
      <c r="F919" s="16">
        <f>IF($H919="","",IFERROR(IF(SUMPRODUCT(MAX((WhoKW&lt;&gt;"")*ISNUMBER(SEARCH(WhoKW,INDEX(FormData,$H919,f_Who)&amp;""))*(ROW(WhoKW)-MIN(ROW(WhoKW))+1)))=0,"",INDEX(WhoVal,SUMPRODUCT(MAX((WhoKW&lt;&gt;"")*ISNUMBER(SEARCH(WhoKW,INDEX(FormData,$H919,f_Who)&amp;""))*(ROW(WhoKW)-MIN(ROW(WhoKW))+1))))),""))</f>
        <v/>
      </c>
      <c r="G919" s="14">
        <f>IF($H919="","",IF(COUNTIF(People!$U$5:$U$604,$B919)+COUNTIF(People!$U$5:$U$604,$B919&amp;"")&gt;0,"✓ logged","→ add"))</f>
        <v/>
      </c>
      <c r="H919">
        <f>IFERROR(IF(INDEX(FormData,916,f_Id)&amp;""="","",916),"")</f>
        <v/>
      </c>
      <c r="I919" s="16">
        <f>IF($H919="","",IFERROR(INDEX(FormData,$H919,f_Need)&amp;"",""))</f>
        <v/>
      </c>
    </row>
    <row r="920">
      <c r="A920" s="14" t="n">
        <v>916</v>
      </c>
      <c r="B920" s="14">
        <f>IF($H920="","",INDEX(FormData,$H920,f_Id))</f>
        <v/>
      </c>
      <c r="C920" s="15">
        <f>IF($H920="","",IFERROR(INDEX(FormData,$H920,f_Time),""))</f>
        <v/>
      </c>
      <c r="D920" s="14">
        <f>IF($H920="","",IFERROR(UPPER(LEFT(TRIM(INDEX(FormData,$H920,f_Name)),1)&amp;IFERROR(MID(TRIM(INDEX(FormData,$H920,f_Name)),FIND("^",SUBSTITUTE(TRIM(INDEX(FormData,$H920,f_Name))," ","^",LEN(TRIM(INDEX(FormData,$H920,f_Name)))-LEN(SUBSTITUTE(TRIM(INDEX(FormData,$H920,f_Name))," ",""))))+1,1),"")),""))</f>
        <v/>
      </c>
      <c r="E920" s="16">
        <f>IF($H920="","",IFERROR(INDEX(EvID,MATCH(INDEX(FormData,$H920,f_Event),EvID,0)),IFERROR(INDEX(EvID,MATCH(INDEX(FormData,$H920,f_Event),EvName,0)),IFERROR(INDEX(EvID,MATCH(INT($C920),EvDate,0)),"(no event that day)"))))</f>
        <v/>
      </c>
      <c r="F920" s="16">
        <f>IF($H920="","",IFERROR(IF(SUMPRODUCT(MAX((WhoKW&lt;&gt;"")*ISNUMBER(SEARCH(WhoKW,INDEX(FormData,$H920,f_Who)&amp;""))*(ROW(WhoKW)-MIN(ROW(WhoKW))+1)))=0,"",INDEX(WhoVal,SUMPRODUCT(MAX((WhoKW&lt;&gt;"")*ISNUMBER(SEARCH(WhoKW,INDEX(FormData,$H920,f_Who)&amp;""))*(ROW(WhoKW)-MIN(ROW(WhoKW))+1))))),""))</f>
        <v/>
      </c>
      <c r="G920" s="14">
        <f>IF($H920="","",IF(COUNTIF(People!$U$5:$U$604,$B920)+COUNTIF(People!$U$5:$U$604,$B920&amp;"")&gt;0,"✓ logged","→ add"))</f>
        <v/>
      </c>
      <c r="H920">
        <f>IFERROR(IF(INDEX(FormData,917,f_Id)&amp;""="","",917),"")</f>
        <v/>
      </c>
      <c r="I920" s="16">
        <f>IF($H920="","",IFERROR(INDEX(FormData,$H920,f_Need)&amp;"",""))</f>
        <v/>
      </c>
    </row>
    <row r="921">
      <c r="A921" s="14" t="n">
        <v>917</v>
      </c>
      <c r="B921" s="14">
        <f>IF($H921="","",INDEX(FormData,$H921,f_Id))</f>
        <v/>
      </c>
      <c r="C921" s="15">
        <f>IF($H921="","",IFERROR(INDEX(FormData,$H921,f_Time),""))</f>
        <v/>
      </c>
      <c r="D921" s="14">
        <f>IF($H921="","",IFERROR(UPPER(LEFT(TRIM(INDEX(FormData,$H921,f_Name)),1)&amp;IFERROR(MID(TRIM(INDEX(FormData,$H921,f_Name)),FIND("^",SUBSTITUTE(TRIM(INDEX(FormData,$H921,f_Name))," ","^",LEN(TRIM(INDEX(FormData,$H921,f_Name)))-LEN(SUBSTITUTE(TRIM(INDEX(FormData,$H921,f_Name))," ",""))))+1,1),"")),""))</f>
        <v/>
      </c>
      <c r="E921" s="16">
        <f>IF($H921="","",IFERROR(INDEX(EvID,MATCH(INDEX(FormData,$H921,f_Event),EvID,0)),IFERROR(INDEX(EvID,MATCH(INDEX(FormData,$H921,f_Event),EvName,0)),IFERROR(INDEX(EvID,MATCH(INT($C921),EvDate,0)),"(no event that day)"))))</f>
        <v/>
      </c>
      <c r="F921" s="16">
        <f>IF($H921="","",IFERROR(IF(SUMPRODUCT(MAX((WhoKW&lt;&gt;"")*ISNUMBER(SEARCH(WhoKW,INDEX(FormData,$H921,f_Who)&amp;""))*(ROW(WhoKW)-MIN(ROW(WhoKW))+1)))=0,"",INDEX(WhoVal,SUMPRODUCT(MAX((WhoKW&lt;&gt;"")*ISNUMBER(SEARCH(WhoKW,INDEX(FormData,$H921,f_Who)&amp;""))*(ROW(WhoKW)-MIN(ROW(WhoKW))+1))))),""))</f>
        <v/>
      </c>
      <c r="G921" s="14">
        <f>IF($H921="","",IF(COUNTIF(People!$U$5:$U$604,$B921)+COUNTIF(People!$U$5:$U$604,$B921&amp;"")&gt;0,"✓ logged","→ add"))</f>
        <v/>
      </c>
      <c r="H921">
        <f>IFERROR(IF(INDEX(FormData,918,f_Id)&amp;""="","",918),"")</f>
        <v/>
      </c>
      <c r="I921" s="16">
        <f>IF($H921="","",IFERROR(INDEX(FormData,$H921,f_Need)&amp;"",""))</f>
        <v/>
      </c>
    </row>
    <row r="922">
      <c r="A922" s="14" t="n">
        <v>918</v>
      </c>
      <c r="B922" s="14">
        <f>IF($H922="","",INDEX(FormData,$H922,f_Id))</f>
        <v/>
      </c>
      <c r="C922" s="15">
        <f>IF($H922="","",IFERROR(INDEX(FormData,$H922,f_Time),""))</f>
        <v/>
      </c>
      <c r="D922" s="14">
        <f>IF($H922="","",IFERROR(UPPER(LEFT(TRIM(INDEX(FormData,$H922,f_Name)),1)&amp;IFERROR(MID(TRIM(INDEX(FormData,$H922,f_Name)),FIND("^",SUBSTITUTE(TRIM(INDEX(FormData,$H922,f_Name))," ","^",LEN(TRIM(INDEX(FormData,$H922,f_Name)))-LEN(SUBSTITUTE(TRIM(INDEX(FormData,$H922,f_Name))," ",""))))+1,1),"")),""))</f>
        <v/>
      </c>
      <c r="E922" s="16">
        <f>IF($H922="","",IFERROR(INDEX(EvID,MATCH(INDEX(FormData,$H922,f_Event),EvID,0)),IFERROR(INDEX(EvID,MATCH(INDEX(FormData,$H922,f_Event),EvName,0)),IFERROR(INDEX(EvID,MATCH(INT($C922),EvDate,0)),"(no event that day)"))))</f>
        <v/>
      </c>
      <c r="F922" s="16">
        <f>IF($H922="","",IFERROR(IF(SUMPRODUCT(MAX((WhoKW&lt;&gt;"")*ISNUMBER(SEARCH(WhoKW,INDEX(FormData,$H922,f_Who)&amp;""))*(ROW(WhoKW)-MIN(ROW(WhoKW))+1)))=0,"",INDEX(WhoVal,SUMPRODUCT(MAX((WhoKW&lt;&gt;"")*ISNUMBER(SEARCH(WhoKW,INDEX(FormData,$H922,f_Who)&amp;""))*(ROW(WhoKW)-MIN(ROW(WhoKW))+1))))),""))</f>
        <v/>
      </c>
      <c r="G922" s="14">
        <f>IF($H922="","",IF(COUNTIF(People!$U$5:$U$604,$B922)+COUNTIF(People!$U$5:$U$604,$B922&amp;"")&gt;0,"✓ logged","→ add"))</f>
        <v/>
      </c>
      <c r="H922">
        <f>IFERROR(IF(INDEX(FormData,919,f_Id)&amp;""="","",919),"")</f>
        <v/>
      </c>
      <c r="I922" s="16">
        <f>IF($H922="","",IFERROR(INDEX(FormData,$H922,f_Need)&amp;"",""))</f>
        <v/>
      </c>
    </row>
    <row r="923">
      <c r="A923" s="14" t="n">
        <v>919</v>
      </c>
      <c r="B923" s="14">
        <f>IF($H923="","",INDEX(FormData,$H923,f_Id))</f>
        <v/>
      </c>
      <c r="C923" s="15">
        <f>IF($H923="","",IFERROR(INDEX(FormData,$H923,f_Time),""))</f>
        <v/>
      </c>
      <c r="D923" s="14">
        <f>IF($H923="","",IFERROR(UPPER(LEFT(TRIM(INDEX(FormData,$H923,f_Name)),1)&amp;IFERROR(MID(TRIM(INDEX(FormData,$H923,f_Name)),FIND("^",SUBSTITUTE(TRIM(INDEX(FormData,$H923,f_Name))," ","^",LEN(TRIM(INDEX(FormData,$H923,f_Name)))-LEN(SUBSTITUTE(TRIM(INDEX(FormData,$H923,f_Name))," ",""))))+1,1),"")),""))</f>
        <v/>
      </c>
      <c r="E923" s="16">
        <f>IF($H923="","",IFERROR(INDEX(EvID,MATCH(INDEX(FormData,$H923,f_Event),EvID,0)),IFERROR(INDEX(EvID,MATCH(INDEX(FormData,$H923,f_Event),EvName,0)),IFERROR(INDEX(EvID,MATCH(INT($C923),EvDate,0)),"(no event that day)"))))</f>
        <v/>
      </c>
      <c r="F923" s="16">
        <f>IF($H923="","",IFERROR(IF(SUMPRODUCT(MAX((WhoKW&lt;&gt;"")*ISNUMBER(SEARCH(WhoKW,INDEX(FormData,$H923,f_Who)&amp;""))*(ROW(WhoKW)-MIN(ROW(WhoKW))+1)))=0,"",INDEX(WhoVal,SUMPRODUCT(MAX((WhoKW&lt;&gt;"")*ISNUMBER(SEARCH(WhoKW,INDEX(FormData,$H923,f_Who)&amp;""))*(ROW(WhoKW)-MIN(ROW(WhoKW))+1))))),""))</f>
        <v/>
      </c>
      <c r="G923" s="14">
        <f>IF($H923="","",IF(COUNTIF(People!$U$5:$U$604,$B923)+COUNTIF(People!$U$5:$U$604,$B923&amp;"")&gt;0,"✓ logged","→ add"))</f>
        <v/>
      </c>
      <c r="H923">
        <f>IFERROR(IF(INDEX(FormData,920,f_Id)&amp;""="","",920),"")</f>
        <v/>
      </c>
      <c r="I923" s="16">
        <f>IF($H923="","",IFERROR(INDEX(FormData,$H923,f_Need)&amp;"",""))</f>
        <v/>
      </c>
    </row>
    <row r="924">
      <c r="A924" s="14" t="n">
        <v>920</v>
      </c>
      <c r="B924" s="14">
        <f>IF($H924="","",INDEX(FormData,$H924,f_Id))</f>
        <v/>
      </c>
      <c r="C924" s="15">
        <f>IF($H924="","",IFERROR(INDEX(FormData,$H924,f_Time),""))</f>
        <v/>
      </c>
      <c r="D924" s="14">
        <f>IF($H924="","",IFERROR(UPPER(LEFT(TRIM(INDEX(FormData,$H924,f_Name)),1)&amp;IFERROR(MID(TRIM(INDEX(FormData,$H924,f_Name)),FIND("^",SUBSTITUTE(TRIM(INDEX(FormData,$H924,f_Name))," ","^",LEN(TRIM(INDEX(FormData,$H924,f_Name)))-LEN(SUBSTITUTE(TRIM(INDEX(FormData,$H924,f_Name))," ",""))))+1,1),"")),""))</f>
        <v/>
      </c>
      <c r="E924" s="16">
        <f>IF($H924="","",IFERROR(INDEX(EvID,MATCH(INDEX(FormData,$H924,f_Event),EvID,0)),IFERROR(INDEX(EvID,MATCH(INDEX(FormData,$H924,f_Event),EvName,0)),IFERROR(INDEX(EvID,MATCH(INT($C924),EvDate,0)),"(no event that day)"))))</f>
        <v/>
      </c>
      <c r="F924" s="16">
        <f>IF($H924="","",IFERROR(IF(SUMPRODUCT(MAX((WhoKW&lt;&gt;"")*ISNUMBER(SEARCH(WhoKW,INDEX(FormData,$H924,f_Who)&amp;""))*(ROW(WhoKW)-MIN(ROW(WhoKW))+1)))=0,"",INDEX(WhoVal,SUMPRODUCT(MAX((WhoKW&lt;&gt;"")*ISNUMBER(SEARCH(WhoKW,INDEX(FormData,$H924,f_Who)&amp;""))*(ROW(WhoKW)-MIN(ROW(WhoKW))+1))))),""))</f>
        <v/>
      </c>
      <c r="G924" s="14">
        <f>IF($H924="","",IF(COUNTIF(People!$U$5:$U$604,$B924)+COUNTIF(People!$U$5:$U$604,$B924&amp;"")&gt;0,"✓ logged","→ add"))</f>
        <v/>
      </c>
      <c r="H924">
        <f>IFERROR(IF(INDEX(FormData,921,f_Id)&amp;""="","",921),"")</f>
        <v/>
      </c>
      <c r="I924" s="16">
        <f>IF($H924="","",IFERROR(INDEX(FormData,$H924,f_Need)&amp;"",""))</f>
        <v/>
      </c>
    </row>
    <row r="925">
      <c r="A925" s="14" t="n">
        <v>921</v>
      </c>
      <c r="B925" s="14">
        <f>IF($H925="","",INDEX(FormData,$H925,f_Id))</f>
        <v/>
      </c>
      <c r="C925" s="15">
        <f>IF($H925="","",IFERROR(INDEX(FormData,$H925,f_Time),""))</f>
        <v/>
      </c>
      <c r="D925" s="14">
        <f>IF($H925="","",IFERROR(UPPER(LEFT(TRIM(INDEX(FormData,$H925,f_Name)),1)&amp;IFERROR(MID(TRIM(INDEX(FormData,$H925,f_Name)),FIND("^",SUBSTITUTE(TRIM(INDEX(FormData,$H925,f_Name))," ","^",LEN(TRIM(INDEX(FormData,$H925,f_Name)))-LEN(SUBSTITUTE(TRIM(INDEX(FormData,$H925,f_Name))," ",""))))+1,1),"")),""))</f>
        <v/>
      </c>
      <c r="E925" s="16">
        <f>IF($H925="","",IFERROR(INDEX(EvID,MATCH(INDEX(FormData,$H925,f_Event),EvID,0)),IFERROR(INDEX(EvID,MATCH(INDEX(FormData,$H925,f_Event),EvName,0)),IFERROR(INDEX(EvID,MATCH(INT($C925),EvDate,0)),"(no event that day)"))))</f>
        <v/>
      </c>
      <c r="F925" s="16">
        <f>IF($H925="","",IFERROR(IF(SUMPRODUCT(MAX((WhoKW&lt;&gt;"")*ISNUMBER(SEARCH(WhoKW,INDEX(FormData,$H925,f_Who)&amp;""))*(ROW(WhoKW)-MIN(ROW(WhoKW))+1)))=0,"",INDEX(WhoVal,SUMPRODUCT(MAX((WhoKW&lt;&gt;"")*ISNUMBER(SEARCH(WhoKW,INDEX(FormData,$H925,f_Who)&amp;""))*(ROW(WhoKW)-MIN(ROW(WhoKW))+1))))),""))</f>
        <v/>
      </c>
      <c r="G925" s="14">
        <f>IF($H925="","",IF(COUNTIF(People!$U$5:$U$604,$B925)+COUNTIF(People!$U$5:$U$604,$B925&amp;"")&gt;0,"✓ logged","→ add"))</f>
        <v/>
      </c>
      <c r="H925">
        <f>IFERROR(IF(INDEX(FormData,922,f_Id)&amp;""="","",922),"")</f>
        <v/>
      </c>
      <c r="I925" s="16">
        <f>IF($H925="","",IFERROR(INDEX(FormData,$H925,f_Need)&amp;"",""))</f>
        <v/>
      </c>
    </row>
    <row r="926">
      <c r="A926" s="14" t="n">
        <v>922</v>
      </c>
      <c r="B926" s="14">
        <f>IF($H926="","",INDEX(FormData,$H926,f_Id))</f>
        <v/>
      </c>
      <c r="C926" s="15">
        <f>IF($H926="","",IFERROR(INDEX(FormData,$H926,f_Time),""))</f>
        <v/>
      </c>
      <c r="D926" s="14">
        <f>IF($H926="","",IFERROR(UPPER(LEFT(TRIM(INDEX(FormData,$H926,f_Name)),1)&amp;IFERROR(MID(TRIM(INDEX(FormData,$H926,f_Name)),FIND("^",SUBSTITUTE(TRIM(INDEX(FormData,$H926,f_Name))," ","^",LEN(TRIM(INDEX(FormData,$H926,f_Name)))-LEN(SUBSTITUTE(TRIM(INDEX(FormData,$H926,f_Name))," ",""))))+1,1),"")),""))</f>
        <v/>
      </c>
      <c r="E926" s="16">
        <f>IF($H926="","",IFERROR(INDEX(EvID,MATCH(INDEX(FormData,$H926,f_Event),EvID,0)),IFERROR(INDEX(EvID,MATCH(INDEX(FormData,$H926,f_Event),EvName,0)),IFERROR(INDEX(EvID,MATCH(INT($C926),EvDate,0)),"(no event that day)"))))</f>
        <v/>
      </c>
      <c r="F926" s="16">
        <f>IF($H926="","",IFERROR(IF(SUMPRODUCT(MAX((WhoKW&lt;&gt;"")*ISNUMBER(SEARCH(WhoKW,INDEX(FormData,$H926,f_Who)&amp;""))*(ROW(WhoKW)-MIN(ROW(WhoKW))+1)))=0,"",INDEX(WhoVal,SUMPRODUCT(MAX((WhoKW&lt;&gt;"")*ISNUMBER(SEARCH(WhoKW,INDEX(FormData,$H926,f_Who)&amp;""))*(ROW(WhoKW)-MIN(ROW(WhoKW))+1))))),""))</f>
        <v/>
      </c>
      <c r="G926" s="14">
        <f>IF($H926="","",IF(COUNTIF(People!$U$5:$U$604,$B926)+COUNTIF(People!$U$5:$U$604,$B926&amp;"")&gt;0,"✓ logged","→ add"))</f>
        <v/>
      </c>
      <c r="H926">
        <f>IFERROR(IF(INDEX(FormData,923,f_Id)&amp;""="","",923),"")</f>
        <v/>
      </c>
      <c r="I926" s="16">
        <f>IF($H926="","",IFERROR(INDEX(FormData,$H926,f_Need)&amp;"",""))</f>
        <v/>
      </c>
    </row>
    <row r="927">
      <c r="A927" s="14" t="n">
        <v>923</v>
      </c>
      <c r="B927" s="14">
        <f>IF($H927="","",INDEX(FormData,$H927,f_Id))</f>
        <v/>
      </c>
      <c r="C927" s="15">
        <f>IF($H927="","",IFERROR(INDEX(FormData,$H927,f_Time),""))</f>
        <v/>
      </c>
      <c r="D927" s="14">
        <f>IF($H927="","",IFERROR(UPPER(LEFT(TRIM(INDEX(FormData,$H927,f_Name)),1)&amp;IFERROR(MID(TRIM(INDEX(FormData,$H927,f_Name)),FIND("^",SUBSTITUTE(TRIM(INDEX(FormData,$H927,f_Name))," ","^",LEN(TRIM(INDEX(FormData,$H927,f_Name)))-LEN(SUBSTITUTE(TRIM(INDEX(FormData,$H927,f_Name))," ",""))))+1,1),"")),""))</f>
        <v/>
      </c>
      <c r="E927" s="16">
        <f>IF($H927="","",IFERROR(INDEX(EvID,MATCH(INDEX(FormData,$H927,f_Event),EvID,0)),IFERROR(INDEX(EvID,MATCH(INDEX(FormData,$H927,f_Event),EvName,0)),IFERROR(INDEX(EvID,MATCH(INT($C927),EvDate,0)),"(no event that day)"))))</f>
        <v/>
      </c>
      <c r="F927" s="16">
        <f>IF($H927="","",IFERROR(IF(SUMPRODUCT(MAX((WhoKW&lt;&gt;"")*ISNUMBER(SEARCH(WhoKW,INDEX(FormData,$H927,f_Who)&amp;""))*(ROW(WhoKW)-MIN(ROW(WhoKW))+1)))=0,"",INDEX(WhoVal,SUMPRODUCT(MAX((WhoKW&lt;&gt;"")*ISNUMBER(SEARCH(WhoKW,INDEX(FormData,$H927,f_Who)&amp;""))*(ROW(WhoKW)-MIN(ROW(WhoKW))+1))))),""))</f>
        <v/>
      </c>
      <c r="G927" s="14">
        <f>IF($H927="","",IF(COUNTIF(People!$U$5:$U$604,$B927)+COUNTIF(People!$U$5:$U$604,$B927&amp;"")&gt;0,"✓ logged","→ add"))</f>
        <v/>
      </c>
      <c r="H927">
        <f>IFERROR(IF(INDEX(FormData,924,f_Id)&amp;""="","",924),"")</f>
        <v/>
      </c>
      <c r="I927" s="16">
        <f>IF($H927="","",IFERROR(INDEX(FormData,$H927,f_Need)&amp;"",""))</f>
        <v/>
      </c>
    </row>
    <row r="928">
      <c r="A928" s="14" t="n">
        <v>924</v>
      </c>
      <c r="B928" s="14">
        <f>IF($H928="","",INDEX(FormData,$H928,f_Id))</f>
        <v/>
      </c>
      <c r="C928" s="15">
        <f>IF($H928="","",IFERROR(INDEX(FormData,$H928,f_Time),""))</f>
        <v/>
      </c>
      <c r="D928" s="14">
        <f>IF($H928="","",IFERROR(UPPER(LEFT(TRIM(INDEX(FormData,$H928,f_Name)),1)&amp;IFERROR(MID(TRIM(INDEX(FormData,$H928,f_Name)),FIND("^",SUBSTITUTE(TRIM(INDEX(FormData,$H928,f_Name))," ","^",LEN(TRIM(INDEX(FormData,$H928,f_Name)))-LEN(SUBSTITUTE(TRIM(INDEX(FormData,$H928,f_Name))," ",""))))+1,1),"")),""))</f>
        <v/>
      </c>
      <c r="E928" s="16">
        <f>IF($H928="","",IFERROR(INDEX(EvID,MATCH(INDEX(FormData,$H928,f_Event),EvID,0)),IFERROR(INDEX(EvID,MATCH(INDEX(FormData,$H928,f_Event),EvName,0)),IFERROR(INDEX(EvID,MATCH(INT($C928),EvDate,0)),"(no event that day)"))))</f>
        <v/>
      </c>
      <c r="F928" s="16">
        <f>IF($H928="","",IFERROR(IF(SUMPRODUCT(MAX((WhoKW&lt;&gt;"")*ISNUMBER(SEARCH(WhoKW,INDEX(FormData,$H928,f_Who)&amp;""))*(ROW(WhoKW)-MIN(ROW(WhoKW))+1)))=0,"",INDEX(WhoVal,SUMPRODUCT(MAX((WhoKW&lt;&gt;"")*ISNUMBER(SEARCH(WhoKW,INDEX(FormData,$H928,f_Who)&amp;""))*(ROW(WhoKW)-MIN(ROW(WhoKW))+1))))),""))</f>
        <v/>
      </c>
      <c r="G928" s="14">
        <f>IF($H928="","",IF(COUNTIF(People!$U$5:$U$604,$B928)+COUNTIF(People!$U$5:$U$604,$B928&amp;"")&gt;0,"✓ logged","→ add"))</f>
        <v/>
      </c>
      <c r="H928">
        <f>IFERROR(IF(INDEX(FormData,925,f_Id)&amp;""="","",925),"")</f>
        <v/>
      </c>
      <c r="I928" s="16">
        <f>IF($H928="","",IFERROR(INDEX(FormData,$H928,f_Need)&amp;"",""))</f>
        <v/>
      </c>
    </row>
    <row r="929">
      <c r="A929" s="14" t="n">
        <v>925</v>
      </c>
      <c r="B929" s="14">
        <f>IF($H929="","",INDEX(FormData,$H929,f_Id))</f>
        <v/>
      </c>
      <c r="C929" s="15">
        <f>IF($H929="","",IFERROR(INDEX(FormData,$H929,f_Time),""))</f>
        <v/>
      </c>
      <c r="D929" s="14">
        <f>IF($H929="","",IFERROR(UPPER(LEFT(TRIM(INDEX(FormData,$H929,f_Name)),1)&amp;IFERROR(MID(TRIM(INDEX(FormData,$H929,f_Name)),FIND("^",SUBSTITUTE(TRIM(INDEX(FormData,$H929,f_Name))," ","^",LEN(TRIM(INDEX(FormData,$H929,f_Name)))-LEN(SUBSTITUTE(TRIM(INDEX(FormData,$H929,f_Name))," ",""))))+1,1),"")),""))</f>
        <v/>
      </c>
      <c r="E929" s="16">
        <f>IF($H929="","",IFERROR(INDEX(EvID,MATCH(INDEX(FormData,$H929,f_Event),EvID,0)),IFERROR(INDEX(EvID,MATCH(INDEX(FormData,$H929,f_Event),EvName,0)),IFERROR(INDEX(EvID,MATCH(INT($C929),EvDate,0)),"(no event that day)"))))</f>
        <v/>
      </c>
      <c r="F929" s="16">
        <f>IF($H929="","",IFERROR(IF(SUMPRODUCT(MAX((WhoKW&lt;&gt;"")*ISNUMBER(SEARCH(WhoKW,INDEX(FormData,$H929,f_Who)&amp;""))*(ROW(WhoKW)-MIN(ROW(WhoKW))+1)))=0,"",INDEX(WhoVal,SUMPRODUCT(MAX((WhoKW&lt;&gt;"")*ISNUMBER(SEARCH(WhoKW,INDEX(FormData,$H929,f_Who)&amp;""))*(ROW(WhoKW)-MIN(ROW(WhoKW))+1))))),""))</f>
        <v/>
      </c>
      <c r="G929" s="14">
        <f>IF($H929="","",IF(COUNTIF(People!$U$5:$U$604,$B929)+COUNTIF(People!$U$5:$U$604,$B929&amp;"")&gt;0,"✓ logged","→ add"))</f>
        <v/>
      </c>
      <c r="H929">
        <f>IFERROR(IF(INDEX(FormData,926,f_Id)&amp;""="","",926),"")</f>
        <v/>
      </c>
      <c r="I929" s="16">
        <f>IF($H929="","",IFERROR(INDEX(FormData,$H929,f_Need)&amp;"",""))</f>
        <v/>
      </c>
    </row>
    <row r="930">
      <c r="A930" s="14" t="n">
        <v>926</v>
      </c>
      <c r="B930" s="14">
        <f>IF($H930="","",INDEX(FormData,$H930,f_Id))</f>
        <v/>
      </c>
      <c r="C930" s="15">
        <f>IF($H930="","",IFERROR(INDEX(FormData,$H930,f_Time),""))</f>
        <v/>
      </c>
      <c r="D930" s="14">
        <f>IF($H930="","",IFERROR(UPPER(LEFT(TRIM(INDEX(FormData,$H930,f_Name)),1)&amp;IFERROR(MID(TRIM(INDEX(FormData,$H930,f_Name)),FIND("^",SUBSTITUTE(TRIM(INDEX(FormData,$H930,f_Name))," ","^",LEN(TRIM(INDEX(FormData,$H930,f_Name)))-LEN(SUBSTITUTE(TRIM(INDEX(FormData,$H930,f_Name))," ",""))))+1,1),"")),""))</f>
        <v/>
      </c>
      <c r="E930" s="16">
        <f>IF($H930="","",IFERROR(INDEX(EvID,MATCH(INDEX(FormData,$H930,f_Event),EvID,0)),IFERROR(INDEX(EvID,MATCH(INDEX(FormData,$H930,f_Event),EvName,0)),IFERROR(INDEX(EvID,MATCH(INT($C930),EvDate,0)),"(no event that day)"))))</f>
        <v/>
      </c>
      <c r="F930" s="16">
        <f>IF($H930="","",IFERROR(IF(SUMPRODUCT(MAX((WhoKW&lt;&gt;"")*ISNUMBER(SEARCH(WhoKW,INDEX(FormData,$H930,f_Who)&amp;""))*(ROW(WhoKW)-MIN(ROW(WhoKW))+1)))=0,"",INDEX(WhoVal,SUMPRODUCT(MAX((WhoKW&lt;&gt;"")*ISNUMBER(SEARCH(WhoKW,INDEX(FormData,$H930,f_Who)&amp;""))*(ROW(WhoKW)-MIN(ROW(WhoKW))+1))))),""))</f>
        <v/>
      </c>
      <c r="G930" s="14">
        <f>IF($H930="","",IF(COUNTIF(People!$U$5:$U$604,$B930)+COUNTIF(People!$U$5:$U$604,$B930&amp;"")&gt;0,"✓ logged","→ add"))</f>
        <v/>
      </c>
      <c r="H930">
        <f>IFERROR(IF(INDEX(FormData,927,f_Id)&amp;""="","",927),"")</f>
        <v/>
      </c>
      <c r="I930" s="16">
        <f>IF($H930="","",IFERROR(INDEX(FormData,$H930,f_Need)&amp;"",""))</f>
        <v/>
      </c>
    </row>
    <row r="931">
      <c r="A931" s="14" t="n">
        <v>927</v>
      </c>
      <c r="B931" s="14">
        <f>IF($H931="","",INDEX(FormData,$H931,f_Id))</f>
        <v/>
      </c>
      <c r="C931" s="15">
        <f>IF($H931="","",IFERROR(INDEX(FormData,$H931,f_Time),""))</f>
        <v/>
      </c>
      <c r="D931" s="14">
        <f>IF($H931="","",IFERROR(UPPER(LEFT(TRIM(INDEX(FormData,$H931,f_Name)),1)&amp;IFERROR(MID(TRIM(INDEX(FormData,$H931,f_Name)),FIND("^",SUBSTITUTE(TRIM(INDEX(FormData,$H931,f_Name))," ","^",LEN(TRIM(INDEX(FormData,$H931,f_Name)))-LEN(SUBSTITUTE(TRIM(INDEX(FormData,$H931,f_Name))," ",""))))+1,1),"")),""))</f>
        <v/>
      </c>
      <c r="E931" s="16">
        <f>IF($H931="","",IFERROR(INDEX(EvID,MATCH(INDEX(FormData,$H931,f_Event),EvID,0)),IFERROR(INDEX(EvID,MATCH(INDEX(FormData,$H931,f_Event),EvName,0)),IFERROR(INDEX(EvID,MATCH(INT($C931),EvDate,0)),"(no event that day)"))))</f>
        <v/>
      </c>
      <c r="F931" s="16">
        <f>IF($H931="","",IFERROR(IF(SUMPRODUCT(MAX((WhoKW&lt;&gt;"")*ISNUMBER(SEARCH(WhoKW,INDEX(FormData,$H931,f_Who)&amp;""))*(ROW(WhoKW)-MIN(ROW(WhoKW))+1)))=0,"",INDEX(WhoVal,SUMPRODUCT(MAX((WhoKW&lt;&gt;"")*ISNUMBER(SEARCH(WhoKW,INDEX(FormData,$H931,f_Who)&amp;""))*(ROW(WhoKW)-MIN(ROW(WhoKW))+1))))),""))</f>
        <v/>
      </c>
      <c r="G931" s="14">
        <f>IF($H931="","",IF(COUNTIF(People!$U$5:$U$604,$B931)+COUNTIF(People!$U$5:$U$604,$B931&amp;"")&gt;0,"✓ logged","→ add"))</f>
        <v/>
      </c>
      <c r="H931">
        <f>IFERROR(IF(INDEX(FormData,928,f_Id)&amp;""="","",928),"")</f>
        <v/>
      </c>
      <c r="I931" s="16">
        <f>IF($H931="","",IFERROR(INDEX(FormData,$H931,f_Need)&amp;"",""))</f>
        <v/>
      </c>
    </row>
    <row r="932">
      <c r="A932" s="14" t="n">
        <v>928</v>
      </c>
      <c r="B932" s="14">
        <f>IF($H932="","",INDEX(FormData,$H932,f_Id))</f>
        <v/>
      </c>
      <c r="C932" s="15">
        <f>IF($H932="","",IFERROR(INDEX(FormData,$H932,f_Time),""))</f>
        <v/>
      </c>
      <c r="D932" s="14">
        <f>IF($H932="","",IFERROR(UPPER(LEFT(TRIM(INDEX(FormData,$H932,f_Name)),1)&amp;IFERROR(MID(TRIM(INDEX(FormData,$H932,f_Name)),FIND("^",SUBSTITUTE(TRIM(INDEX(FormData,$H932,f_Name))," ","^",LEN(TRIM(INDEX(FormData,$H932,f_Name)))-LEN(SUBSTITUTE(TRIM(INDEX(FormData,$H932,f_Name))," ",""))))+1,1),"")),""))</f>
        <v/>
      </c>
      <c r="E932" s="16">
        <f>IF($H932="","",IFERROR(INDEX(EvID,MATCH(INDEX(FormData,$H932,f_Event),EvID,0)),IFERROR(INDEX(EvID,MATCH(INDEX(FormData,$H932,f_Event),EvName,0)),IFERROR(INDEX(EvID,MATCH(INT($C932),EvDate,0)),"(no event that day)"))))</f>
        <v/>
      </c>
      <c r="F932" s="16">
        <f>IF($H932="","",IFERROR(IF(SUMPRODUCT(MAX((WhoKW&lt;&gt;"")*ISNUMBER(SEARCH(WhoKW,INDEX(FormData,$H932,f_Who)&amp;""))*(ROW(WhoKW)-MIN(ROW(WhoKW))+1)))=0,"",INDEX(WhoVal,SUMPRODUCT(MAX((WhoKW&lt;&gt;"")*ISNUMBER(SEARCH(WhoKW,INDEX(FormData,$H932,f_Who)&amp;""))*(ROW(WhoKW)-MIN(ROW(WhoKW))+1))))),""))</f>
        <v/>
      </c>
      <c r="G932" s="14">
        <f>IF($H932="","",IF(COUNTIF(People!$U$5:$U$604,$B932)+COUNTIF(People!$U$5:$U$604,$B932&amp;"")&gt;0,"✓ logged","→ add"))</f>
        <v/>
      </c>
      <c r="H932">
        <f>IFERROR(IF(INDEX(FormData,929,f_Id)&amp;""="","",929),"")</f>
        <v/>
      </c>
      <c r="I932" s="16">
        <f>IF($H932="","",IFERROR(INDEX(FormData,$H932,f_Need)&amp;"",""))</f>
        <v/>
      </c>
    </row>
    <row r="933">
      <c r="A933" s="14" t="n">
        <v>929</v>
      </c>
      <c r="B933" s="14">
        <f>IF($H933="","",INDEX(FormData,$H933,f_Id))</f>
        <v/>
      </c>
      <c r="C933" s="15">
        <f>IF($H933="","",IFERROR(INDEX(FormData,$H933,f_Time),""))</f>
        <v/>
      </c>
      <c r="D933" s="14">
        <f>IF($H933="","",IFERROR(UPPER(LEFT(TRIM(INDEX(FormData,$H933,f_Name)),1)&amp;IFERROR(MID(TRIM(INDEX(FormData,$H933,f_Name)),FIND("^",SUBSTITUTE(TRIM(INDEX(FormData,$H933,f_Name))," ","^",LEN(TRIM(INDEX(FormData,$H933,f_Name)))-LEN(SUBSTITUTE(TRIM(INDEX(FormData,$H933,f_Name))," ",""))))+1,1),"")),""))</f>
        <v/>
      </c>
      <c r="E933" s="16">
        <f>IF($H933="","",IFERROR(INDEX(EvID,MATCH(INDEX(FormData,$H933,f_Event),EvID,0)),IFERROR(INDEX(EvID,MATCH(INDEX(FormData,$H933,f_Event),EvName,0)),IFERROR(INDEX(EvID,MATCH(INT($C933),EvDate,0)),"(no event that day)"))))</f>
        <v/>
      </c>
      <c r="F933" s="16">
        <f>IF($H933="","",IFERROR(IF(SUMPRODUCT(MAX((WhoKW&lt;&gt;"")*ISNUMBER(SEARCH(WhoKW,INDEX(FormData,$H933,f_Who)&amp;""))*(ROW(WhoKW)-MIN(ROW(WhoKW))+1)))=0,"",INDEX(WhoVal,SUMPRODUCT(MAX((WhoKW&lt;&gt;"")*ISNUMBER(SEARCH(WhoKW,INDEX(FormData,$H933,f_Who)&amp;""))*(ROW(WhoKW)-MIN(ROW(WhoKW))+1))))),""))</f>
        <v/>
      </c>
      <c r="G933" s="14">
        <f>IF($H933="","",IF(COUNTIF(People!$U$5:$U$604,$B933)+COUNTIF(People!$U$5:$U$604,$B933&amp;"")&gt;0,"✓ logged","→ add"))</f>
        <v/>
      </c>
      <c r="H933">
        <f>IFERROR(IF(INDEX(FormData,930,f_Id)&amp;""="","",930),"")</f>
        <v/>
      </c>
      <c r="I933" s="16">
        <f>IF($H933="","",IFERROR(INDEX(FormData,$H933,f_Need)&amp;"",""))</f>
        <v/>
      </c>
    </row>
    <row r="934">
      <c r="A934" s="14" t="n">
        <v>930</v>
      </c>
      <c r="B934" s="14">
        <f>IF($H934="","",INDEX(FormData,$H934,f_Id))</f>
        <v/>
      </c>
      <c r="C934" s="15">
        <f>IF($H934="","",IFERROR(INDEX(FormData,$H934,f_Time),""))</f>
        <v/>
      </c>
      <c r="D934" s="14">
        <f>IF($H934="","",IFERROR(UPPER(LEFT(TRIM(INDEX(FormData,$H934,f_Name)),1)&amp;IFERROR(MID(TRIM(INDEX(FormData,$H934,f_Name)),FIND("^",SUBSTITUTE(TRIM(INDEX(FormData,$H934,f_Name))," ","^",LEN(TRIM(INDEX(FormData,$H934,f_Name)))-LEN(SUBSTITUTE(TRIM(INDEX(FormData,$H934,f_Name))," ",""))))+1,1),"")),""))</f>
        <v/>
      </c>
      <c r="E934" s="16">
        <f>IF($H934="","",IFERROR(INDEX(EvID,MATCH(INDEX(FormData,$H934,f_Event),EvID,0)),IFERROR(INDEX(EvID,MATCH(INDEX(FormData,$H934,f_Event),EvName,0)),IFERROR(INDEX(EvID,MATCH(INT($C934),EvDate,0)),"(no event that day)"))))</f>
        <v/>
      </c>
      <c r="F934" s="16">
        <f>IF($H934="","",IFERROR(IF(SUMPRODUCT(MAX((WhoKW&lt;&gt;"")*ISNUMBER(SEARCH(WhoKW,INDEX(FormData,$H934,f_Who)&amp;""))*(ROW(WhoKW)-MIN(ROW(WhoKW))+1)))=0,"",INDEX(WhoVal,SUMPRODUCT(MAX((WhoKW&lt;&gt;"")*ISNUMBER(SEARCH(WhoKW,INDEX(FormData,$H934,f_Who)&amp;""))*(ROW(WhoKW)-MIN(ROW(WhoKW))+1))))),""))</f>
        <v/>
      </c>
      <c r="G934" s="14">
        <f>IF($H934="","",IF(COUNTIF(People!$U$5:$U$604,$B934)+COUNTIF(People!$U$5:$U$604,$B934&amp;"")&gt;0,"✓ logged","→ add"))</f>
        <v/>
      </c>
      <c r="H934">
        <f>IFERROR(IF(INDEX(FormData,931,f_Id)&amp;""="","",931),"")</f>
        <v/>
      </c>
      <c r="I934" s="16">
        <f>IF($H934="","",IFERROR(INDEX(FormData,$H934,f_Need)&amp;"",""))</f>
        <v/>
      </c>
    </row>
    <row r="935">
      <c r="A935" s="14" t="n">
        <v>931</v>
      </c>
      <c r="B935" s="14">
        <f>IF($H935="","",INDEX(FormData,$H935,f_Id))</f>
        <v/>
      </c>
      <c r="C935" s="15">
        <f>IF($H935="","",IFERROR(INDEX(FormData,$H935,f_Time),""))</f>
        <v/>
      </c>
      <c r="D935" s="14">
        <f>IF($H935="","",IFERROR(UPPER(LEFT(TRIM(INDEX(FormData,$H935,f_Name)),1)&amp;IFERROR(MID(TRIM(INDEX(FormData,$H935,f_Name)),FIND("^",SUBSTITUTE(TRIM(INDEX(FormData,$H935,f_Name))," ","^",LEN(TRIM(INDEX(FormData,$H935,f_Name)))-LEN(SUBSTITUTE(TRIM(INDEX(FormData,$H935,f_Name))," ",""))))+1,1),"")),""))</f>
        <v/>
      </c>
      <c r="E935" s="16">
        <f>IF($H935="","",IFERROR(INDEX(EvID,MATCH(INDEX(FormData,$H935,f_Event),EvID,0)),IFERROR(INDEX(EvID,MATCH(INDEX(FormData,$H935,f_Event),EvName,0)),IFERROR(INDEX(EvID,MATCH(INT($C935),EvDate,0)),"(no event that day)"))))</f>
        <v/>
      </c>
      <c r="F935" s="16">
        <f>IF($H935="","",IFERROR(IF(SUMPRODUCT(MAX((WhoKW&lt;&gt;"")*ISNUMBER(SEARCH(WhoKW,INDEX(FormData,$H935,f_Who)&amp;""))*(ROW(WhoKW)-MIN(ROW(WhoKW))+1)))=0,"",INDEX(WhoVal,SUMPRODUCT(MAX((WhoKW&lt;&gt;"")*ISNUMBER(SEARCH(WhoKW,INDEX(FormData,$H935,f_Who)&amp;""))*(ROW(WhoKW)-MIN(ROW(WhoKW))+1))))),""))</f>
        <v/>
      </c>
      <c r="G935" s="14">
        <f>IF($H935="","",IF(COUNTIF(People!$U$5:$U$604,$B935)+COUNTIF(People!$U$5:$U$604,$B935&amp;"")&gt;0,"✓ logged","→ add"))</f>
        <v/>
      </c>
      <c r="H935">
        <f>IFERROR(IF(INDEX(FormData,932,f_Id)&amp;""="","",932),"")</f>
        <v/>
      </c>
      <c r="I935" s="16">
        <f>IF($H935="","",IFERROR(INDEX(FormData,$H935,f_Need)&amp;"",""))</f>
        <v/>
      </c>
    </row>
    <row r="936">
      <c r="A936" s="14" t="n">
        <v>932</v>
      </c>
      <c r="B936" s="14">
        <f>IF($H936="","",INDEX(FormData,$H936,f_Id))</f>
        <v/>
      </c>
      <c r="C936" s="15">
        <f>IF($H936="","",IFERROR(INDEX(FormData,$H936,f_Time),""))</f>
        <v/>
      </c>
      <c r="D936" s="14">
        <f>IF($H936="","",IFERROR(UPPER(LEFT(TRIM(INDEX(FormData,$H936,f_Name)),1)&amp;IFERROR(MID(TRIM(INDEX(FormData,$H936,f_Name)),FIND("^",SUBSTITUTE(TRIM(INDEX(FormData,$H936,f_Name))," ","^",LEN(TRIM(INDEX(FormData,$H936,f_Name)))-LEN(SUBSTITUTE(TRIM(INDEX(FormData,$H936,f_Name))," ",""))))+1,1),"")),""))</f>
        <v/>
      </c>
      <c r="E936" s="16">
        <f>IF($H936="","",IFERROR(INDEX(EvID,MATCH(INDEX(FormData,$H936,f_Event),EvID,0)),IFERROR(INDEX(EvID,MATCH(INDEX(FormData,$H936,f_Event),EvName,0)),IFERROR(INDEX(EvID,MATCH(INT($C936),EvDate,0)),"(no event that day)"))))</f>
        <v/>
      </c>
      <c r="F936" s="16">
        <f>IF($H936="","",IFERROR(IF(SUMPRODUCT(MAX((WhoKW&lt;&gt;"")*ISNUMBER(SEARCH(WhoKW,INDEX(FormData,$H936,f_Who)&amp;""))*(ROW(WhoKW)-MIN(ROW(WhoKW))+1)))=0,"",INDEX(WhoVal,SUMPRODUCT(MAX((WhoKW&lt;&gt;"")*ISNUMBER(SEARCH(WhoKW,INDEX(FormData,$H936,f_Who)&amp;""))*(ROW(WhoKW)-MIN(ROW(WhoKW))+1))))),""))</f>
        <v/>
      </c>
      <c r="G936" s="14">
        <f>IF($H936="","",IF(COUNTIF(People!$U$5:$U$604,$B936)+COUNTIF(People!$U$5:$U$604,$B936&amp;"")&gt;0,"✓ logged","→ add"))</f>
        <v/>
      </c>
      <c r="H936">
        <f>IFERROR(IF(INDEX(FormData,933,f_Id)&amp;""="","",933),"")</f>
        <v/>
      </c>
      <c r="I936" s="16">
        <f>IF($H936="","",IFERROR(INDEX(FormData,$H936,f_Need)&amp;"",""))</f>
        <v/>
      </c>
    </row>
    <row r="937">
      <c r="A937" s="14" t="n">
        <v>933</v>
      </c>
      <c r="B937" s="14">
        <f>IF($H937="","",INDEX(FormData,$H937,f_Id))</f>
        <v/>
      </c>
      <c r="C937" s="15">
        <f>IF($H937="","",IFERROR(INDEX(FormData,$H937,f_Time),""))</f>
        <v/>
      </c>
      <c r="D937" s="14">
        <f>IF($H937="","",IFERROR(UPPER(LEFT(TRIM(INDEX(FormData,$H937,f_Name)),1)&amp;IFERROR(MID(TRIM(INDEX(FormData,$H937,f_Name)),FIND("^",SUBSTITUTE(TRIM(INDEX(FormData,$H937,f_Name))," ","^",LEN(TRIM(INDEX(FormData,$H937,f_Name)))-LEN(SUBSTITUTE(TRIM(INDEX(FormData,$H937,f_Name))," ",""))))+1,1),"")),""))</f>
        <v/>
      </c>
      <c r="E937" s="16">
        <f>IF($H937="","",IFERROR(INDEX(EvID,MATCH(INDEX(FormData,$H937,f_Event),EvID,0)),IFERROR(INDEX(EvID,MATCH(INDEX(FormData,$H937,f_Event),EvName,0)),IFERROR(INDEX(EvID,MATCH(INT($C937),EvDate,0)),"(no event that day)"))))</f>
        <v/>
      </c>
      <c r="F937" s="16">
        <f>IF($H937="","",IFERROR(IF(SUMPRODUCT(MAX((WhoKW&lt;&gt;"")*ISNUMBER(SEARCH(WhoKW,INDEX(FormData,$H937,f_Who)&amp;""))*(ROW(WhoKW)-MIN(ROW(WhoKW))+1)))=0,"",INDEX(WhoVal,SUMPRODUCT(MAX((WhoKW&lt;&gt;"")*ISNUMBER(SEARCH(WhoKW,INDEX(FormData,$H937,f_Who)&amp;""))*(ROW(WhoKW)-MIN(ROW(WhoKW))+1))))),""))</f>
        <v/>
      </c>
      <c r="G937" s="14">
        <f>IF($H937="","",IF(COUNTIF(People!$U$5:$U$604,$B937)+COUNTIF(People!$U$5:$U$604,$B937&amp;"")&gt;0,"✓ logged","→ add"))</f>
        <v/>
      </c>
      <c r="H937">
        <f>IFERROR(IF(INDEX(FormData,934,f_Id)&amp;""="","",934),"")</f>
        <v/>
      </c>
      <c r="I937" s="16">
        <f>IF($H937="","",IFERROR(INDEX(FormData,$H937,f_Need)&amp;"",""))</f>
        <v/>
      </c>
    </row>
    <row r="938">
      <c r="A938" s="14" t="n">
        <v>934</v>
      </c>
      <c r="B938" s="14">
        <f>IF($H938="","",INDEX(FormData,$H938,f_Id))</f>
        <v/>
      </c>
      <c r="C938" s="15">
        <f>IF($H938="","",IFERROR(INDEX(FormData,$H938,f_Time),""))</f>
        <v/>
      </c>
      <c r="D938" s="14">
        <f>IF($H938="","",IFERROR(UPPER(LEFT(TRIM(INDEX(FormData,$H938,f_Name)),1)&amp;IFERROR(MID(TRIM(INDEX(FormData,$H938,f_Name)),FIND("^",SUBSTITUTE(TRIM(INDEX(FormData,$H938,f_Name))," ","^",LEN(TRIM(INDEX(FormData,$H938,f_Name)))-LEN(SUBSTITUTE(TRIM(INDEX(FormData,$H938,f_Name))," ",""))))+1,1),"")),""))</f>
        <v/>
      </c>
      <c r="E938" s="16">
        <f>IF($H938="","",IFERROR(INDEX(EvID,MATCH(INDEX(FormData,$H938,f_Event),EvID,0)),IFERROR(INDEX(EvID,MATCH(INDEX(FormData,$H938,f_Event),EvName,0)),IFERROR(INDEX(EvID,MATCH(INT($C938),EvDate,0)),"(no event that day)"))))</f>
        <v/>
      </c>
      <c r="F938" s="16">
        <f>IF($H938="","",IFERROR(IF(SUMPRODUCT(MAX((WhoKW&lt;&gt;"")*ISNUMBER(SEARCH(WhoKW,INDEX(FormData,$H938,f_Who)&amp;""))*(ROW(WhoKW)-MIN(ROW(WhoKW))+1)))=0,"",INDEX(WhoVal,SUMPRODUCT(MAX((WhoKW&lt;&gt;"")*ISNUMBER(SEARCH(WhoKW,INDEX(FormData,$H938,f_Who)&amp;""))*(ROW(WhoKW)-MIN(ROW(WhoKW))+1))))),""))</f>
        <v/>
      </c>
      <c r="G938" s="14">
        <f>IF($H938="","",IF(COUNTIF(People!$U$5:$U$604,$B938)+COUNTIF(People!$U$5:$U$604,$B938&amp;"")&gt;0,"✓ logged","→ add"))</f>
        <v/>
      </c>
      <c r="H938">
        <f>IFERROR(IF(INDEX(FormData,935,f_Id)&amp;""="","",935),"")</f>
        <v/>
      </c>
      <c r="I938" s="16">
        <f>IF($H938="","",IFERROR(INDEX(FormData,$H938,f_Need)&amp;"",""))</f>
        <v/>
      </c>
    </row>
    <row r="939">
      <c r="A939" s="14" t="n">
        <v>935</v>
      </c>
      <c r="B939" s="14">
        <f>IF($H939="","",INDEX(FormData,$H939,f_Id))</f>
        <v/>
      </c>
      <c r="C939" s="15">
        <f>IF($H939="","",IFERROR(INDEX(FormData,$H939,f_Time),""))</f>
        <v/>
      </c>
      <c r="D939" s="14">
        <f>IF($H939="","",IFERROR(UPPER(LEFT(TRIM(INDEX(FormData,$H939,f_Name)),1)&amp;IFERROR(MID(TRIM(INDEX(FormData,$H939,f_Name)),FIND("^",SUBSTITUTE(TRIM(INDEX(FormData,$H939,f_Name))," ","^",LEN(TRIM(INDEX(FormData,$H939,f_Name)))-LEN(SUBSTITUTE(TRIM(INDEX(FormData,$H939,f_Name))," ",""))))+1,1),"")),""))</f>
        <v/>
      </c>
      <c r="E939" s="16">
        <f>IF($H939="","",IFERROR(INDEX(EvID,MATCH(INDEX(FormData,$H939,f_Event),EvID,0)),IFERROR(INDEX(EvID,MATCH(INDEX(FormData,$H939,f_Event),EvName,0)),IFERROR(INDEX(EvID,MATCH(INT($C939),EvDate,0)),"(no event that day)"))))</f>
        <v/>
      </c>
      <c r="F939" s="16">
        <f>IF($H939="","",IFERROR(IF(SUMPRODUCT(MAX((WhoKW&lt;&gt;"")*ISNUMBER(SEARCH(WhoKW,INDEX(FormData,$H939,f_Who)&amp;""))*(ROW(WhoKW)-MIN(ROW(WhoKW))+1)))=0,"",INDEX(WhoVal,SUMPRODUCT(MAX((WhoKW&lt;&gt;"")*ISNUMBER(SEARCH(WhoKW,INDEX(FormData,$H939,f_Who)&amp;""))*(ROW(WhoKW)-MIN(ROW(WhoKW))+1))))),""))</f>
        <v/>
      </c>
      <c r="G939" s="14">
        <f>IF($H939="","",IF(COUNTIF(People!$U$5:$U$604,$B939)+COUNTIF(People!$U$5:$U$604,$B939&amp;"")&gt;0,"✓ logged","→ add"))</f>
        <v/>
      </c>
      <c r="H939">
        <f>IFERROR(IF(INDEX(FormData,936,f_Id)&amp;""="","",936),"")</f>
        <v/>
      </c>
      <c r="I939" s="16">
        <f>IF($H939="","",IFERROR(INDEX(FormData,$H939,f_Need)&amp;"",""))</f>
        <v/>
      </c>
    </row>
    <row r="940">
      <c r="A940" s="14" t="n">
        <v>936</v>
      </c>
      <c r="B940" s="14">
        <f>IF($H940="","",INDEX(FormData,$H940,f_Id))</f>
        <v/>
      </c>
      <c r="C940" s="15">
        <f>IF($H940="","",IFERROR(INDEX(FormData,$H940,f_Time),""))</f>
        <v/>
      </c>
      <c r="D940" s="14">
        <f>IF($H940="","",IFERROR(UPPER(LEFT(TRIM(INDEX(FormData,$H940,f_Name)),1)&amp;IFERROR(MID(TRIM(INDEX(FormData,$H940,f_Name)),FIND("^",SUBSTITUTE(TRIM(INDEX(FormData,$H940,f_Name))," ","^",LEN(TRIM(INDEX(FormData,$H940,f_Name)))-LEN(SUBSTITUTE(TRIM(INDEX(FormData,$H940,f_Name))," ",""))))+1,1),"")),""))</f>
        <v/>
      </c>
      <c r="E940" s="16">
        <f>IF($H940="","",IFERROR(INDEX(EvID,MATCH(INDEX(FormData,$H940,f_Event),EvID,0)),IFERROR(INDEX(EvID,MATCH(INDEX(FormData,$H940,f_Event),EvName,0)),IFERROR(INDEX(EvID,MATCH(INT($C940),EvDate,0)),"(no event that day)"))))</f>
        <v/>
      </c>
      <c r="F940" s="16">
        <f>IF($H940="","",IFERROR(IF(SUMPRODUCT(MAX((WhoKW&lt;&gt;"")*ISNUMBER(SEARCH(WhoKW,INDEX(FormData,$H940,f_Who)&amp;""))*(ROW(WhoKW)-MIN(ROW(WhoKW))+1)))=0,"",INDEX(WhoVal,SUMPRODUCT(MAX((WhoKW&lt;&gt;"")*ISNUMBER(SEARCH(WhoKW,INDEX(FormData,$H940,f_Who)&amp;""))*(ROW(WhoKW)-MIN(ROW(WhoKW))+1))))),""))</f>
        <v/>
      </c>
      <c r="G940" s="14">
        <f>IF($H940="","",IF(COUNTIF(People!$U$5:$U$604,$B940)+COUNTIF(People!$U$5:$U$604,$B940&amp;"")&gt;0,"✓ logged","→ add"))</f>
        <v/>
      </c>
      <c r="H940">
        <f>IFERROR(IF(INDEX(FormData,937,f_Id)&amp;""="","",937),"")</f>
        <v/>
      </c>
      <c r="I940" s="16">
        <f>IF($H940="","",IFERROR(INDEX(FormData,$H940,f_Need)&amp;"",""))</f>
        <v/>
      </c>
    </row>
    <row r="941">
      <c r="A941" s="14" t="n">
        <v>937</v>
      </c>
      <c r="B941" s="14">
        <f>IF($H941="","",INDEX(FormData,$H941,f_Id))</f>
        <v/>
      </c>
      <c r="C941" s="15">
        <f>IF($H941="","",IFERROR(INDEX(FormData,$H941,f_Time),""))</f>
        <v/>
      </c>
      <c r="D941" s="14">
        <f>IF($H941="","",IFERROR(UPPER(LEFT(TRIM(INDEX(FormData,$H941,f_Name)),1)&amp;IFERROR(MID(TRIM(INDEX(FormData,$H941,f_Name)),FIND("^",SUBSTITUTE(TRIM(INDEX(FormData,$H941,f_Name))," ","^",LEN(TRIM(INDEX(FormData,$H941,f_Name)))-LEN(SUBSTITUTE(TRIM(INDEX(FormData,$H941,f_Name))," ",""))))+1,1),"")),""))</f>
        <v/>
      </c>
      <c r="E941" s="16">
        <f>IF($H941="","",IFERROR(INDEX(EvID,MATCH(INDEX(FormData,$H941,f_Event),EvID,0)),IFERROR(INDEX(EvID,MATCH(INDEX(FormData,$H941,f_Event),EvName,0)),IFERROR(INDEX(EvID,MATCH(INT($C941),EvDate,0)),"(no event that day)"))))</f>
        <v/>
      </c>
      <c r="F941" s="16">
        <f>IF($H941="","",IFERROR(IF(SUMPRODUCT(MAX((WhoKW&lt;&gt;"")*ISNUMBER(SEARCH(WhoKW,INDEX(FormData,$H941,f_Who)&amp;""))*(ROW(WhoKW)-MIN(ROW(WhoKW))+1)))=0,"",INDEX(WhoVal,SUMPRODUCT(MAX((WhoKW&lt;&gt;"")*ISNUMBER(SEARCH(WhoKW,INDEX(FormData,$H941,f_Who)&amp;""))*(ROW(WhoKW)-MIN(ROW(WhoKW))+1))))),""))</f>
        <v/>
      </c>
      <c r="G941" s="14">
        <f>IF($H941="","",IF(COUNTIF(People!$U$5:$U$604,$B941)+COUNTIF(People!$U$5:$U$604,$B941&amp;"")&gt;0,"✓ logged","→ add"))</f>
        <v/>
      </c>
      <c r="H941">
        <f>IFERROR(IF(INDEX(FormData,938,f_Id)&amp;""="","",938),"")</f>
        <v/>
      </c>
      <c r="I941" s="16">
        <f>IF($H941="","",IFERROR(INDEX(FormData,$H941,f_Need)&amp;"",""))</f>
        <v/>
      </c>
    </row>
    <row r="942">
      <c r="A942" s="14" t="n">
        <v>938</v>
      </c>
      <c r="B942" s="14">
        <f>IF($H942="","",INDEX(FormData,$H942,f_Id))</f>
        <v/>
      </c>
      <c r="C942" s="15">
        <f>IF($H942="","",IFERROR(INDEX(FormData,$H942,f_Time),""))</f>
        <v/>
      </c>
      <c r="D942" s="14">
        <f>IF($H942="","",IFERROR(UPPER(LEFT(TRIM(INDEX(FormData,$H942,f_Name)),1)&amp;IFERROR(MID(TRIM(INDEX(FormData,$H942,f_Name)),FIND("^",SUBSTITUTE(TRIM(INDEX(FormData,$H942,f_Name))," ","^",LEN(TRIM(INDEX(FormData,$H942,f_Name)))-LEN(SUBSTITUTE(TRIM(INDEX(FormData,$H942,f_Name))," ",""))))+1,1),"")),""))</f>
        <v/>
      </c>
      <c r="E942" s="16">
        <f>IF($H942="","",IFERROR(INDEX(EvID,MATCH(INDEX(FormData,$H942,f_Event),EvID,0)),IFERROR(INDEX(EvID,MATCH(INDEX(FormData,$H942,f_Event),EvName,0)),IFERROR(INDEX(EvID,MATCH(INT($C942),EvDate,0)),"(no event that day)"))))</f>
        <v/>
      </c>
      <c r="F942" s="16">
        <f>IF($H942="","",IFERROR(IF(SUMPRODUCT(MAX((WhoKW&lt;&gt;"")*ISNUMBER(SEARCH(WhoKW,INDEX(FormData,$H942,f_Who)&amp;""))*(ROW(WhoKW)-MIN(ROW(WhoKW))+1)))=0,"",INDEX(WhoVal,SUMPRODUCT(MAX((WhoKW&lt;&gt;"")*ISNUMBER(SEARCH(WhoKW,INDEX(FormData,$H942,f_Who)&amp;""))*(ROW(WhoKW)-MIN(ROW(WhoKW))+1))))),""))</f>
        <v/>
      </c>
      <c r="G942" s="14">
        <f>IF($H942="","",IF(COUNTIF(People!$U$5:$U$604,$B942)+COUNTIF(People!$U$5:$U$604,$B942&amp;"")&gt;0,"✓ logged","→ add"))</f>
        <v/>
      </c>
      <c r="H942">
        <f>IFERROR(IF(INDEX(FormData,939,f_Id)&amp;""="","",939),"")</f>
        <v/>
      </c>
      <c r="I942" s="16">
        <f>IF($H942="","",IFERROR(INDEX(FormData,$H942,f_Need)&amp;"",""))</f>
        <v/>
      </c>
    </row>
    <row r="943">
      <c r="A943" s="14" t="n">
        <v>939</v>
      </c>
      <c r="B943" s="14">
        <f>IF($H943="","",INDEX(FormData,$H943,f_Id))</f>
        <v/>
      </c>
      <c r="C943" s="15">
        <f>IF($H943="","",IFERROR(INDEX(FormData,$H943,f_Time),""))</f>
        <v/>
      </c>
      <c r="D943" s="14">
        <f>IF($H943="","",IFERROR(UPPER(LEFT(TRIM(INDEX(FormData,$H943,f_Name)),1)&amp;IFERROR(MID(TRIM(INDEX(FormData,$H943,f_Name)),FIND("^",SUBSTITUTE(TRIM(INDEX(FormData,$H943,f_Name))," ","^",LEN(TRIM(INDEX(FormData,$H943,f_Name)))-LEN(SUBSTITUTE(TRIM(INDEX(FormData,$H943,f_Name))," ",""))))+1,1),"")),""))</f>
        <v/>
      </c>
      <c r="E943" s="16">
        <f>IF($H943="","",IFERROR(INDEX(EvID,MATCH(INDEX(FormData,$H943,f_Event),EvID,0)),IFERROR(INDEX(EvID,MATCH(INDEX(FormData,$H943,f_Event),EvName,0)),IFERROR(INDEX(EvID,MATCH(INT($C943),EvDate,0)),"(no event that day)"))))</f>
        <v/>
      </c>
      <c r="F943" s="16">
        <f>IF($H943="","",IFERROR(IF(SUMPRODUCT(MAX((WhoKW&lt;&gt;"")*ISNUMBER(SEARCH(WhoKW,INDEX(FormData,$H943,f_Who)&amp;""))*(ROW(WhoKW)-MIN(ROW(WhoKW))+1)))=0,"",INDEX(WhoVal,SUMPRODUCT(MAX((WhoKW&lt;&gt;"")*ISNUMBER(SEARCH(WhoKW,INDEX(FormData,$H943,f_Who)&amp;""))*(ROW(WhoKW)-MIN(ROW(WhoKW))+1))))),""))</f>
        <v/>
      </c>
      <c r="G943" s="14">
        <f>IF($H943="","",IF(COUNTIF(People!$U$5:$U$604,$B943)+COUNTIF(People!$U$5:$U$604,$B943&amp;"")&gt;0,"✓ logged","→ add"))</f>
        <v/>
      </c>
      <c r="H943">
        <f>IFERROR(IF(INDEX(FormData,940,f_Id)&amp;""="","",940),"")</f>
        <v/>
      </c>
      <c r="I943" s="16">
        <f>IF($H943="","",IFERROR(INDEX(FormData,$H943,f_Need)&amp;"",""))</f>
        <v/>
      </c>
    </row>
    <row r="944">
      <c r="A944" s="14" t="n">
        <v>940</v>
      </c>
      <c r="B944" s="14">
        <f>IF($H944="","",INDEX(FormData,$H944,f_Id))</f>
        <v/>
      </c>
      <c r="C944" s="15">
        <f>IF($H944="","",IFERROR(INDEX(FormData,$H944,f_Time),""))</f>
        <v/>
      </c>
      <c r="D944" s="14">
        <f>IF($H944="","",IFERROR(UPPER(LEFT(TRIM(INDEX(FormData,$H944,f_Name)),1)&amp;IFERROR(MID(TRIM(INDEX(FormData,$H944,f_Name)),FIND("^",SUBSTITUTE(TRIM(INDEX(FormData,$H944,f_Name))," ","^",LEN(TRIM(INDEX(FormData,$H944,f_Name)))-LEN(SUBSTITUTE(TRIM(INDEX(FormData,$H944,f_Name))," ",""))))+1,1),"")),""))</f>
        <v/>
      </c>
      <c r="E944" s="16">
        <f>IF($H944="","",IFERROR(INDEX(EvID,MATCH(INDEX(FormData,$H944,f_Event),EvID,0)),IFERROR(INDEX(EvID,MATCH(INDEX(FormData,$H944,f_Event),EvName,0)),IFERROR(INDEX(EvID,MATCH(INT($C944),EvDate,0)),"(no event that day)"))))</f>
        <v/>
      </c>
      <c r="F944" s="16">
        <f>IF($H944="","",IFERROR(IF(SUMPRODUCT(MAX((WhoKW&lt;&gt;"")*ISNUMBER(SEARCH(WhoKW,INDEX(FormData,$H944,f_Who)&amp;""))*(ROW(WhoKW)-MIN(ROW(WhoKW))+1)))=0,"",INDEX(WhoVal,SUMPRODUCT(MAX((WhoKW&lt;&gt;"")*ISNUMBER(SEARCH(WhoKW,INDEX(FormData,$H944,f_Who)&amp;""))*(ROW(WhoKW)-MIN(ROW(WhoKW))+1))))),""))</f>
        <v/>
      </c>
      <c r="G944" s="14">
        <f>IF($H944="","",IF(COUNTIF(People!$U$5:$U$604,$B944)+COUNTIF(People!$U$5:$U$604,$B944&amp;"")&gt;0,"✓ logged","→ add"))</f>
        <v/>
      </c>
      <c r="H944">
        <f>IFERROR(IF(INDEX(FormData,941,f_Id)&amp;""="","",941),"")</f>
        <v/>
      </c>
      <c r="I944" s="16">
        <f>IF($H944="","",IFERROR(INDEX(FormData,$H944,f_Need)&amp;"",""))</f>
        <v/>
      </c>
    </row>
    <row r="945">
      <c r="A945" s="14" t="n">
        <v>941</v>
      </c>
      <c r="B945" s="14">
        <f>IF($H945="","",INDEX(FormData,$H945,f_Id))</f>
        <v/>
      </c>
      <c r="C945" s="15">
        <f>IF($H945="","",IFERROR(INDEX(FormData,$H945,f_Time),""))</f>
        <v/>
      </c>
      <c r="D945" s="14">
        <f>IF($H945="","",IFERROR(UPPER(LEFT(TRIM(INDEX(FormData,$H945,f_Name)),1)&amp;IFERROR(MID(TRIM(INDEX(FormData,$H945,f_Name)),FIND("^",SUBSTITUTE(TRIM(INDEX(FormData,$H945,f_Name))," ","^",LEN(TRIM(INDEX(FormData,$H945,f_Name)))-LEN(SUBSTITUTE(TRIM(INDEX(FormData,$H945,f_Name))," ",""))))+1,1),"")),""))</f>
        <v/>
      </c>
      <c r="E945" s="16">
        <f>IF($H945="","",IFERROR(INDEX(EvID,MATCH(INDEX(FormData,$H945,f_Event),EvID,0)),IFERROR(INDEX(EvID,MATCH(INDEX(FormData,$H945,f_Event),EvName,0)),IFERROR(INDEX(EvID,MATCH(INT($C945),EvDate,0)),"(no event that day)"))))</f>
        <v/>
      </c>
      <c r="F945" s="16">
        <f>IF($H945="","",IFERROR(IF(SUMPRODUCT(MAX((WhoKW&lt;&gt;"")*ISNUMBER(SEARCH(WhoKW,INDEX(FormData,$H945,f_Who)&amp;""))*(ROW(WhoKW)-MIN(ROW(WhoKW))+1)))=0,"",INDEX(WhoVal,SUMPRODUCT(MAX((WhoKW&lt;&gt;"")*ISNUMBER(SEARCH(WhoKW,INDEX(FormData,$H945,f_Who)&amp;""))*(ROW(WhoKW)-MIN(ROW(WhoKW))+1))))),""))</f>
        <v/>
      </c>
      <c r="G945" s="14">
        <f>IF($H945="","",IF(COUNTIF(People!$U$5:$U$604,$B945)+COUNTIF(People!$U$5:$U$604,$B945&amp;"")&gt;0,"✓ logged","→ add"))</f>
        <v/>
      </c>
      <c r="H945">
        <f>IFERROR(IF(INDEX(FormData,942,f_Id)&amp;""="","",942),"")</f>
        <v/>
      </c>
      <c r="I945" s="16">
        <f>IF($H945="","",IFERROR(INDEX(FormData,$H945,f_Need)&amp;"",""))</f>
        <v/>
      </c>
    </row>
    <row r="946">
      <c r="A946" s="14" t="n">
        <v>942</v>
      </c>
      <c r="B946" s="14">
        <f>IF($H946="","",INDEX(FormData,$H946,f_Id))</f>
        <v/>
      </c>
      <c r="C946" s="15">
        <f>IF($H946="","",IFERROR(INDEX(FormData,$H946,f_Time),""))</f>
        <v/>
      </c>
      <c r="D946" s="14">
        <f>IF($H946="","",IFERROR(UPPER(LEFT(TRIM(INDEX(FormData,$H946,f_Name)),1)&amp;IFERROR(MID(TRIM(INDEX(FormData,$H946,f_Name)),FIND("^",SUBSTITUTE(TRIM(INDEX(FormData,$H946,f_Name))," ","^",LEN(TRIM(INDEX(FormData,$H946,f_Name)))-LEN(SUBSTITUTE(TRIM(INDEX(FormData,$H946,f_Name))," ",""))))+1,1),"")),""))</f>
        <v/>
      </c>
      <c r="E946" s="16">
        <f>IF($H946="","",IFERROR(INDEX(EvID,MATCH(INDEX(FormData,$H946,f_Event),EvID,0)),IFERROR(INDEX(EvID,MATCH(INDEX(FormData,$H946,f_Event),EvName,0)),IFERROR(INDEX(EvID,MATCH(INT($C946),EvDate,0)),"(no event that day)"))))</f>
        <v/>
      </c>
      <c r="F946" s="16">
        <f>IF($H946="","",IFERROR(IF(SUMPRODUCT(MAX((WhoKW&lt;&gt;"")*ISNUMBER(SEARCH(WhoKW,INDEX(FormData,$H946,f_Who)&amp;""))*(ROW(WhoKW)-MIN(ROW(WhoKW))+1)))=0,"",INDEX(WhoVal,SUMPRODUCT(MAX((WhoKW&lt;&gt;"")*ISNUMBER(SEARCH(WhoKW,INDEX(FormData,$H946,f_Who)&amp;""))*(ROW(WhoKW)-MIN(ROW(WhoKW))+1))))),""))</f>
        <v/>
      </c>
      <c r="G946" s="14">
        <f>IF($H946="","",IF(COUNTIF(People!$U$5:$U$604,$B946)+COUNTIF(People!$U$5:$U$604,$B946&amp;"")&gt;0,"✓ logged","→ add"))</f>
        <v/>
      </c>
      <c r="H946">
        <f>IFERROR(IF(INDEX(FormData,943,f_Id)&amp;""="","",943),"")</f>
        <v/>
      </c>
      <c r="I946" s="16">
        <f>IF($H946="","",IFERROR(INDEX(FormData,$H946,f_Need)&amp;"",""))</f>
        <v/>
      </c>
    </row>
    <row r="947">
      <c r="A947" s="14" t="n">
        <v>943</v>
      </c>
      <c r="B947" s="14">
        <f>IF($H947="","",INDEX(FormData,$H947,f_Id))</f>
        <v/>
      </c>
      <c r="C947" s="15">
        <f>IF($H947="","",IFERROR(INDEX(FormData,$H947,f_Time),""))</f>
        <v/>
      </c>
      <c r="D947" s="14">
        <f>IF($H947="","",IFERROR(UPPER(LEFT(TRIM(INDEX(FormData,$H947,f_Name)),1)&amp;IFERROR(MID(TRIM(INDEX(FormData,$H947,f_Name)),FIND("^",SUBSTITUTE(TRIM(INDEX(FormData,$H947,f_Name))," ","^",LEN(TRIM(INDEX(FormData,$H947,f_Name)))-LEN(SUBSTITUTE(TRIM(INDEX(FormData,$H947,f_Name))," ",""))))+1,1),"")),""))</f>
        <v/>
      </c>
      <c r="E947" s="16">
        <f>IF($H947="","",IFERROR(INDEX(EvID,MATCH(INDEX(FormData,$H947,f_Event),EvID,0)),IFERROR(INDEX(EvID,MATCH(INDEX(FormData,$H947,f_Event),EvName,0)),IFERROR(INDEX(EvID,MATCH(INT($C947),EvDate,0)),"(no event that day)"))))</f>
        <v/>
      </c>
      <c r="F947" s="16">
        <f>IF($H947="","",IFERROR(IF(SUMPRODUCT(MAX((WhoKW&lt;&gt;"")*ISNUMBER(SEARCH(WhoKW,INDEX(FormData,$H947,f_Who)&amp;""))*(ROW(WhoKW)-MIN(ROW(WhoKW))+1)))=0,"",INDEX(WhoVal,SUMPRODUCT(MAX((WhoKW&lt;&gt;"")*ISNUMBER(SEARCH(WhoKW,INDEX(FormData,$H947,f_Who)&amp;""))*(ROW(WhoKW)-MIN(ROW(WhoKW))+1))))),""))</f>
        <v/>
      </c>
      <c r="G947" s="14">
        <f>IF($H947="","",IF(COUNTIF(People!$U$5:$U$604,$B947)+COUNTIF(People!$U$5:$U$604,$B947&amp;"")&gt;0,"✓ logged","→ add"))</f>
        <v/>
      </c>
      <c r="H947">
        <f>IFERROR(IF(INDEX(FormData,944,f_Id)&amp;""="","",944),"")</f>
        <v/>
      </c>
      <c r="I947" s="16">
        <f>IF($H947="","",IFERROR(INDEX(FormData,$H947,f_Need)&amp;"",""))</f>
        <v/>
      </c>
    </row>
    <row r="948">
      <c r="A948" s="14" t="n">
        <v>944</v>
      </c>
      <c r="B948" s="14">
        <f>IF($H948="","",INDEX(FormData,$H948,f_Id))</f>
        <v/>
      </c>
      <c r="C948" s="15">
        <f>IF($H948="","",IFERROR(INDEX(FormData,$H948,f_Time),""))</f>
        <v/>
      </c>
      <c r="D948" s="14">
        <f>IF($H948="","",IFERROR(UPPER(LEFT(TRIM(INDEX(FormData,$H948,f_Name)),1)&amp;IFERROR(MID(TRIM(INDEX(FormData,$H948,f_Name)),FIND("^",SUBSTITUTE(TRIM(INDEX(FormData,$H948,f_Name))," ","^",LEN(TRIM(INDEX(FormData,$H948,f_Name)))-LEN(SUBSTITUTE(TRIM(INDEX(FormData,$H948,f_Name))," ",""))))+1,1),"")),""))</f>
        <v/>
      </c>
      <c r="E948" s="16">
        <f>IF($H948="","",IFERROR(INDEX(EvID,MATCH(INDEX(FormData,$H948,f_Event),EvID,0)),IFERROR(INDEX(EvID,MATCH(INDEX(FormData,$H948,f_Event),EvName,0)),IFERROR(INDEX(EvID,MATCH(INT($C948),EvDate,0)),"(no event that day)"))))</f>
        <v/>
      </c>
      <c r="F948" s="16">
        <f>IF($H948="","",IFERROR(IF(SUMPRODUCT(MAX((WhoKW&lt;&gt;"")*ISNUMBER(SEARCH(WhoKW,INDEX(FormData,$H948,f_Who)&amp;""))*(ROW(WhoKW)-MIN(ROW(WhoKW))+1)))=0,"",INDEX(WhoVal,SUMPRODUCT(MAX((WhoKW&lt;&gt;"")*ISNUMBER(SEARCH(WhoKW,INDEX(FormData,$H948,f_Who)&amp;""))*(ROW(WhoKW)-MIN(ROW(WhoKW))+1))))),""))</f>
        <v/>
      </c>
      <c r="G948" s="14">
        <f>IF($H948="","",IF(COUNTIF(People!$U$5:$U$604,$B948)+COUNTIF(People!$U$5:$U$604,$B948&amp;"")&gt;0,"✓ logged","→ add"))</f>
        <v/>
      </c>
      <c r="H948">
        <f>IFERROR(IF(INDEX(FormData,945,f_Id)&amp;""="","",945),"")</f>
        <v/>
      </c>
      <c r="I948" s="16">
        <f>IF($H948="","",IFERROR(INDEX(FormData,$H948,f_Need)&amp;"",""))</f>
        <v/>
      </c>
    </row>
    <row r="949">
      <c r="A949" s="14" t="n">
        <v>945</v>
      </c>
      <c r="B949" s="14">
        <f>IF($H949="","",INDEX(FormData,$H949,f_Id))</f>
        <v/>
      </c>
      <c r="C949" s="15">
        <f>IF($H949="","",IFERROR(INDEX(FormData,$H949,f_Time),""))</f>
        <v/>
      </c>
      <c r="D949" s="14">
        <f>IF($H949="","",IFERROR(UPPER(LEFT(TRIM(INDEX(FormData,$H949,f_Name)),1)&amp;IFERROR(MID(TRIM(INDEX(FormData,$H949,f_Name)),FIND("^",SUBSTITUTE(TRIM(INDEX(FormData,$H949,f_Name))," ","^",LEN(TRIM(INDEX(FormData,$H949,f_Name)))-LEN(SUBSTITUTE(TRIM(INDEX(FormData,$H949,f_Name))," ",""))))+1,1),"")),""))</f>
        <v/>
      </c>
      <c r="E949" s="16">
        <f>IF($H949="","",IFERROR(INDEX(EvID,MATCH(INDEX(FormData,$H949,f_Event),EvID,0)),IFERROR(INDEX(EvID,MATCH(INDEX(FormData,$H949,f_Event),EvName,0)),IFERROR(INDEX(EvID,MATCH(INT($C949),EvDate,0)),"(no event that day)"))))</f>
        <v/>
      </c>
      <c r="F949" s="16">
        <f>IF($H949="","",IFERROR(IF(SUMPRODUCT(MAX((WhoKW&lt;&gt;"")*ISNUMBER(SEARCH(WhoKW,INDEX(FormData,$H949,f_Who)&amp;""))*(ROW(WhoKW)-MIN(ROW(WhoKW))+1)))=0,"",INDEX(WhoVal,SUMPRODUCT(MAX((WhoKW&lt;&gt;"")*ISNUMBER(SEARCH(WhoKW,INDEX(FormData,$H949,f_Who)&amp;""))*(ROW(WhoKW)-MIN(ROW(WhoKW))+1))))),""))</f>
        <v/>
      </c>
      <c r="G949" s="14">
        <f>IF($H949="","",IF(COUNTIF(People!$U$5:$U$604,$B949)+COUNTIF(People!$U$5:$U$604,$B949&amp;"")&gt;0,"✓ logged","→ add"))</f>
        <v/>
      </c>
      <c r="H949">
        <f>IFERROR(IF(INDEX(FormData,946,f_Id)&amp;""="","",946),"")</f>
        <v/>
      </c>
      <c r="I949" s="16">
        <f>IF($H949="","",IFERROR(INDEX(FormData,$H949,f_Need)&amp;"",""))</f>
        <v/>
      </c>
    </row>
    <row r="950">
      <c r="A950" s="14" t="n">
        <v>946</v>
      </c>
      <c r="B950" s="14">
        <f>IF($H950="","",INDEX(FormData,$H950,f_Id))</f>
        <v/>
      </c>
      <c r="C950" s="15">
        <f>IF($H950="","",IFERROR(INDEX(FormData,$H950,f_Time),""))</f>
        <v/>
      </c>
      <c r="D950" s="14">
        <f>IF($H950="","",IFERROR(UPPER(LEFT(TRIM(INDEX(FormData,$H950,f_Name)),1)&amp;IFERROR(MID(TRIM(INDEX(FormData,$H950,f_Name)),FIND("^",SUBSTITUTE(TRIM(INDEX(FormData,$H950,f_Name))," ","^",LEN(TRIM(INDEX(FormData,$H950,f_Name)))-LEN(SUBSTITUTE(TRIM(INDEX(FormData,$H950,f_Name))," ",""))))+1,1),"")),""))</f>
        <v/>
      </c>
      <c r="E950" s="16">
        <f>IF($H950="","",IFERROR(INDEX(EvID,MATCH(INDEX(FormData,$H950,f_Event),EvID,0)),IFERROR(INDEX(EvID,MATCH(INDEX(FormData,$H950,f_Event),EvName,0)),IFERROR(INDEX(EvID,MATCH(INT($C950),EvDate,0)),"(no event that day)"))))</f>
        <v/>
      </c>
      <c r="F950" s="16">
        <f>IF($H950="","",IFERROR(IF(SUMPRODUCT(MAX((WhoKW&lt;&gt;"")*ISNUMBER(SEARCH(WhoKW,INDEX(FormData,$H950,f_Who)&amp;""))*(ROW(WhoKW)-MIN(ROW(WhoKW))+1)))=0,"",INDEX(WhoVal,SUMPRODUCT(MAX((WhoKW&lt;&gt;"")*ISNUMBER(SEARCH(WhoKW,INDEX(FormData,$H950,f_Who)&amp;""))*(ROW(WhoKW)-MIN(ROW(WhoKW))+1))))),""))</f>
        <v/>
      </c>
      <c r="G950" s="14">
        <f>IF($H950="","",IF(COUNTIF(People!$U$5:$U$604,$B950)+COUNTIF(People!$U$5:$U$604,$B950&amp;"")&gt;0,"✓ logged","→ add"))</f>
        <v/>
      </c>
      <c r="H950">
        <f>IFERROR(IF(INDEX(FormData,947,f_Id)&amp;""="","",947),"")</f>
        <v/>
      </c>
      <c r="I950" s="16">
        <f>IF($H950="","",IFERROR(INDEX(FormData,$H950,f_Need)&amp;"",""))</f>
        <v/>
      </c>
    </row>
    <row r="951">
      <c r="A951" s="14" t="n">
        <v>947</v>
      </c>
      <c r="B951" s="14">
        <f>IF($H951="","",INDEX(FormData,$H951,f_Id))</f>
        <v/>
      </c>
      <c r="C951" s="15">
        <f>IF($H951="","",IFERROR(INDEX(FormData,$H951,f_Time),""))</f>
        <v/>
      </c>
      <c r="D951" s="14">
        <f>IF($H951="","",IFERROR(UPPER(LEFT(TRIM(INDEX(FormData,$H951,f_Name)),1)&amp;IFERROR(MID(TRIM(INDEX(FormData,$H951,f_Name)),FIND("^",SUBSTITUTE(TRIM(INDEX(FormData,$H951,f_Name))," ","^",LEN(TRIM(INDEX(FormData,$H951,f_Name)))-LEN(SUBSTITUTE(TRIM(INDEX(FormData,$H951,f_Name))," ",""))))+1,1),"")),""))</f>
        <v/>
      </c>
      <c r="E951" s="16">
        <f>IF($H951="","",IFERROR(INDEX(EvID,MATCH(INDEX(FormData,$H951,f_Event),EvID,0)),IFERROR(INDEX(EvID,MATCH(INDEX(FormData,$H951,f_Event),EvName,0)),IFERROR(INDEX(EvID,MATCH(INT($C951),EvDate,0)),"(no event that day)"))))</f>
        <v/>
      </c>
      <c r="F951" s="16">
        <f>IF($H951="","",IFERROR(IF(SUMPRODUCT(MAX((WhoKW&lt;&gt;"")*ISNUMBER(SEARCH(WhoKW,INDEX(FormData,$H951,f_Who)&amp;""))*(ROW(WhoKW)-MIN(ROW(WhoKW))+1)))=0,"",INDEX(WhoVal,SUMPRODUCT(MAX((WhoKW&lt;&gt;"")*ISNUMBER(SEARCH(WhoKW,INDEX(FormData,$H951,f_Who)&amp;""))*(ROW(WhoKW)-MIN(ROW(WhoKW))+1))))),""))</f>
        <v/>
      </c>
      <c r="G951" s="14">
        <f>IF($H951="","",IF(COUNTIF(People!$U$5:$U$604,$B951)+COUNTIF(People!$U$5:$U$604,$B951&amp;"")&gt;0,"✓ logged","→ add"))</f>
        <v/>
      </c>
      <c r="H951">
        <f>IFERROR(IF(INDEX(FormData,948,f_Id)&amp;""="","",948),"")</f>
        <v/>
      </c>
      <c r="I951" s="16">
        <f>IF($H951="","",IFERROR(INDEX(FormData,$H951,f_Need)&amp;"",""))</f>
        <v/>
      </c>
    </row>
    <row r="952">
      <c r="A952" s="14" t="n">
        <v>948</v>
      </c>
      <c r="B952" s="14">
        <f>IF($H952="","",INDEX(FormData,$H952,f_Id))</f>
        <v/>
      </c>
      <c r="C952" s="15">
        <f>IF($H952="","",IFERROR(INDEX(FormData,$H952,f_Time),""))</f>
        <v/>
      </c>
      <c r="D952" s="14">
        <f>IF($H952="","",IFERROR(UPPER(LEFT(TRIM(INDEX(FormData,$H952,f_Name)),1)&amp;IFERROR(MID(TRIM(INDEX(FormData,$H952,f_Name)),FIND("^",SUBSTITUTE(TRIM(INDEX(FormData,$H952,f_Name))," ","^",LEN(TRIM(INDEX(FormData,$H952,f_Name)))-LEN(SUBSTITUTE(TRIM(INDEX(FormData,$H952,f_Name))," ",""))))+1,1),"")),""))</f>
        <v/>
      </c>
      <c r="E952" s="16">
        <f>IF($H952="","",IFERROR(INDEX(EvID,MATCH(INDEX(FormData,$H952,f_Event),EvID,0)),IFERROR(INDEX(EvID,MATCH(INDEX(FormData,$H952,f_Event),EvName,0)),IFERROR(INDEX(EvID,MATCH(INT($C952),EvDate,0)),"(no event that day)"))))</f>
        <v/>
      </c>
      <c r="F952" s="16">
        <f>IF($H952="","",IFERROR(IF(SUMPRODUCT(MAX((WhoKW&lt;&gt;"")*ISNUMBER(SEARCH(WhoKW,INDEX(FormData,$H952,f_Who)&amp;""))*(ROW(WhoKW)-MIN(ROW(WhoKW))+1)))=0,"",INDEX(WhoVal,SUMPRODUCT(MAX((WhoKW&lt;&gt;"")*ISNUMBER(SEARCH(WhoKW,INDEX(FormData,$H952,f_Who)&amp;""))*(ROW(WhoKW)-MIN(ROW(WhoKW))+1))))),""))</f>
        <v/>
      </c>
      <c r="G952" s="14">
        <f>IF($H952="","",IF(COUNTIF(People!$U$5:$U$604,$B952)+COUNTIF(People!$U$5:$U$604,$B952&amp;"")&gt;0,"✓ logged","→ add"))</f>
        <v/>
      </c>
      <c r="H952">
        <f>IFERROR(IF(INDEX(FormData,949,f_Id)&amp;""="","",949),"")</f>
        <v/>
      </c>
      <c r="I952" s="16">
        <f>IF($H952="","",IFERROR(INDEX(FormData,$H952,f_Need)&amp;"",""))</f>
        <v/>
      </c>
    </row>
    <row r="953">
      <c r="A953" s="14" t="n">
        <v>949</v>
      </c>
      <c r="B953" s="14">
        <f>IF($H953="","",INDEX(FormData,$H953,f_Id))</f>
        <v/>
      </c>
      <c r="C953" s="15">
        <f>IF($H953="","",IFERROR(INDEX(FormData,$H953,f_Time),""))</f>
        <v/>
      </c>
      <c r="D953" s="14">
        <f>IF($H953="","",IFERROR(UPPER(LEFT(TRIM(INDEX(FormData,$H953,f_Name)),1)&amp;IFERROR(MID(TRIM(INDEX(FormData,$H953,f_Name)),FIND("^",SUBSTITUTE(TRIM(INDEX(FormData,$H953,f_Name))," ","^",LEN(TRIM(INDEX(FormData,$H953,f_Name)))-LEN(SUBSTITUTE(TRIM(INDEX(FormData,$H953,f_Name))," ",""))))+1,1),"")),""))</f>
        <v/>
      </c>
      <c r="E953" s="16">
        <f>IF($H953="","",IFERROR(INDEX(EvID,MATCH(INDEX(FormData,$H953,f_Event),EvID,0)),IFERROR(INDEX(EvID,MATCH(INDEX(FormData,$H953,f_Event),EvName,0)),IFERROR(INDEX(EvID,MATCH(INT($C953),EvDate,0)),"(no event that day)"))))</f>
        <v/>
      </c>
      <c r="F953" s="16">
        <f>IF($H953="","",IFERROR(IF(SUMPRODUCT(MAX((WhoKW&lt;&gt;"")*ISNUMBER(SEARCH(WhoKW,INDEX(FormData,$H953,f_Who)&amp;""))*(ROW(WhoKW)-MIN(ROW(WhoKW))+1)))=0,"",INDEX(WhoVal,SUMPRODUCT(MAX((WhoKW&lt;&gt;"")*ISNUMBER(SEARCH(WhoKW,INDEX(FormData,$H953,f_Who)&amp;""))*(ROW(WhoKW)-MIN(ROW(WhoKW))+1))))),""))</f>
        <v/>
      </c>
      <c r="G953" s="14">
        <f>IF($H953="","",IF(COUNTIF(People!$U$5:$U$604,$B953)+COUNTIF(People!$U$5:$U$604,$B953&amp;"")&gt;0,"✓ logged","→ add"))</f>
        <v/>
      </c>
      <c r="H953">
        <f>IFERROR(IF(INDEX(FormData,950,f_Id)&amp;""="","",950),"")</f>
        <v/>
      </c>
      <c r="I953" s="16">
        <f>IF($H953="","",IFERROR(INDEX(FormData,$H953,f_Need)&amp;"",""))</f>
        <v/>
      </c>
    </row>
    <row r="954">
      <c r="A954" s="14" t="n">
        <v>950</v>
      </c>
      <c r="B954" s="14">
        <f>IF($H954="","",INDEX(FormData,$H954,f_Id))</f>
        <v/>
      </c>
      <c r="C954" s="15">
        <f>IF($H954="","",IFERROR(INDEX(FormData,$H954,f_Time),""))</f>
        <v/>
      </c>
      <c r="D954" s="14">
        <f>IF($H954="","",IFERROR(UPPER(LEFT(TRIM(INDEX(FormData,$H954,f_Name)),1)&amp;IFERROR(MID(TRIM(INDEX(FormData,$H954,f_Name)),FIND("^",SUBSTITUTE(TRIM(INDEX(FormData,$H954,f_Name))," ","^",LEN(TRIM(INDEX(FormData,$H954,f_Name)))-LEN(SUBSTITUTE(TRIM(INDEX(FormData,$H954,f_Name))," ",""))))+1,1),"")),""))</f>
        <v/>
      </c>
      <c r="E954" s="16">
        <f>IF($H954="","",IFERROR(INDEX(EvID,MATCH(INDEX(FormData,$H954,f_Event),EvID,0)),IFERROR(INDEX(EvID,MATCH(INDEX(FormData,$H954,f_Event),EvName,0)),IFERROR(INDEX(EvID,MATCH(INT($C954),EvDate,0)),"(no event that day)"))))</f>
        <v/>
      </c>
      <c r="F954" s="16">
        <f>IF($H954="","",IFERROR(IF(SUMPRODUCT(MAX((WhoKW&lt;&gt;"")*ISNUMBER(SEARCH(WhoKW,INDEX(FormData,$H954,f_Who)&amp;""))*(ROW(WhoKW)-MIN(ROW(WhoKW))+1)))=0,"",INDEX(WhoVal,SUMPRODUCT(MAX((WhoKW&lt;&gt;"")*ISNUMBER(SEARCH(WhoKW,INDEX(FormData,$H954,f_Who)&amp;""))*(ROW(WhoKW)-MIN(ROW(WhoKW))+1))))),""))</f>
        <v/>
      </c>
      <c r="G954" s="14">
        <f>IF($H954="","",IF(COUNTIF(People!$U$5:$U$604,$B954)+COUNTIF(People!$U$5:$U$604,$B954&amp;"")&gt;0,"✓ logged","→ add"))</f>
        <v/>
      </c>
      <c r="H954">
        <f>IFERROR(IF(INDEX(FormData,951,f_Id)&amp;""="","",951),"")</f>
        <v/>
      </c>
      <c r="I954" s="16">
        <f>IF($H954="","",IFERROR(INDEX(FormData,$H954,f_Need)&amp;"",""))</f>
        <v/>
      </c>
    </row>
    <row r="955">
      <c r="A955" s="14" t="n">
        <v>951</v>
      </c>
      <c r="B955" s="14">
        <f>IF($H955="","",INDEX(FormData,$H955,f_Id))</f>
        <v/>
      </c>
      <c r="C955" s="15">
        <f>IF($H955="","",IFERROR(INDEX(FormData,$H955,f_Time),""))</f>
        <v/>
      </c>
      <c r="D955" s="14">
        <f>IF($H955="","",IFERROR(UPPER(LEFT(TRIM(INDEX(FormData,$H955,f_Name)),1)&amp;IFERROR(MID(TRIM(INDEX(FormData,$H955,f_Name)),FIND("^",SUBSTITUTE(TRIM(INDEX(FormData,$H955,f_Name))," ","^",LEN(TRIM(INDEX(FormData,$H955,f_Name)))-LEN(SUBSTITUTE(TRIM(INDEX(FormData,$H955,f_Name))," ",""))))+1,1),"")),""))</f>
        <v/>
      </c>
      <c r="E955" s="16">
        <f>IF($H955="","",IFERROR(INDEX(EvID,MATCH(INDEX(FormData,$H955,f_Event),EvID,0)),IFERROR(INDEX(EvID,MATCH(INDEX(FormData,$H955,f_Event),EvName,0)),IFERROR(INDEX(EvID,MATCH(INT($C955),EvDate,0)),"(no event that day)"))))</f>
        <v/>
      </c>
      <c r="F955" s="16">
        <f>IF($H955="","",IFERROR(IF(SUMPRODUCT(MAX((WhoKW&lt;&gt;"")*ISNUMBER(SEARCH(WhoKW,INDEX(FormData,$H955,f_Who)&amp;""))*(ROW(WhoKW)-MIN(ROW(WhoKW))+1)))=0,"",INDEX(WhoVal,SUMPRODUCT(MAX((WhoKW&lt;&gt;"")*ISNUMBER(SEARCH(WhoKW,INDEX(FormData,$H955,f_Who)&amp;""))*(ROW(WhoKW)-MIN(ROW(WhoKW))+1))))),""))</f>
        <v/>
      </c>
      <c r="G955" s="14">
        <f>IF($H955="","",IF(COUNTIF(People!$U$5:$U$604,$B955)+COUNTIF(People!$U$5:$U$604,$B955&amp;"")&gt;0,"✓ logged","→ add"))</f>
        <v/>
      </c>
      <c r="H955">
        <f>IFERROR(IF(INDEX(FormData,952,f_Id)&amp;""="","",952),"")</f>
        <v/>
      </c>
      <c r="I955" s="16">
        <f>IF($H955="","",IFERROR(INDEX(FormData,$H955,f_Need)&amp;"",""))</f>
        <v/>
      </c>
    </row>
    <row r="956">
      <c r="A956" s="14" t="n">
        <v>952</v>
      </c>
      <c r="B956" s="14">
        <f>IF($H956="","",INDEX(FormData,$H956,f_Id))</f>
        <v/>
      </c>
      <c r="C956" s="15">
        <f>IF($H956="","",IFERROR(INDEX(FormData,$H956,f_Time),""))</f>
        <v/>
      </c>
      <c r="D956" s="14">
        <f>IF($H956="","",IFERROR(UPPER(LEFT(TRIM(INDEX(FormData,$H956,f_Name)),1)&amp;IFERROR(MID(TRIM(INDEX(FormData,$H956,f_Name)),FIND("^",SUBSTITUTE(TRIM(INDEX(FormData,$H956,f_Name))," ","^",LEN(TRIM(INDEX(FormData,$H956,f_Name)))-LEN(SUBSTITUTE(TRIM(INDEX(FormData,$H956,f_Name))," ",""))))+1,1),"")),""))</f>
        <v/>
      </c>
      <c r="E956" s="16">
        <f>IF($H956="","",IFERROR(INDEX(EvID,MATCH(INDEX(FormData,$H956,f_Event),EvID,0)),IFERROR(INDEX(EvID,MATCH(INDEX(FormData,$H956,f_Event),EvName,0)),IFERROR(INDEX(EvID,MATCH(INT($C956),EvDate,0)),"(no event that day)"))))</f>
        <v/>
      </c>
      <c r="F956" s="16">
        <f>IF($H956="","",IFERROR(IF(SUMPRODUCT(MAX((WhoKW&lt;&gt;"")*ISNUMBER(SEARCH(WhoKW,INDEX(FormData,$H956,f_Who)&amp;""))*(ROW(WhoKW)-MIN(ROW(WhoKW))+1)))=0,"",INDEX(WhoVal,SUMPRODUCT(MAX((WhoKW&lt;&gt;"")*ISNUMBER(SEARCH(WhoKW,INDEX(FormData,$H956,f_Who)&amp;""))*(ROW(WhoKW)-MIN(ROW(WhoKW))+1))))),""))</f>
        <v/>
      </c>
      <c r="G956" s="14">
        <f>IF($H956="","",IF(COUNTIF(People!$U$5:$U$604,$B956)+COUNTIF(People!$U$5:$U$604,$B956&amp;"")&gt;0,"✓ logged","→ add"))</f>
        <v/>
      </c>
      <c r="H956">
        <f>IFERROR(IF(INDEX(FormData,953,f_Id)&amp;""="","",953),"")</f>
        <v/>
      </c>
      <c r="I956" s="16">
        <f>IF($H956="","",IFERROR(INDEX(FormData,$H956,f_Need)&amp;"",""))</f>
        <v/>
      </c>
    </row>
    <row r="957">
      <c r="A957" s="14" t="n">
        <v>953</v>
      </c>
      <c r="B957" s="14">
        <f>IF($H957="","",INDEX(FormData,$H957,f_Id))</f>
        <v/>
      </c>
      <c r="C957" s="15">
        <f>IF($H957="","",IFERROR(INDEX(FormData,$H957,f_Time),""))</f>
        <v/>
      </c>
      <c r="D957" s="14">
        <f>IF($H957="","",IFERROR(UPPER(LEFT(TRIM(INDEX(FormData,$H957,f_Name)),1)&amp;IFERROR(MID(TRIM(INDEX(FormData,$H957,f_Name)),FIND("^",SUBSTITUTE(TRIM(INDEX(FormData,$H957,f_Name))," ","^",LEN(TRIM(INDEX(FormData,$H957,f_Name)))-LEN(SUBSTITUTE(TRIM(INDEX(FormData,$H957,f_Name))," ",""))))+1,1),"")),""))</f>
        <v/>
      </c>
      <c r="E957" s="16">
        <f>IF($H957="","",IFERROR(INDEX(EvID,MATCH(INDEX(FormData,$H957,f_Event),EvID,0)),IFERROR(INDEX(EvID,MATCH(INDEX(FormData,$H957,f_Event),EvName,0)),IFERROR(INDEX(EvID,MATCH(INT($C957),EvDate,0)),"(no event that day)"))))</f>
        <v/>
      </c>
      <c r="F957" s="16">
        <f>IF($H957="","",IFERROR(IF(SUMPRODUCT(MAX((WhoKW&lt;&gt;"")*ISNUMBER(SEARCH(WhoKW,INDEX(FormData,$H957,f_Who)&amp;""))*(ROW(WhoKW)-MIN(ROW(WhoKW))+1)))=0,"",INDEX(WhoVal,SUMPRODUCT(MAX((WhoKW&lt;&gt;"")*ISNUMBER(SEARCH(WhoKW,INDEX(FormData,$H957,f_Who)&amp;""))*(ROW(WhoKW)-MIN(ROW(WhoKW))+1))))),""))</f>
        <v/>
      </c>
      <c r="G957" s="14">
        <f>IF($H957="","",IF(COUNTIF(People!$U$5:$U$604,$B957)+COUNTIF(People!$U$5:$U$604,$B957&amp;"")&gt;0,"✓ logged","→ add"))</f>
        <v/>
      </c>
      <c r="H957">
        <f>IFERROR(IF(INDEX(FormData,954,f_Id)&amp;""="","",954),"")</f>
        <v/>
      </c>
      <c r="I957" s="16">
        <f>IF($H957="","",IFERROR(INDEX(FormData,$H957,f_Need)&amp;"",""))</f>
        <v/>
      </c>
    </row>
    <row r="958">
      <c r="A958" s="14" t="n">
        <v>954</v>
      </c>
      <c r="B958" s="14">
        <f>IF($H958="","",INDEX(FormData,$H958,f_Id))</f>
        <v/>
      </c>
      <c r="C958" s="15">
        <f>IF($H958="","",IFERROR(INDEX(FormData,$H958,f_Time),""))</f>
        <v/>
      </c>
      <c r="D958" s="14">
        <f>IF($H958="","",IFERROR(UPPER(LEFT(TRIM(INDEX(FormData,$H958,f_Name)),1)&amp;IFERROR(MID(TRIM(INDEX(FormData,$H958,f_Name)),FIND("^",SUBSTITUTE(TRIM(INDEX(FormData,$H958,f_Name))," ","^",LEN(TRIM(INDEX(FormData,$H958,f_Name)))-LEN(SUBSTITUTE(TRIM(INDEX(FormData,$H958,f_Name))," ",""))))+1,1),"")),""))</f>
        <v/>
      </c>
      <c r="E958" s="16">
        <f>IF($H958="","",IFERROR(INDEX(EvID,MATCH(INDEX(FormData,$H958,f_Event),EvID,0)),IFERROR(INDEX(EvID,MATCH(INDEX(FormData,$H958,f_Event),EvName,0)),IFERROR(INDEX(EvID,MATCH(INT($C958),EvDate,0)),"(no event that day)"))))</f>
        <v/>
      </c>
      <c r="F958" s="16">
        <f>IF($H958="","",IFERROR(IF(SUMPRODUCT(MAX((WhoKW&lt;&gt;"")*ISNUMBER(SEARCH(WhoKW,INDEX(FormData,$H958,f_Who)&amp;""))*(ROW(WhoKW)-MIN(ROW(WhoKW))+1)))=0,"",INDEX(WhoVal,SUMPRODUCT(MAX((WhoKW&lt;&gt;"")*ISNUMBER(SEARCH(WhoKW,INDEX(FormData,$H958,f_Who)&amp;""))*(ROW(WhoKW)-MIN(ROW(WhoKW))+1))))),""))</f>
        <v/>
      </c>
      <c r="G958" s="14">
        <f>IF($H958="","",IF(COUNTIF(People!$U$5:$U$604,$B958)+COUNTIF(People!$U$5:$U$604,$B958&amp;"")&gt;0,"✓ logged","→ add"))</f>
        <v/>
      </c>
      <c r="H958">
        <f>IFERROR(IF(INDEX(FormData,955,f_Id)&amp;""="","",955),"")</f>
        <v/>
      </c>
      <c r="I958" s="16">
        <f>IF($H958="","",IFERROR(INDEX(FormData,$H958,f_Need)&amp;"",""))</f>
        <v/>
      </c>
    </row>
    <row r="959">
      <c r="A959" s="14" t="n">
        <v>955</v>
      </c>
      <c r="B959" s="14">
        <f>IF($H959="","",INDEX(FormData,$H959,f_Id))</f>
        <v/>
      </c>
      <c r="C959" s="15">
        <f>IF($H959="","",IFERROR(INDEX(FormData,$H959,f_Time),""))</f>
        <v/>
      </c>
      <c r="D959" s="14">
        <f>IF($H959="","",IFERROR(UPPER(LEFT(TRIM(INDEX(FormData,$H959,f_Name)),1)&amp;IFERROR(MID(TRIM(INDEX(FormData,$H959,f_Name)),FIND("^",SUBSTITUTE(TRIM(INDEX(FormData,$H959,f_Name))," ","^",LEN(TRIM(INDEX(FormData,$H959,f_Name)))-LEN(SUBSTITUTE(TRIM(INDEX(FormData,$H959,f_Name))," ",""))))+1,1),"")),""))</f>
        <v/>
      </c>
      <c r="E959" s="16">
        <f>IF($H959="","",IFERROR(INDEX(EvID,MATCH(INDEX(FormData,$H959,f_Event),EvID,0)),IFERROR(INDEX(EvID,MATCH(INDEX(FormData,$H959,f_Event),EvName,0)),IFERROR(INDEX(EvID,MATCH(INT($C959),EvDate,0)),"(no event that day)"))))</f>
        <v/>
      </c>
      <c r="F959" s="16">
        <f>IF($H959="","",IFERROR(IF(SUMPRODUCT(MAX((WhoKW&lt;&gt;"")*ISNUMBER(SEARCH(WhoKW,INDEX(FormData,$H959,f_Who)&amp;""))*(ROW(WhoKW)-MIN(ROW(WhoKW))+1)))=0,"",INDEX(WhoVal,SUMPRODUCT(MAX((WhoKW&lt;&gt;"")*ISNUMBER(SEARCH(WhoKW,INDEX(FormData,$H959,f_Who)&amp;""))*(ROW(WhoKW)-MIN(ROW(WhoKW))+1))))),""))</f>
        <v/>
      </c>
      <c r="G959" s="14">
        <f>IF($H959="","",IF(COUNTIF(People!$U$5:$U$604,$B959)+COUNTIF(People!$U$5:$U$604,$B959&amp;"")&gt;0,"✓ logged","→ add"))</f>
        <v/>
      </c>
      <c r="H959">
        <f>IFERROR(IF(INDEX(FormData,956,f_Id)&amp;""="","",956),"")</f>
        <v/>
      </c>
      <c r="I959" s="16">
        <f>IF($H959="","",IFERROR(INDEX(FormData,$H959,f_Need)&amp;"",""))</f>
        <v/>
      </c>
    </row>
    <row r="960">
      <c r="A960" s="14" t="n">
        <v>956</v>
      </c>
      <c r="B960" s="14">
        <f>IF($H960="","",INDEX(FormData,$H960,f_Id))</f>
        <v/>
      </c>
      <c r="C960" s="15">
        <f>IF($H960="","",IFERROR(INDEX(FormData,$H960,f_Time),""))</f>
        <v/>
      </c>
      <c r="D960" s="14">
        <f>IF($H960="","",IFERROR(UPPER(LEFT(TRIM(INDEX(FormData,$H960,f_Name)),1)&amp;IFERROR(MID(TRIM(INDEX(FormData,$H960,f_Name)),FIND("^",SUBSTITUTE(TRIM(INDEX(FormData,$H960,f_Name))," ","^",LEN(TRIM(INDEX(FormData,$H960,f_Name)))-LEN(SUBSTITUTE(TRIM(INDEX(FormData,$H960,f_Name))," ",""))))+1,1),"")),""))</f>
        <v/>
      </c>
      <c r="E960" s="16">
        <f>IF($H960="","",IFERROR(INDEX(EvID,MATCH(INDEX(FormData,$H960,f_Event),EvID,0)),IFERROR(INDEX(EvID,MATCH(INDEX(FormData,$H960,f_Event),EvName,0)),IFERROR(INDEX(EvID,MATCH(INT($C960),EvDate,0)),"(no event that day)"))))</f>
        <v/>
      </c>
      <c r="F960" s="16">
        <f>IF($H960="","",IFERROR(IF(SUMPRODUCT(MAX((WhoKW&lt;&gt;"")*ISNUMBER(SEARCH(WhoKW,INDEX(FormData,$H960,f_Who)&amp;""))*(ROW(WhoKW)-MIN(ROW(WhoKW))+1)))=0,"",INDEX(WhoVal,SUMPRODUCT(MAX((WhoKW&lt;&gt;"")*ISNUMBER(SEARCH(WhoKW,INDEX(FormData,$H960,f_Who)&amp;""))*(ROW(WhoKW)-MIN(ROW(WhoKW))+1))))),""))</f>
        <v/>
      </c>
      <c r="G960" s="14">
        <f>IF($H960="","",IF(COUNTIF(People!$U$5:$U$604,$B960)+COUNTIF(People!$U$5:$U$604,$B960&amp;"")&gt;0,"✓ logged","→ add"))</f>
        <v/>
      </c>
      <c r="H960">
        <f>IFERROR(IF(INDEX(FormData,957,f_Id)&amp;""="","",957),"")</f>
        <v/>
      </c>
      <c r="I960" s="16">
        <f>IF($H960="","",IFERROR(INDEX(FormData,$H960,f_Need)&amp;"",""))</f>
        <v/>
      </c>
    </row>
    <row r="961">
      <c r="A961" s="14" t="n">
        <v>957</v>
      </c>
      <c r="B961" s="14">
        <f>IF($H961="","",INDEX(FormData,$H961,f_Id))</f>
        <v/>
      </c>
      <c r="C961" s="15">
        <f>IF($H961="","",IFERROR(INDEX(FormData,$H961,f_Time),""))</f>
        <v/>
      </c>
      <c r="D961" s="14">
        <f>IF($H961="","",IFERROR(UPPER(LEFT(TRIM(INDEX(FormData,$H961,f_Name)),1)&amp;IFERROR(MID(TRIM(INDEX(FormData,$H961,f_Name)),FIND("^",SUBSTITUTE(TRIM(INDEX(FormData,$H961,f_Name))," ","^",LEN(TRIM(INDEX(FormData,$H961,f_Name)))-LEN(SUBSTITUTE(TRIM(INDEX(FormData,$H961,f_Name))," ",""))))+1,1),"")),""))</f>
        <v/>
      </c>
      <c r="E961" s="16">
        <f>IF($H961="","",IFERROR(INDEX(EvID,MATCH(INDEX(FormData,$H961,f_Event),EvID,0)),IFERROR(INDEX(EvID,MATCH(INDEX(FormData,$H961,f_Event),EvName,0)),IFERROR(INDEX(EvID,MATCH(INT($C961),EvDate,0)),"(no event that day)"))))</f>
        <v/>
      </c>
      <c r="F961" s="16">
        <f>IF($H961="","",IFERROR(IF(SUMPRODUCT(MAX((WhoKW&lt;&gt;"")*ISNUMBER(SEARCH(WhoKW,INDEX(FormData,$H961,f_Who)&amp;""))*(ROW(WhoKW)-MIN(ROW(WhoKW))+1)))=0,"",INDEX(WhoVal,SUMPRODUCT(MAX((WhoKW&lt;&gt;"")*ISNUMBER(SEARCH(WhoKW,INDEX(FormData,$H961,f_Who)&amp;""))*(ROW(WhoKW)-MIN(ROW(WhoKW))+1))))),""))</f>
        <v/>
      </c>
      <c r="G961" s="14">
        <f>IF($H961="","",IF(COUNTIF(People!$U$5:$U$604,$B961)+COUNTIF(People!$U$5:$U$604,$B961&amp;"")&gt;0,"✓ logged","→ add"))</f>
        <v/>
      </c>
      <c r="H961">
        <f>IFERROR(IF(INDEX(FormData,958,f_Id)&amp;""="","",958),"")</f>
        <v/>
      </c>
      <c r="I961" s="16">
        <f>IF($H961="","",IFERROR(INDEX(FormData,$H961,f_Need)&amp;"",""))</f>
        <v/>
      </c>
    </row>
    <row r="962">
      <c r="A962" s="14" t="n">
        <v>958</v>
      </c>
      <c r="B962" s="14">
        <f>IF($H962="","",INDEX(FormData,$H962,f_Id))</f>
        <v/>
      </c>
      <c r="C962" s="15">
        <f>IF($H962="","",IFERROR(INDEX(FormData,$H962,f_Time),""))</f>
        <v/>
      </c>
      <c r="D962" s="14">
        <f>IF($H962="","",IFERROR(UPPER(LEFT(TRIM(INDEX(FormData,$H962,f_Name)),1)&amp;IFERROR(MID(TRIM(INDEX(FormData,$H962,f_Name)),FIND("^",SUBSTITUTE(TRIM(INDEX(FormData,$H962,f_Name))," ","^",LEN(TRIM(INDEX(FormData,$H962,f_Name)))-LEN(SUBSTITUTE(TRIM(INDEX(FormData,$H962,f_Name))," ",""))))+1,1),"")),""))</f>
        <v/>
      </c>
      <c r="E962" s="16">
        <f>IF($H962="","",IFERROR(INDEX(EvID,MATCH(INDEX(FormData,$H962,f_Event),EvID,0)),IFERROR(INDEX(EvID,MATCH(INDEX(FormData,$H962,f_Event),EvName,0)),IFERROR(INDEX(EvID,MATCH(INT($C962),EvDate,0)),"(no event that day)"))))</f>
        <v/>
      </c>
      <c r="F962" s="16">
        <f>IF($H962="","",IFERROR(IF(SUMPRODUCT(MAX((WhoKW&lt;&gt;"")*ISNUMBER(SEARCH(WhoKW,INDEX(FormData,$H962,f_Who)&amp;""))*(ROW(WhoKW)-MIN(ROW(WhoKW))+1)))=0,"",INDEX(WhoVal,SUMPRODUCT(MAX((WhoKW&lt;&gt;"")*ISNUMBER(SEARCH(WhoKW,INDEX(FormData,$H962,f_Who)&amp;""))*(ROW(WhoKW)-MIN(ROW(WhoKW))+1))))),""))</f>
        <v/>
      </c>
      <c r="G962" s="14">
        <f>IF($H962="","",IF(COUNTIF(People!$U$5:$U$604,$B962)+COUNTIF(People!$U$5:$U$604,$B962&amp;"")&gt;0,"✓ logged","→ add"))</f>
        <v/>
      </c>
      <c r="H962">
        <f>IFERROR(IF(INDEX(FormData,959,f_Id)&amp;""="","",959),"")</f>
        <v/>
      </c>
      <c r="I962" s="16">
        <f>IF($H962="","",IFERROR(INDEX(FormData,$H962,f_Need)&amp;"",""))</f>
        <v/>
      </c>
    </row>
    <row r="963">
      <c r="A963" s="14" t="n">
        <v>959</v>
      </c>
      <c r="B963" s="14">
        <f>IF($H963="","",INDEX(FormData,$H963,f_Id))</f>
        <v/>
      </c>
      <c r="C963" s="15">
        <f>IF($H963="","",IFERROR(INDEX(FormData,$H963,f_Time),""))</f>
        <v/>
      </c>
      <c r="D963" s="14">
        <f>IF($H963="","",IFERROR(UPPER(LEFT(TRIM(INDEX(FormData,$H963,f_Name)),1)&amp;IFERROR(MID(TRIM(INDEX(FormData,$H963,f_Name)),FIND("^",SUBSTITUTE(TRIM(INDEX(FormData,$H963,f_Name))," ","^",LEN(TRIM(INDEX(FormData,$H963,f_Name)))-LEN(SUBSTITUTE(TRIM(INDEX(FormData,$H963,f_Name))," ",""))))+1,1),"")),""))</f>
        <v/>
      </c>
      <c r="E963" s="16">
        <f>IF($H963="","",IFERROR(INDEX(EvID,MATCH(INDEX(FormData,$H963,f_Event),EvID,0)),IFERROR(INDEX(EvID,MATCH(INDEX(FormData,$H963,f_Event),EvName,0)),IFERROR(INDEX(EvID,MATCH(INT($C963),EvDate,0)),"(no event that day)"))))</f>
        <v/>
      </c>
      <c r="F963" s="16">
        <f>IF($H963="","",IFERROR(IF(SUMPRODUCT(MAX((WhoKW&lt;&gt;"")*ISNUMBER(SEARCH(WhoKW,INDEX(FormData,$H963,f_Who)&amp;""))*(ROW(WhoKW)-MIN(ROW(WhoKW))+1)))=0,"",INDEX(WhoVal,SUMPRODUCT(MAX((WhoKW&lt;&gt;"")*ISNUMBER(SEARCH(WhoKW,INDEX(FormData,$H963,f_Who)&amp;""))*(ROW(WhoKW)-MIN(ROW(WhoKW))+1))))),""))</f>
        <v/>
      </c>
      <c r="G963" s="14">
        <f>IF($H963="","",IF(COUNTIF(People!$U$5:$U$604,$B963)+COUNTIF(People!$U$5:$U$604,$B963&amp;"")&gt;0,"✓ logged","→ add"))</f>
        <v/>
      </c>
      <c r="H963">
        <f>IFERROR(IF(INDEX(FormData,960,f_Id)&amp;""="","",960),"")</f>
        <v/>
      </c>
      <c r="I963" s="16">
        <f>IF($H963="","",IFERROR(INDEX(FormData,$H963,f_Need)&amp;"",""))</f>
        <v/>
      </c>
    </row>
    <row r="964">
      <c r="A964" s="14" t="n">
        <v>960</v>
      </c>
      <c r="B964" s="14">
        <f>IF($H964="","",INDEX(FormData,$H964,f_Id))</f>
        <v/>
      </c>
      <c r="C964" s="15">
        <f>IF($H964="","",IFERROR(INDEX(FormData,$H964,f_Time),""))</f>
        <v/>
      </c>
      <c r="D964" s="14">
        <f>IF($H964="","",IFERROR(UPPER(LEFT(TRIM(INDEX(FormData,$H964,f_Name)),1)&amp;IFERROR(MID(TRIM(INDEX(FormData,$H964,f_Name)),FIND("^",SUBSTITUTE(TRIM(INDEX(FormData,$H964,f_Name))," ","^",LEN(TRIM(INDEX(FormData,$H964,f_Name)))-LEN(SUBSTITUTE(TRIM(INDEX(FormData,$H964,f_Name))," ",""))))+1,1),"")),""))</f>
        <v/>
      </c>
      <c r="E964" s="16">
        <f>IF($H964="","",IFERROR(INDEX(EvID,MATCH(INDEX(FormData,$H964,f_Event),EvID,0)),IFERROR(INDEX(EvID,MATCH(INDEX(FormData,$H964,f_Event),EvName,0)),IFERROR(INDEX(EvID,MATCH(INT($C964),EvDate,0)),"(no event that day)"))))</f>
        <v/>
      </c>
      <c r="F964" s="16">
        <f>IF($H964="","",IFERROR(IF(SUMPRODUCT(MAX((WhoKW&lt;&gt;"")*ISNUMBER(SEARCH(WhoKW,INDEX(FormData,$H964,f_Who)&amp;""))*(ROW(WhoKW)-MIN(ROW(WhoKW))+1)))=0,"",INDEX(WhoVal,SUMPRODUCT(MAX((WhoKW&lt;&gt;"")*ISNUMBER(SEARCH(WhoKW,INDEX(FormData,$H964,f_Who)&amp;""))*(ROW(WhoKW)-MIN(ROW(WhoKW))+1))))),""))</f>
        <v/>
      </c>
      <c r="G964" s="14">
        <f>IF($H964="","",IF(COUNTIF(People!$U$5:$U$604,$B964)+COUNTIF(People!$U$5:$U$604,$B964&amp;"")&gt;0,"✓ logged","→ add"))</f>
        <v/>
      </c>
      <c r="H964">
        <f>IFERROR(IF(INDEX(FormData,961,f_Id)&amp;""="","",961),"")</f>
        <v/>
      </c>
      <c r="I964" s="16">
        <f>IF($H964="","",IFERROR(INDEX(FormData,$H964,f_Need)&amp;"",""))</f>
        <v/>
      </c>
    </row>
    <row r="965">
      <c r="A965" s="14" t="n">
        <v>961</v>
      </c>
      <c r="B965" s="14">
        <f>IF($H965="","",INDEX(FormData,$H965,f_Id))</f>
        <v/>
      </c>
      <c r="C965" s="15">
        <f>IF($H965="","",IFERROR(INDEX(FormData,$H965,f_Time),""))</f>
        <v/>
      </c>
      <c r="D965" s="14">
        <f>IF($H965="","",IFERROR(UPPER(LEFT(TRIM(INDEX(FormData,$H965,f_Name)),1)&amp;IFERROR(MID(TRIM(INDEX(FormData,$H965,f_Name)),FIND("^",SUBSTITUTE(TRIM(INDEX(FormData,$H965,f_Name))," ","^",LEN(TRIM(INDEX(FormData,$H965,f_Name)))-LEN(SUBSTITUTE(TRIM(INDEX(FormData,$H965,f_Name))," ",""))))+1,1),"")),""))</f>
        <v/>
      </c>
      <c r="E965" s="16">
        <f>IF($H965="","",IFERROR(INDEX(EvID,MATCH(INDEX(FormData,$H965,f_Event),EvID,0)),IFERROR(INDEX(EvID,MATCH(INDEX(FormData,$H965,f_Event),EvName,0)),IFERROR(INDEX(EvID,MATCH(INT($C965),EvDate,0)),"(no event that day)"))))</f>
        <v/>
      </c>
      <c r="F965" s="16">
        <f>IF($H965="","",IFERROR(IF(SUMPRODUCT(MAX((WhoKW&lt;&gt;"")*ISNUMBER(SEARCH(WhoKW,INDEX(FormData,$H965,f_Who)&amp;""))*(ROW(WhoKW)-MIN(ROW(WhoKW))+1)))=0,"",INDEX(WhoVal,SUMPRODUCT(MAX((WhoKW&lt;&gt;"")*ISNUMBER(SEARCH(WhoKW,INDEX(FormData,$H965,f_Who)&amp;""))*(ROW(WhoKW)-MIN(ROW(WhoKW))+1))))),""))</f>
        <v/>
      </c>
      <c r="G965" s="14">
        <f>IF($H965="","",IF(COUNTIF(People!$U$5:$U$604,$B965)+COUNTIF(People!$U$5:$U$604,$B965&amp;"")&gt;0,"✓ logged","→ add"))</f>
        <v/>
      </c>
      <c r="H965">
        <f>IFERROR(IF(INDEX(FormData,962,f_Id)&amp;""="","",962),"")</f>
        <v/>
      </c>
      <c r="I965" s="16">
        <f>IF($H965="","",IFERROR(INDEX(FormData,$H965,f_Need)&amp;"",""))</f>
        <v/>
      </c>
    </row>
    <row r="966">
      <c r="A966" s="14" t="n">
        <v>962</v>
      </c>
      <c r="B966" s="14">
        <f>IF($H966="","",INDEX(FormData,$H966,f_Id))</f>
        <v/>
      </c>
      <c r="C966" s="15">
        <f>IF($H966="","",IFERROR(INDEX(FormData,$H966,f_Time),""))</f>
        <v/>
      </c>
      <c r="D966" s="14">
        <f>IF($H966="","",IFERROR(UPPER(LEFT(TRIM(INDEX(FormData,$H966,f_Name)),1)&amp;IFERROR(MID(TRIM(INDEX(FormData,$H966,f_Name)),FIND("^",SUBSTITUTE(TRIM(INDEX(FormData,$H966,f_Name))," ","^",LEN(TRIM(INDEX(FormData,$H966,f_Name)))-LEN(SUBSTITUTE(TRIM(INDEX(FormData,$H966,f_Name))," ",""))))+1,1),"")),""))</f>
        <v/>
      </c>
      <c r="E966" s="16">
        <f>IF($H966="","",IFERROR(INDEX(EvID,MATCH(INDEX(FormData,$H966,f_Event),EvID,0)),IFERROR(INDEX(EvID,MATCH(INDEX(FormData,$H966,f_Event),EvName,0)),IFERROR(INDEX(EvID,MATCH(INT($C966),EvDate,0)),"(no event that day)"))))</f>
        <v/>
      </c>
      <c r="F966" s="16">
        <f>IF($H966="","",IFERROR(IF(SUMPRODUCT(MAX((WhoKW&lt;&gt;"")*ISNUMBER(SEARCH(WhoKW,INDEX(FormData,$H966,f_Who)&amp;""))*(ROW(WhoKW)-MIN(ROW(WhoKW))+1)))=0,"",INDEX(WhoVal,SUMPRODUCT(MAX((WhoKW&lt;&gt;"")*ISNUMBER(SEARCH(WhoKW,INDEX(FormData,$H966,f_Who)&amp;""))*(ROW(WhoKW)-MIN(ROW(WhoKW))+1))))),""))</f>
        <v/>
      </c>
      <c r="G966" s="14">
        <f>IF($H966="","",IF(COUNTIF(People!$U$5:$U$604,$B966)+COUNTIF(People!$U$5:$U$604,$B966&amp;"")&gt;0,"✓ logged","→ add"))</f>
        <v/>
      </c>
      <c r="H966">
        <f>IFERROR(IF(INDEX(FormData,963,f_Id)&amp;""="","",963),"")</f>
        <v/>
      </c>
      <c r="I966" s="16">
        <f>IF($H966="","",IFERROR(INDEX(FormData,$H966,f_Need)&amp;"",""))</f>
        <v/>
      </c>
    </row>
    <row r="967">
      <c r="A967" s="14" t="n">
        <v>963</v>
      </c>
      <c r="B967" s="14">
        <f>IF($H967="","",INDEX(FormData,$H967,f_Id))</f>
        <v/>
      </c>
      <c r="C967" s="15">
        <f>IF($H967="","",IFERROR(INDEX(FormData,$H967,f_Time),""))</f>
        <v/>
      </c>
      <c r="D967" s="14">
        <f>IF($H967="","",IFERROR(UPPER(LEFT(TRIM(INDEX(FormData,$H967,f_Name)),1)&amp;IFERROR(MID(TRIM(INDEX(FormData,$H967,f_Name)),FIND("^",SUBSTITUTE(TRIM(INDEX(FormData,$H967,f_Name))," ","^",LEN(TRIM(INDEX(FormData,$H967,f_Name)))-LEN(SUBSTITUTE(TRIM(INDEX(FormData,$H967,f_Name))," ",""))))+1,1),"")),""))</f>
        <v/>
      </c>
      <c r="E967" s="16">
        <f>IF($H967="","",IFERROR(INDEX(EvID,MATCH(INDEX(FormData,$H967,f_Event),EvID,0)),IFERROR(INDEX(EvID,MATCH(INDEX(FormData,$H967,f_Event),EvName,0)),IFERROR(INDEX(EvID,MATCH(INT($C967),EvDate,0)),"(no event that day)"))))</f>
        <v/>
      </c>
      <c r="F967" s="16">
        <f>IF($H967="","",IFERROR(IF(SUMPRODUCT(MAX((WhoKW&lt;&gt;"")*ISNUMBER(SEARCH(WhoKW,INDEX(FormData,$H967,f_Who)&amp;""))*(ROW(WhoKW)-MIN(ROW(WhoKW))+1)))=0,"",INDEX(WhoVal,SUMPRODUCT(MAX((WhoKW&lt;&gt;"")*ISNUMBER(SEARCH(WhoKW,INDEX(FormData,$H967,f_Who)&amp;""))*(ROW(WhoKW)-MIN(ROW(WhoKW))+1))))),""))</f>
        <v/>
      </c>
      <c r="G967" s="14">
        <f>IF($H967="","",IF(COUNTIF(People!$U$5:$U$604,$B967)+COUNTIF(People!$U$5:$U$604,$B967&amp;"")&gt;0,"✓ logged","→ add"))</f>
        <v/>
      </c>
      <c r="H967">
        <f>IFERROR(IF(INDEX(FormData,964,f_Id)&amp;""="","",964),"")</f>
        <v/>
      </c>
      <c r="I967" s="16">
        <f>IF($H967="","",IFERROR(INDEX(FormData,$H967,f_Need)&amp;"",""))</f>
        <v/>
      </c>
    </row>
    <row r="968">
      <c r="A968" s="14" t="n">
        <v>964</v>
      </c>
      <c r="B968" s="14">
        <f>IF($H968="","",INDEX(FormData,$H968,f_Id))</f>
        <v/>
      </c>
      <c r="C968" s="15">
        <f>IF($H968="","",IFERROR(INDEX(FormData,$H968,f_Time),""))</f>
        <v/>
      </c>
      <c r="D968" s="14">
        <f>IF($H968="","",IFERROR(UPPER(LEFT(TRIM(INDEX(FormData,$H968,f_Name)),1)&amp;IFERROR(MID(TRIM(INDEX(FormData,$H968,f_Name)),FIND("^",SUBSTITUTE(TRIM(INDEX(FormData,$H968,f_Name))," ","^",LEN(TRIM(INDEX(FormData,$H968,f_Name)))-LEN(SUBSTITUTE(TRIM(INDEX(FormData,$H968,f_Name))," ",""))))+1,1),"")),""))</f>
        <v/>
      </c>
      <c r="E968" s="16">
        <f>IF($H968="","",IFERROR(INDEX(EvID,MATCH(INDEX(FormData,$H968,f_Event),EvID,0)),IFERROR(INDEX(EvID,MATCH(INDEX(FormData,$H968,f_Event),EvName,0)),IFERROR(INDEX(EvID,MATCH(INT($C968),EvDate,0)),"(no event that day)"))))</f>
        <v/>
      </c>
      <c r="F968" s="16">
        <f>IF($H968="","",IFERROR(IF(SUMPRODUCT(MAX((WhoKW&lt;&gt;"")*ISNUMBER(SEARCH(WhoKW,INDEX(FormData,$H968,f_Who)&amp;""))*(ROW(WhoKW)-MIN(ROW(WhoKW))+1)))=0,"",INDEX(WhoVal,SUMPRODUCT(MAX((WhoKW&lt;&gt;"")*ISNUMBER(SEARCH(WhoKW,INDEX(FormData,$H968,f_Who)&amp;""))*(ROW(WhoKW)-MIN(ROW(WhoKW))+1))))),""))</f>
        <v/>
      </c>
      <c r="G968" s="14">
        <f>IF($H968="","",IF(COUNTIF(People!$U$5:$U$604,$B968)+COUNTIF(People!$U$5:$U$604,$B968&amp;"")&gt;0,"✓ logged","→ add"))</f>
        <v/>
      </c>
      <c r="H968">
        <f>IFERROR(IF(INDEX(FormData,965,f_Id)&amp;""="","",965),"")</f>
        <v/>
      </c>
      <c r="I968" s="16">
        <f>IF($H968="","",IFERROR(INDEX(FormData,$H968,f_Need)&amp;"",""))</f>
        <v/>
      </c>
    </row>
    <row r="969">
      <c r="A969" s="14" t="n">
        <v>965</v>
      </c>
      <c r="B969" s="14">
        <f>IF($H969="","",INDEX(FormData,$H969,f_Id))</f>
        <v/>
      </c>
      <c r="C969" s="15">
        <f>IF($H969="","",IFERROR(INDEX(FormData,$H969,f_Time),""))</f>
        <v/>
      </c>
      <c r="D969" s="14">
        <f>IF($H969="","",IFERROR(UPPER(LEFT(TRIM(INDEX(FormData,$H969,f_Name)),1)&amp;IFERROR(MID(TRIM(INDEX(FormData,$H969,f_Name)),FIND("^",SUBSTITUTE(TRIM(INDEX(FormData,$H969,f_Name))," ","^",LEN(TRIM(INDEX(FormData,$H969,f_Name)))-LEN(SUBSTITUTE(TRIM(INDEX(FormData,$H969,f_Name))," ",""))))+1,1),"")),""))</f>
        <v/>
      </c>
      <c r="E969" s="16">
        <f>IF($H969="","",IFERROR(INDEX(EvID,MATCH(INDEX(FormData,$H969,f_Event),EvID,0)),IFERROR(INDEX(EvID,MATCH(INDEX(FormData,$H969,f_Event),EvName,0)),IFERROR(INDEX(EvID,MATCH(INT($C969),EvDate,0)),"(no event that day)"))))</f>
        <v/>
      </c>
      <c r="F969" s="16">
        <f>IF($H969="","",IFERROR(IF(SUMPRODUCT(MAX((WhoKW&lt;&gt;"")*ISNUMBER(SEARCH(WhoKW,INDEX(FormData,$H969,f_Who)&amp;""))*(ROW(WhoKW)-MIN(ROW(WhoKW))+1)))=0,"",INDEX(WhoVal,SUMPRODUCT(MAX((WhoKW&lt;&gt;"")*ISNUMBER(SEARCH(WhoKW,INDEX(FormData,$H969,f_Who)&amp;""))*(ROW(WhoKW)-MIN(ROW(WhoKW))+1))))),""))</f>
        <v/>
      </c>
      <c r="G969" s="14">
        <f>IF($H969="","",IF(COUNTIF(People!$U$5:$U$604,$B969)+COUNTIF(People!$U$5:$U$604,$B969&amp;"")&gt;0,"✓ logged","→ add"))</f>
        <v/>
      </c>
      <c r="H969">
        <f>IFERROR(IF(INDEX(FormData,966,f_Id)&amp;""="","",966),"")</f>
        <v/>
      </c>
      <c r="I969" s="16">
        <f>IF($H969="","",IFERROR(INDEX(FormData,$H969,f_Need)&amp;"",""))</f>
        <v/>
      </c>
    </row>
    <row r="970">
      <c r="A970" s="14" t="n">
        <v>966</v>
      </c>
      <c r="B970" s="14">
        <f>IF($H970="","",INDEX(FormData,$H970,f_Id))</f>
        <v/>
      </c>
      <c r="C970" s="15">
        <f>IF($H970="","",IFERROR(INDEX(FormData,$H970,f_Time),""))</f>
        <v/>
      </c>
      <c r="D970" s="14">
        <f>IF($H970="","",IFERROR(UPPER(LEFT(TRIM(INDEX(FormData,$H970,f_Name)),1)&amp;IFERROR(MID(TRIM(INDEX(FormData,$H970,f_Name)),FIND("^",SUBSTITUTE(TRIM(INDEX(FormData,$H970,f_Name))," ","^",LEN(TRIM(INDEX(FormData,$H970,f_Name)))-LEN(SUBSTITUTE(TRIM(INDEX(FormData,$H970,f_Name))," ",""))))+1,1),"")),""))</f>
        <v/>
      </c>
      <c r="E970" s="16">
        <f>IF($H970="","",IFERROR(INDEX(EvID,MATCH(INDEX(FormData,$H970,f_Event),EvID,0)),IFERROR(INDEX(EvID,MATCH(INDEX(FormData,$H970,f_Event),EvName,0)),IFERROR(INDEX(EvID,MATCH(INT($C970),EvDate,0)),"(no event that day)"))))</f>
        <v/>
      </c>
      <c r="F970" s="16">
        <f>IF($H970="","",IFERROR(IF(SUMPRODUCT(MAX((WhoKW&lt;&gt;"")*ISNUMBER(SEARCH(WhoKW,INDEX(FormData,$H970,f_Who)&amp;""))*(ROW(WhoKW)-MIN(ROW(WhoKW))+1)))=0,"",INDEX(WhoVal,SUMPRODUCT(MAX((WhoKW&lt;&gt;"")*ISNUMBER(SEARCH(WhoKW,INDEX(FormData,$H970,f_Who)&amp;""))*(ROW(WhoKW)-MIN(ROW(WhoKW))+1))))),""))</f>
        <v/>
      </c>
      <c r="G970" s="14">
        <f>IF($H970="","",IF(COUNTIF(People!$U$5:$U$604,$B970)+COUNTIF(People!$U$5:$U$604,$B970&amp;"")&gt;0,"✓ logged","→ add"))</f>
        <v/>
      </c>
      <c r="H970">
        <f>IFERROR(IF(INDEX(FormData,967,f_Id)&amp;""="","",967),"")</f>
        <v/>
      </c>
      <c r="I970" s="16">
        <f>IF($H970="","",IFERROR(INDEX(FormData,$H970,f_Need)&amp;"",""))</f>
        <v/>
      </c>
    </row>
    <row r="971">
      <c r="A971" s="14" t="n">
        <v>967</v>
      </c>
      <c r="B971" s="14">
        <f>IF($H971="","",INDEX(FormData,$H971,f_Id))</f>
        <v/>
      </c>
      <c r="C971" s="15">
        <f>IF($H971="","",IFERROR(INDEX(FormData,$H971,f_Time),""))</f>
        <v/>
      </c>
      <c r="D971" s="14">
        <f>IF($H971="","",IFERROR(UPPER(LEFT(TRIM(INDEX(FormData,$H971,f_Name)),1)&amp;IFERROR(MID(TRIM(INDEX(FormData,$H971,f_Name)),FIND("^",SUBSTITUTE(TRIM(INDEX(FormData,$H971,f_Name))," ","^",LEN(TRIM(INDEX(FormData,$H971,f_Name)))-LEN(SUBSTITUTE(TRIM(INDEX(FormData,$H971,f_Name))," ",""))))+1,1),"")),""))</f>
        <v/>
      </c>
      <c r="E971" s="16">
        <f>IF($H971="","",IFERROR(INDEX(EvID,MATCH(INDEX(FormData,$H971,f_Event),EvID,0)),IFERROR(INDEX(EvID,MATCH(INDEX(FormData,$H971,f_Event),EvName,0)),IFERROR(INDEX(EvID,MATCH(INT($C971),EvDate,0)),"(no event that day)"))))</f>
        <v/>
      </c>
      <c r="F971" s="16">
        <f>IF($H971="","",IFERROR(IF(SUMPRODUCT(MAX((WhoKW&lt;&gt;"")*ISNUMBER(SEARCH(WhoKW,INDEX(FormData,$H971,f_Who)&amp;""))*(ROW(WhoKW)-MIN(ROW(WhoKW))+1)))=0,"",INDEX(WhoVal,SUMPRODUCT(MAX((WhoKW&lt;&gt;"")*ISNUMBER(SEARCH(WhoKW,INDEX(FormData,$H971,f_Who)&amp;""))*(ROW(WhoKW)-MIN(ROW(WhoKW))+1))))),""))</f>
        <v/>
      </c>
      <c r="G971" s="14">
        <f>IF($H971="","",IF(COUNTIF(People!$U$5:$U$604,$B971)+COUNTIF(People!$U$5:$U$604,$B971&amp;"")&gt;0,"✓ logged","→ add"))</f>
        <v/>
      </c>
      <c r="H971">
        <f>IFERROR(IF(INDEX(FormData,968,f_Id)&amp;""="","",968),"")</f>
        <v/>
      </c>
      <c r="I971" s="16">
        <f>IF($H971="","",IFERROR(INDEX(FormData,$H971,f_Need)&amp;"",""))</f>
        <v/>
      </c>
    </row>
    <row r="972">
      <c r="A972" s="14" t="n">
        <v>968</v>
      </c>
      <c r="B972" s="14">
        <f>IF($H972="","",INDEX(FormData,$H972,f_Id))</f>
        <v/>
      </c>
      <c r="C972" s="15">
        <f>IF($H972="","",IFERROR(INDEX(FormData,$H972,f_Time),""))</f>
        <v/>
      </c>
      <c r="D972" s="14">
        <f>IF($H972="","",IFERROR(UPPER(LEFT(TRIM(INDEX(FormData,$H972,f_Name)),1)&amp;IFERROR(MID(TRIM(INDEX(FormData,$H972,f_Name)),FIND("^",SUBSTITUTE(TRIM(INDEX(FormData,$H972,f_Name))," ","^",LEN(TRIM(INDEX(FormData,$H972,f_Name)))-LEN(SUBSTITUTE(TRIM(INDEX(FormData,$H972,f_Name))," ",""))))+1,1),"")),""))</f>
        <v/>
      </c>
      <c r="E972" s="16">
        <f>IF($H972="","",IFERROR(INDEX(EvID,MATCH(INDEX(FormData,$H972,f_Event),EvID,0)),IFERROR(INDEX(EvID,MATCH(INDEX(FormData,$H972,f_Event),EvName,0)),IFERROR(INDEX(EvID,MATCH(INT($C972),EvDate,0)),"(no event that day)"))))</f>
        <v/>
      </c>
      <c r="F972" s="16">
        <f>IF($H972="","",IFERROR(IF(SUMPRODUCT(MAX((WhoKW&lt;&gt;"")*ISNUMBER(SEARCH(WhoKW,INDEX(FormData,$H972,f_Who)&amp;""))*(ROW(WhoKW)-MIN(ROW(WhoKW))+1)))=0,"",INDEX(WhoVal,SUMPRODUCT(MAX((WhoKW&lt;&gt;"")*ISNUMBER(SEARCH(WhoKW,INDEX(FormData,$H972,f_Who)&amp;""))*(ROW(WhoKW)-MIN(ROW(WhoKW))+1))))),""))</f>
        <v/>
      </c>
      <c r="G972" s="14">
        <f>IF($H972="","",IF(COUNTIF(People!$U$5:$U$604,$B972)+COUNTIF(People!$U$5:$U$604,$B972&amp;"")&gt;0,"✓ logged","→ add"))</f>
        <v/>
      </c>
      <c r="H972">
        <f>IFERROR(IF(INDEX(FormData,969,f_Id)&amp;""="","",969),"")</f>
        <v/>
      </c>
      <c r="I972" s="16">
        <f>IF($H972="","",IFERROR(INDEX(FormData,$H972,f_Need)&amp;"",""))</f>
        <v/>
      </c>
    </row>
    <row r="973">
      <c r="A973" s="14" t="n">
        <v>969</v>
      </c>
      <c r="B973" s="14">
        <f>IF($H973="","",INDEX(FormData,$H973,f_Id))</f>
        <v/>
      </c>
      <c r="C973" s="15">
        <f>IF($H973="","",IFERROR(INDEX(FormData,$H973,f_Time),""))</f>
        <v/>
      </c>
      <c r="D973" s="14">
        <f>IF($H973="","",IFERROR(UPPER(LEFT(TRIM(INDEX(FormData,$H973,f_Name)),1)&amp;IFERROR(MID(TRIM(INDEX(FormData,$H973,f_Name)),FIND("^",SUBSTITUTE(TRIM(INDEX(FormData,$H973,f_Name))," ","^",LEN(TRIM(INDEX(FormData,$H973,f_Name)))-LEN(SUBSTITUTE(TRIM(INDEX(FormData,$H973,f_Name))," ",""))))+1,1),"")),""))</f>
        <v/>
      </c>
      <c r="E973" s="16">
        <f>IF($H973="","",IFERROR(INDEX(EvID,MATCH(INDEX(FormData,$H973,f_Event),EvID,0)),IFERROR(INDEX(EvID,MATCH(INDEX(FormData,$H973,f_Event),EvName,0)),IFERROR(INDEX(EvID,MATCH(INT($C973),EvDate,0)),"(no event that day)"))))</f>
        <v/>
      </c>
      <c r="F973" s="16">
        <f>IF($H973="","",IFERROR(IF(SUMPRODUCT(MAX((WhoKW&lt;&gt;"")*ISNUMBER(SEARCH(WhoKW,INDEX(FormData,$H973,f_Who)&amp;""))*(ROW(WhoKW)-MIN(ROW(WhoKW))+1)))=0,"",INDEX(WhoVal,SUMPRODUCT(MAX((WhoKW&lt;&gt;"")*ISNUMBER(SEARCH(WhoKW,INDEX(FormData,$H973,f_Who)&amp;""))*(ROW(WhoKW)-MIN(ROW(WhoKW))+1))))),""))</f>
        <v/>
      </c>
      <c r="G973" s="14">
        <f>IF($H973="","",IF(COUNTIF(People!$U$5:$U$604,$B973)+COUNTIF(People!$U$5:$U$604,$B973&amp;"")&gt;0,"✓ logged","→ add"))</f>
        <v/>
      </c>
      <c r="H973">
        <f>IFERROR(IF(INDEX(FormData,970,f_Id)&amp;""="","",970),"")</f>
        <v/>
      </c>
      <c r="I973" s="16">
        <f>IF($H973="","",IFERROR(INDEX(FormData,$H973,f_Need)&amp;"",""))</f>
        <v/>
      </c>
    </row>
    <row r="974">
      <c r="A974" s="14" t="n">
        <v>970</v>
      </c>
      <c r="B974" s="14">
        <f>IF($H974="","",INDEX(FormData,$H974,f_Id))</f>
        <v/>
      </c>
      <c r="C974" s="15">
        <f>IF($H974="","",IFERROR(INDEX(FormData,$H974,f_Time),""))</f>
        <v/>
      </c>
      <c r="D974" s="14">
        <f>IF($H974="","",IFERROR(UPPER(LEFT(TRIM(INDEX(FormData,$H974,f_Name)),1)&amp;IFERROR(MID(TRIM(INDEX(FormData,$H974,f_Name)),FIND("^",SUBSTITUTE(TRIM(INDEX(FormData,$H974,f_Name))," ","^",LEN(TRIM(INDEX(FormData,$H974,f_Name)))-LEN(SUBSTITUTE(TRIM(INDEX(FormData,$H974,f_Name))," ",""))))+1,1),"")),""))</f>
        <v/>
      </c>
      <c r="E974" s="16">
        <f>IF($H974="","",IFERROR(INDEX(EvID,MATCH(INDEX(FormData,$H974,f_Event),EvID,0)),IFERROR(INDEX(EvID,MATCH(INDEX(FormData,$H974,f_Event),EvName,0)),IFERROR(INDEX(EvID,MATCH(INT($C974),EvDate,0)),"(no event that day)"))))</f>
        <v/>
      </c>
      <c r="F974" s="16">
        <f>IF($H974="","",IFERROR(IF(SUMPRODUCT(MAX((WhoKW&lt;&gt;"")*ISNUMBER(SEARCH(WhoKW,INDEX(FormData,$H974,f_Who)&amp;""))*(ROW(WhoKW)-MIN(ROW(WhoKW))+1)))=0,"",INDEX(WhoVal,SUMPRODUCT(MAX((WhoKW&lt;&gt;"")*ISNUMBER(SEARCH(WhoKW,INDEX(FormData,$H974,f_Who)&amp;""))*(ROW(WhoKW)-MIN(ROW(WhoKW))+1))))),""))</f>
        <v/>
      </c>
      <c r="G974" s="14">
        <f>IF($H974="","",IF(COUNTIF(People!$U$5:$U$604,$B974)+COUNTIF(People!$U$5:$U$604,$B974&amp;"")&gt;0,"✓ logged","→ add"))</f>
        <v/>
      </c>
      <c r="H974">
        <f>IFERROR(IF(INDEX(FormData,971,f_Id)&amp;""="","",971),"")</f>
        <v/>
      </c>
      <c r="I974" s="16">
        <f>IF($H974="","",IFERROR(INDEX(FormData,$H974,f_Need)&amp;"",""))</f>
        <v/>
      </c>
    </row>
    <row r="975">
      <c r="A975" s="14" t="n">
        <v>971</v>
      </c>
      <c r="B975" s="14">
        <f>IF($H975="","",INDEX(FormData,$H975,f_Id))</f>
        <v/>
      </c>
      <c r="C975" s="15">
        <f>IF($H975="","",IFERROR(INDEX(FormData,$H975,f_Time),""))</f>
        <v/>
      </c>
      <c r="D975" s="14">
        <f>IF($H975="","",IFERROR(UPPER(LEFT(TRIM(INDEX(FormData,$H975,f_Name)),1)&amp;IFERROR(MID(TRIM(INDEX(FormData,$H975,f_Name)),FIND("^",SUBSTITUTE(TRIM(INDEX(FormData,$H975,f_Name))," ","^",LEN(TRIM(INDEX(FormData,$H975,f_Name)))-LEN(SUBSTITUTE(TRIM(INDEX(FormData,$H975,f_Name))," ",""))))+1,1),"")),""))</f>
        <v/>
      </c>
      <c r="E975" s="16">
        <f>IF($H975="","",IFERROR(INDEX(EvID,MATCH(INDEX(FormData,$H975,f_Event),EvID,0)),IFERROR(INDEX(EvID,MATCH(INDEX(FormData,$H975,f_Event),EvName,0)),IFERROR(INDEX(EvID,MATCH(INT($C975),EvDate,0)),"(no event that day)"))))</f>
        <v/>
      </c>
      <c r="F975" s="16">
        <f>IF($H975="","",IFERROR(IF(SUMPRODUCT(MAX((WhoKW&lt;&gt;"")*ISNUMBER(SEARCH(WhoKW,INDEX(FormData,$H975,f_Who)&amp;""))*(ROW(WhoKW)-MIN(ROW(WhoKW))+1)))=0,"",INDEX(WhoVal,SUMPRODUCT(MAX((WhoKW&lt;&gt;"")*ISNUMBER(SEARCH(WhoKW,INDEX(FormData,$H975,f_Who)&amp;""))*(ROW(WhoKW)-MIN(ROW(WhoKW))+1))))),""))</f>
        <v/>
      </c>
      <c r="G975" s="14">
        <f>IF($H975="","",IF(COUNTIF(People!$U$5:$U$604,$B975)+COUNTIF(People!$U$5:$U$604,$B975&amp;"")&gt;0,"✓ logged","→ add"))</f>
        <v/>
      </c>
      <c r="H975">
        <f>IFERROR(IF(INDEX(FormData,972,f_Id)&amp;""="","",972),"")</f>
        <v/>
      </c>
      <c r="I975" s="16">
        <f>IF($H975="","",IFERROR(INDEX(FormData,$H975,f_Need)&amp;"",""))</f>
        <v/>
      </c>
    </row>
    <row r="976">
      <c r="A976" s="14" t="n">
        <v>972</v>
      </c>
      <c r="B976" s="14">
        <f>IF($H976="","",INDEX(FormData,$H976,f_Id))</f>
        <v/>
      </c>
      <c r="C976" s="15">
        <f>IF($H976="","",IFERROR(INDEX(FormData,$H976,f_Time),""))</f>
        <v/>
      </c>
      <c r="D976" s="14">
        <f>IF($H976="","",IFERROR(UPPER(LEFT(TRIM(INDEX(FormData,$H976,f_Name)),1)&amp;IFERROR(MID(TRIM(INDEX(FormData,$H976,f_Name)),FIND("^",SUBSTITUTE(TRIM(INDEX(FormData,$H976,f_Name))," ","^",LEN(TRIM(INDEX(FormData,$H976,f_Name)))-LEN(SUBSTITUTE(TRIM(INDEX(FormData,$H976,f_Name))," ",""))))+1,1),"")),""))</f>
        <v/>
      </c>
      <c r="E976" s="16">
        <f>IF($H976="","",IFERROR(INDEX(EvID,MATCH(INDEX(FormData,$H976,f_Event),EvID,0)),IFERROR(INDEX(EvID,MATCH(INDEX(FormData,$H976,f_Event),EvName,0)),IFERROR(INDEX(EvID,MATCH(INT($C976),EvDate,0)),"(no event that day)"))))</f>
        <v/>
      </c>
      <c r="F976" s="16">
        <f>IF($H976="","",IFERROR(IF(SUMPRODUCT(MAX((WhoKW&lt;&gt;"")*ISNUMBER(SEARCH(WhoKW,INDEX(FormData,$H976,f_Who)&amp;""))*(ROW(WhoKW)-MIN(ROW(WhoKW))+1)))=0,"",INDEX(WhoVal,SUMPRODUCT(MAX((WhoKW&lt;&gt;"")*ISNUMBER(SEARCH(WhoKW,INDEX(FormData,$H976,f_Who)&amp;""))*(ROW(WhoKW)-MIN(ROW(WhoKW))+1))))),""))</f>
        <v/>
      </c>
      <c r="G976" s="14">
        <f>IF($H976="","",IF(COUNTIF(People!$U$5:$U$604,$B976)+COUNTIF(People!$U$5:$U$604,$B976&amp;"")&gt;0,"✓ logged","→ add"))</f>
        <v/>
      </c>
      <c r="H976">
        <f>IFERROR(IF(INDEX(FormData,973,f_Id)&amp;""="","",973),"")</f>
        <v/>
      </c>
      <c r="I976" s="16">
        <f>IF($H976="","",IFERROR(INDEX(FormData,$H976,f_Need)&amp;"",""))</f>
        <v/>
      </c>
    </row>
    <row r="977">
      <c r="A977" s="14" t="n">
        <v>973</v>
      </c>
      <c r="B977" s="14">
        <f>IF($H977="","",INDEX(FormData,$H977,f_Id))</f>
        <v/>
      </c>
      <c r="C977" s="15">
        <f>IF($H977="","",IFERROR(INDEX(FormData,$H977,f_Time),""))</f>
        <v/>
      </c>
      <c r="D977" s="14">
        <f>IF($H977="","",IFERROR(UPPER(LEFT(TRIM(INDEX(FormData,$H977,f_Name)),1)&amp;IFERROR(MID(TRIM(INDEX(FormData,$H977,f_Name)),FIND("^",SUBSTITUTE(TRIM(INDEX(FormData,$H977,f_Name))," ","^",LEN(TRIM(INDEX(FormData,$H977,f_Name)))-LEN(SUBSTITUTE(TRIM(INDEX(FormData,$H977,f_Name))," ",""))))+1,1),"")),""))</f>
        <v/>
      </c>
      <c r="E977" s="16">
        <f>IF($H977="","",IFERROR(INDEX(EvID,MATCH(INDEX(FormData,$H977,f_Event),EvID,0)),IFERROR(INDEX(EvID,MATCH(INDEX(FormData,$H977,f_Event),EvName,0)),IFERROR(INDEX(EvID,MATCH(INT($C977),EvDate,0)),"(no event that day)"))))</f>
        <v/>
      </c>
      <c r="F977" s="16">
        <f>IF($H977="","",IFERROR(IF(SUMPRODUCT(MAX((WhoKW&lt;&gt;"")*ISNUMBER(SEARCH(WhoKW,INDEX(FormData,$H977,f_Who)&amp;""))*(ROW(WhoKW)-MIN(ROW(WhoKW))+1)))=0,"",INDEX(WhoVal,SUMPRODUCT(MAX((WhoKW&lt;&gt;"")*ISNUMBER(SEARCH(WhoKW,INDEX(FormData,$H977,f_Who)&amp;""))*(ROW(WhoKW)-MIN(ROW(WhoKW))+1))))),""))</f>
        <v/>
      </c>
      <c r="G977" s="14">
        <f>IF($H977="","",IF(COUNTIF(People!$U$5:$U$604,$B977)+COUNTIF(People!$U$5:$U$604,$B977&amp;"")&gt;0,"✓ logged","→ add"))</f>
        <v/>
      </c>
      <c r="H977">
        <f>IFERROR(IF(INDEX(FormData,974,f_Id)&amp;""="","",974),"")</f>
        <v/>
      </c>
      <c r="I977" s="16">
        <f>IF($H977="","",IFERROR(INDEX(FormData,$H977,f_Need)&amp;"",""))</f>
        <v/>
      </c>
    </row>
    <row r="978">
      <c r="A978" s="14" t="n">
        <v>974</v>
      </c>
      <c r="B978" s="14">
        <f>IF($H978="","",INDEX(FormData,$H978,f_Id))</f>
        <v/>
      </c>
      <c r="C978" s="15">
        <f>IF($H978="","",IFERROR(INDEX(FormData,$H978,f_Time),""))</f>
        <v/>
      </c>
      <c r="D978" s="14">
        <f>IF($H978="","",IFERROR(UPPER(LEFT(TRIM(INDEX(FormData,$H978,f_Name)),1)&amp;IFERROR(MID(TRIM(INDEX(FormData,$H978,f_Name)),FIND("^",SUBSTITUTE(TRIM(INDEX(FormData,$H978,f_Name))," ","^",LEN(TRIM(INDEX(FormData,$H978,f_Name)))-LEN(SUBSTITUTE(TRIM(INDEX(FormData,$H978,f_Name))," ",""))))+1,1),"")),""))</f>
        <v/>
      </c>
      <c r="E978" s="16">
        <f>IF($H978="","",IFERROR(INDEX(EvID,MATCH(INDEX(FormData,$H978,f_Event),EvID,0)),IFERROR(INDEX(EvID,MATCH(INDEX(FormData,$H978,f_Event),EvName,0)),IFERROR(INDEX(EvID,MATCH(INT($C978),EvDate,0)),"(no event that day)"))))</f>
        <v/>
      </c>
      <c r="F978" s="16">
        <f>IF($H978="","",IFERROR(IF(SUMPRODUCT(MAX((WhoKW&lt;&gt;"")*ISNUMBER(SEARCH(WhoKW,INDEX(FormData,$H978,f_Who)&amp;""))*(ROW(WhoKW)-MIN(ROW(WhoKW))+1)))=0,"",INDEX(WhoVal,SUMPRODUCT(MAX((WhoKW&lt;&gt;"")*ISNUMBER(SEARCH(WhoKW,INDEX(FormData,$H978,f_Who)&amp;""))*(ROW(WhoKW)-MIN(ROW(WhoKW))+1))))),""))</f>
        <v/>
      </c>
      <c r="G978" s="14">
        <f>IF($H978="","",IF(COUNTIF(People!$U$5:$U$604,$B978)+COUNTIF(People!$U$5:$U$604,$B978&amp;"")&gt;0,"✓ logged","→ add"))</f>
        <v/>
      </c>
      <c r="H978">
        <f>IFERROR(IF(INDEX(FormData,975,f_Id)&amp;""="","",975),"")</f>
        <v/>
      </c>
      <c r="I978" s="16">
        <f>IF($H978="","",IFERROR(INDEX(FormData,$H978,f_Need)&amp;"",""))</f>
        <v/>
      </c>
    </row>
    <row r="979">
      <c r="A979" s="14" t="n">
        <v>975</v>
      </c>
      <c r="B979" s="14">
        <f>IF($H979="","",INDEX(FormData,$H979,f_Id))</f>
        <v/>
      </c>
      <c r="C979" s="15">
        <f>IF($H979="","",IFERROR(INDEX(FormData,$H979,f_Time),""))</f>
        <v/>
      </c>
      <c r="D979" s="14">
        <f>IF($H979="","",IFERROR(UPPER(LEFT(TRIM(INDEX(FormData,$H979,f_Name)),1)&amp;IFERROR(MID(TRIM(INDEX(FormData,$H979,f_Name)),FIND("^",SUBSTITUTE(TRIM(INDEX(FormData,$H979,f_Name))," ","^",LEN(TRIM(INDEX(FormData,$H979,f_Name)))-LEN(SUBSTITUTE(TRIM(INDEX(FormData,$H979,f_Name))," ",""))))+1,1),"")),""))</f>
        <v/>
      </c>
      <c r="E979" s="16">
        <f>IF($H979="","",IFERROR(INDEX(EvID,MATCH(INDEX(FormData,$H979,f_Event),EvID,0)),IFERROR(INDEX(EvID,MATCH(INDEX(FormData,$H979,f_Event),EvName,0)),IFERROR(INDEX(EvID,MATCH(INT($C979),EvDate,0)),"(no event that day)"))))</f>
        <v/>
      </c>
      <c r="F979" s="16">
        <f>IF($H979="","",IFERROR(IF(SUMPRODUCT(MAX((WhoKW&lt;&gt;"")*ISNUMBER(SEARCH(WhoKW,INDEX(FormData,$H979,f_Who)&amp;""))*(ROW(WhoKW)-MIN(ROW(WhoKW))+1)))=0,"",INDEX(WhoVal,SUMPRODUCT(MAX((WhoKW&lt;&gt;"")*ISNUMBER(SEARCH(WhoKW,INDEX(FormData,$H979,f_Who)&amp;""))*(ROW(WhoKW)-MIN(ROW(WhoKW))+1))))),""))</f>
        <v/>
      </c>
      <c r="G979" s="14">
        <f>IF($H979="","",IF(COUNTIF(People!$U$5:$U$604,$B979)+COUNTIF(People!$U$5:$U$604,$B979&amp;"")&gt;0,"✓ logged","→ add"))</f>
        <v/>
      </c>
      <c r="H979">
        <f>IFERROR(IF(INDEX(FormData,976,f_Id)&amp;""="","",976),"")</f>
        <v/>
      </c>
      <c r="I979" s="16">
        <f>IF($H979="","",IFERROR(INDEX(FormData,$H979,f_Need)&amp;"",""))</f>
        <v/>
      </c>
    </row>
    <row r="980">
      <c r="A980" s="14" t="n">
        <v>976</v>
      </c>
      <c r="B980" s="14">
        <f>IF($H980="","",INDEX(FormData,$H980,f_Id))</f>
        <v/>
      </c>
      <c r="C980" s="15">
        <f>IF($H980="","",IFERROR(INDEX(FormData,$H980,f_Time),""))</f>
        <v/>
      </c>
      <c r="D980" s="14">
        <f>IF($H980="","",IFERROR(UPPER(LEFT(TRIM(INDEX(FormData,$H980,f_Name)),1)&amp;IFERROR(MID(TRIM(INDEX(FormData,$H980,f_Name)),FIND("^",SUBSTITUTE(TRIM(INDEX(FormData,$H980,f_Name))," ","^",LEN(TRIM(INDEX(FormData,$H980,f_Name)))-LEN(SUBSTITUTE(TRIM(INDEX(FormData,$H980,f_Name))," ",""))))+1,1),"")),""))</f>
        <v/>
      </c>
      <c r="E980" s="16">
        <f>IF($H980="","",IFERROR(INDEX(EvID,MATCH(INDEX(FormData,$H980,f_Event),EvID,0)),IFERROR(INDEX(EvID,MATCH(INDEX(FormData,$H980,f_Event),EvName,0)),IFERROR(INDEX(EvID,MATCH(INT($C980),EvDate,0)),"(no event that day)"))))</f>
        <v/>
      </c>
      <c r="F980" s="16">
        <f>IF($H980="","",IFERROR(IF(SUMPRODUCT(MAX((WhoKW&lt;&gt;"")*ISNUMBER(SEARCH(WhoKW,INDEX(FormData,$H980,f_Who)&amp;""))*(ROW(WhoKW)-MIN(ROW(WhoKW))+1)))=0,"",INDEX(WhoVal,SUMPRODUCT(MAX((WhoKW&lt;&gt;"")*ISNUMBER(SEARCH(WhoKW,INDEX(FormData,$H980,f_Who)&amp;""))*(ROW(WhoKW)-MIN(ROW(WhoKW))+1))))),""))</f>
        <v/>
      </c>
      <c r="G980" s="14">
        <f>IF($H980="","",IF(COUNTIF(People!$U$5:$U$604,$B980)+COUNTIF(People!$U$5:$U$604,$B980&amp;"")&gt;0,"✓ logged","→ add"))</f>
        <v/>
      </c>
      <c r="H980">
        <f>IFERROR(IF(INDEX(FormData,977,f_Id)&amp;""="","",977),"")</f>
        <v/>
      </c>
      <c r="I980" s="16">
        <f>IF($H980="","",IFERROR(INDEX(FormData,$H980,f_Need)&amp;"",""))</f>
        <v/>
      </c>
    </row>
    <row r="981">
      <c r="A981" s="14" t="n">
        <v>977</v>
      </c>
      <c r="B981" s="14">
        <f>IF($H981="","",INDEX(FormData,$H981,f_Id))</f>
        <v/>
      </c>
      <c r="C981" s="15">
        <f>IF($H981="","",IFERROR(INDEX(FormData,$H981,f_Time),""))</f>
        <v/>
      </c>
      <c r="D981" s="14">
        <f>IF($H981="","",IFERROR(UPPER(LEFT(TRIM(INDEX(FormData,$H981,f_Name)),1)&amp;IFERROR(MID(TRIM(INDEX(FormData,$H981,f_Name)),FIND("^",SUBSTITUTE(TRIM(INDEX(FormData,$H981,f_Name))," ","^",LEN(TRIM(INDEX(FormData,$H981,f_Name)))-LEN(SUBSTITUTE(TRIM(INDEX(FormData,$H981,f_Name))," ",""))))+1,1),"")),""))</f>
        <v/>
      </c>
      <c r="E981" s="16">
        <f>IF($H981="","",IFERROR(INDEX(EvID,MATCH(INDEX(FormData,$H981,f_Event),EvID,0)),IFERROR(INDEX(EvID,MATCH(INDEX(FormData,$H981,f_Event),EvName,0)),IFERROR(INDEX(EvID,MATCH(INT($C981),EvDate,0)),"(no event that day)"))))</f>
        <v/>
      </c>
      <c r="F981" s="16">
        <f>IF($H981="","",IFERROR(IF(SUMPRODUCT(MAX((WhoKW&lt;&gt;"")*ISNUMBER(SEARCH(WhoKW,INDEX(FormData,$H981,f_Who)&amp;""))*(ROW(WhoKW)-MIN(ROW(WhoKW))+1)))=0,"",INDEX(WhoVal,SUMPRODUCT(MAX((WhoKW&lt;&gt;"")*ISNUMBER(SEARCH(WhoKW,INDEX(FormData,$H981,f_Who)&amp;""))*(ROW(WhoKW)-MIN(ROW(WhoKW))+1))))),""))</f>
        <v/>
      </c>
      <c r="G981" s="14">
        <f>IF($H981="","",IF(COUNTIF(People!$U$5:$U$604,$B981)+COUNTIF(People!$U$5:$U$604,$B981&amp;"")&gt;0,"✓ logged","→ add"))</f>
        <v/>
      </c>
      <c r="H981">
        <f>IFERROR(IF(INDEX(FormData,978,f_Id)&amp;""="","",978),"")</f>
        <v/>
      </c>
      <c r="I981" s="16">
        <f>IF($H981="","",IFERROR(INDEX(FormData,$H981,f_Need)&amp;"",""))</f>
        <v/>
      </c>
    </row>
    <row r="982">
      <c r="A982" s="14" t="n">
        <v>978</v>
      </c>
      <c r="B982" s="14">
        <f>IF($H982="","",INDEX(FormData,$H982,f_Id))</f>
        <v/>
      </c>
      <c r="C982" s="15">
        <f>IF($H982="","",IFERROR(INDEX(FormData,$H982,f_Time),""))</f>
        <v/>
      </c>
      <c r="D982" s="14">
        <f>IF($H982="","",IFERROR(UPPER(LEFT(TRIM(INDEX(FormData,$H982,f_Name)),1)&amp;IFERROR(MID(TRIM(INDEX(FormData,$H982,f_Name)),FIND("^",SUBSTITUTE(TRIM(INDEX(FormData,$H982,f_Name))," ","^",LEN(TRIM(INDEX(FormData,$H982,f_Name)))-LEN(SUBSTITUTE(TRIM(INDEX(FormData,$H982,f_Name))," ",""))))+1,1),"")),""))</f>
        <v/>
      </c>
      <c r="E982" s="16">
        <f>IF($H982="","",IFERROR(INDEX(EvID,MATCH(INDEX(FormData,$H982,f_Event),EvID,0)),IFERROR(INDEX(EvID,MATCH(INDEX(FormData,$H982,f_Event),EvName,0)),IFERROR(INDEX(EvID,MATCH(INT($C982),EvDate,0)),"(no event that day)"))))</f>
        <v/>
      </c>
      <c r="F982" s="16">
        <f>IF($H982="","",IFERROR(IF(SUMPRODUCT(MAX((WhoKW&lt;&gt;"")*ISNUMBER(SEARCH(WhoKW,INDEX(FormData,$H982,f_Who)&amp;""))*(ROW(WhoKW)-MIN(ROW(WhoKW))+1)))=0,"",INDEX(WhoVal,SUMPRODUCT(MAX((WhoKW&lt;&gt;"")*ISNUMBER(SEARCH(WhoKW,INDEX(FormData,$H982,f_Who)&amp;""))*(ROW(WhoKW)-MIN(ROW(WhoKW))+1))))),""))</f>
        <v/>
      </c>
      <c r="G982" s="14">
        <f>IF($H982="","",IF(COUNTIF(People!$U$5:$U$604,$B982)+COUNTIF(People!$U$5:$U$604,$B982&amp;"")&gt;0,"✓ logged","→ add"))</f>
        <v/>
      </c>
      <c r="H982">
        <f>IFERROR(IF(INDEX(FormData,979,f_Id)&amp;""="","",979),"")</f>
        <v/>
      </c>
      <c r="I982" s="16">
        <f>IF($H982="","",IFERROR(INDEX(FormData,$H982,f_Need)&amp;"",""))</f>
        <v/>
      </c>
    </row>
    <row r="983">
      <c r="A983" s="14" t="n">
        <v>979</v>
      </c>
      <c r="B983" s="14">
        <f>IF($H983="","",INDEX(FormData,$H983,f_Id))</f>
        <v/>
      </c>
      <c r="C983" s="15">
        <f>IF($H983="","",IFERROR(INDEX(FormData,$H983,f_Time),""))</f>
        <v/>
      </c>
      <c r="D983" s="14">
        <f>IF($H983="","",IFERROR(UPPER(LEFT(TRIM(INDEX(FormData,$H983,f_Name)),1)&amp;IFERROR(MID(TRIM(INDEX(FormData,$H983,f_Name)),FIND("^",SUBSTITUTE(TRIM(INDEX(FormData,$H983,f_Name))," ","^",LEN(TRIM(INDEX(FormData,$H983,f_Name)))-LEN(SUBSTITUTE(TRIM(INDEX(FormData,$H983,f_Name))," ",""))))+1,1),"")),""))</f>
        <v/>
      </c>
      <c r="E983" s="16">
        <f>IF($H983="","",IFERROR(INDEX(EvID,MATCH(INDEX(FormData,$H983,f_Event),EvID,0)),IFERROR(INDEX(EvID,MATCH(INDEX(FormData,$H983,f_Event),EvName,0)),IFERROR(INDEX(EvID,MATCH(INT($C983),EvDate,0)),"(no event that day)"))))</f>
        <v/>
      </c>
      <c r="F983" s="16">
        <f>IF($H983="","",IFERROR(IF(SUMPRODUCT(MAX((WhoKW&lt;&gt;"")*ISNUMBER(SEARCH(WhoKW,INDEX(FormData,$H983,f_Who)&amp;""))*(ROW(WhoKW)-MIN(ROW(WhoKW))+1)))=0,"",INDEX(WhoVal,SUMPRODUCT(MAX((WhoKW&lt;&gt;"")*ISNUMBER(SEARCH(WhoKW,INDEX(FormData,$H983,f_Who)&amp;""))*(ROW(WhoKW)-MIN(ROW(WhoKW))+1))))),""))</f>
        <v/>
      </c>
      <c r="G983" s="14">
        <f>IF($H983="","",IF(COUNTIF(People!$U$5:$U$604,$B983)+COUNTIF(People!$U$5:$U$604,$B983&amp;"")&gt;0,"✓ logged","→ add"))</f>
        <v/>
      </c>
      <c r="H983">
        <f>IFERROR(IF(INDEX(FormData,980,f_Id)&amp;""="","",980),"")</f>
        <v/>
      </c>
      <c r="I983" s="16">
        <f>IF($H983="","",IFERROR(INDEX(FormData,$H983,f_Need)&amp;"",""))</f>
        <v/>
      </c>
    </row>
    <row r="984">
      <c r="A984" s="14" t="n">
        <v>980</v>
      </c>
      <c r="B984" s="14">
        <f>IF($H984="","",INDEX(FormData,$H984,f_Id))</f>
        <v/>
      </c>
      <c r="C984" s="15">
        <f>IF($H984="","",IFERROR(INDEX(FormData,$H984,f_Time),""))</f>
        <v/>
      </c>
      <c r="D984" s="14">
        <f>IF($H984="","",IFERROR(UPPER(LEFT(TRIM(INDEX(FormData,$H984,f_Name)),1)&amp;IFERROR(MID(TRIM(INDEX(FormData,$H984,f_Name)),FIND("^",SUBSTITUTE(TRIM(INDEX(FormData,$H984,f_Name))," ","^",LEN(TRIM(INDEX(FormData,$H984,f_Name)))-LEN(SUBSTITUTE(TRIM(INDEX(FormData,$H984,f_Name))," ",""))))+1,1),"")),""))</f>
        <v/>
      </c>
      <c r="E984" s="16">
        <f>IF($H984="","",IFERROR(INDEX(EvID,MATCH(INDEX(FormData,$H984,f_Event),EvID,0)),IFERROR(INDEX(EvID,MATCH(INDEX(FormData,$H984,f_Event),EvName,0)),IFERROR(INDEX(EvID,MATCH(INT($C984),EvDate,0)),"(no event that day)"))))</f>
        <v/>
      </c>
      <c r="F984" s="16">
        <f>IF($H984="","",IFERROR(IF(SUMPRODUCT(MAX((WhoKW&lt;&gt;"")*ISNUMBER(SEARCH(WhoKW,INDEX(FormData,$H984,f_Who)&amp;""))*(ROW(WhoKW)-MIN(ROW(WhoKW))+1)))=0,"",INDEX(WhoVal,SUMPRODUCT(MAX((WhoKW&lt;&gt;"")*ISNUMBER(SEARCH(WhoKW,INDEX(FormData,$H984,f_Who)&amp;""))*(ROW(WhoKW)-MIN(ROW(WhoKW))+1))))),""))</f>
        <v/>
      </c>
      <c r="G984" s="14">
        <f>IF($H984="","",IF(COUNTIF(People!$U$5:$U$604,$B984)+COUNTIF(People!$U$5:$U$604,$B984&amp;"")&gt;0,"✓ logged","→ add"))</f>
        <v/>
      </c>
      <c r="H984">
        <f>IFERROR(IF(INDEX(FormData,981,f_Id)&amp;""="","",981),"")</f>
        <v/>
      </c>
      <c r="I984" s="16">
        <f>IF($H984="","",IFERROR(INDEX(FormData,$H984,f_Need)&amp;"",""))</f>
        <v/>
      </c>
    </row>
    <row r="985">
      <c r="A985" s="14" t="n">
        <v>981</v>
      </c>
      <c r="B985" s="14">
        <f>IF($H985="","",INDEX(FormData,$H985,f_Id))</f>
        <v/>
      </c>
      <c r="C985" s="15">
        <f>IF($H985="","",IFERROR(INDEX(FormData,$H985,f_Time),""))</f>
        <v/>
      </c>
      <c r="D985" s="14">
        <f>IF($H985="","",IFERROR(UPPER(LEFT(TRIM(INDEX(FormData,$H985,f_Name)),1)&amp;IFERROR(MID(TRIM(INDEX(FormData,$H985,f_Name)),FIND("^",SUBSTITUTE(TRIM(INDEX(FormData,$H985,f_Name))," ","^",LEN(TRIM(INDEX(FormData,$H985,f_Name)))-LEN(SUBSTITUTE(TRIM(INDEX(FormData,$H985,f_Name))," ",""))))+1,1),"")),""))</f>
        <v/>
      </c>
      <c r="E985" s="16">
        <f>IF($H985="","",IFERROR(INDEX(EvID,MATCH(INDEX(FormData,$H985,f_Event),EvID,0)),IFERROR(INDEX(EvID,MATCH(INDEX(FormData,$H985,f_Event),EvName,0)),IFERROR(INDEX(EvID,MATCH(INT($C985),EvDate,0)),"(no event that day)"))))</f>
        <v/>
      </c>
      <c r="F985" s="16">
        <f>IF($H985="","",IFERROR(IF(SUMPRODUCT(MAX((WhoKW&lt;&gt;"")*ISNUMBER(SEARCH(WhoKW,INDEX(FormData,$H985,f_Who)&amp;""))*(ROW(WhoKW)-MIN(ROW(WhoKW))+1)))=0,"",INDEX(WhoVal,SUMPRODUCT(MAX((WhoKW&lt;&gt;"")*ISNUMBER(SEARCH(WhoKW,INDEX(FormData,$H985,f_Who)&amp;""))*(ROW(WhoKW)-MIN(ROW(WhoKW))+1))))),""))</f>
        <v/>
      </c>
      <c r="G985" s="14">
        <f>IF($H985="","",IF(COUNTIF(People!$U$5:$U$604,$B985)+COUNTIF(People!$U$5:$U$604,$B985&amp;"")&gt;0,"✓ logged","→ add"))</f>
        <v/>
      </c>
      <c r="H985">
        <f>IFERROR(IF(INDEX(FormData,982,f_Id)&amp;""="","",982),"")</f>
        <v/>
      </c>
      <c r="I985" s="16">
        <f>IF($H985="","",IFERROR(INDEX(FormData,$H985,f_Need)&amp;"",""))</f>
        <v/>
      </c>
    </row>
    <row r="986">
      <c r="A986" s="14" t="n">
        <v>982</v>
      </c>
      <c r="B986" s="14">
        <f>IF($H986="","",INDEX(FormData,$H986,f_Id))</f>
        <v/>
      </c>
      <c r="C986" s="15">
        <f>IF($H986="","",IFERROR(INDEX(FormData,$H986,f_Time),""))</f>
        <v/>
      </c>
      <c r="D986" s="14">
        <f>IF($H986="","",IFERROR(UPPER(LEFT(TRIM(INDEX(FormData,$H986,f_Name)),1)&amp;IFERROR(MID(TRIM(INDEX(FormData,$H986,f_Name)),FIND("^",SUBSTITUTE(TRIM(INDEX(FormData,$H986,f_Name))," ","^",LEN(TRIM(INDEX(FormData,$H986,f_Name)))-LEN(SUBSTITUTE(TRIM(INDEX(FormData,$H986,f_Name))," ",""))))+1,1),"")),""))</f>
        <v/>
      </c>
      <c r="E986" s="16">
        <f>IF($H986="","",IFERROR(INDEX(EvID,MATCH(INDEX(FormData,$H986,f_Event),EvID,0)),IFERROR(INDEX(EvID,MATCH(INDEX(FormData,$H986,f_Event),EvName,0)),IFERROR(INDEX(EvID,MATCH(INT($C986),EvDate,0)),"(no event that day)"))))</f>
        <v/>
      </c>
      <c r="F986" s="16">
        <f>IF($H986="","",IFERROR(IF(SUMPRODUCT(MAX((WhoKW&lt;&gt;"")*ISNUMBER(SEARCH(WhoKW,INDEX(FormData,$H986,f_Who)&amp;""))*(ROW(WhoKW)-MIN(ROW(WhoKW))+1)))=0,"",INDEX(WhoVal,SUMPRODUCT(MAX((WhoKW&lt;&gt;"")*ISNUMBER(SEARCH(WhoKW,INDEX(FormData,$H986,f_Who)&amp;""))*(ROW(WhoKW)-MIN(ROW(WhoKW))+1))))),""))</f>
        <v/>
      </c>
      <c r="G986" s="14">
        <f>IF($H986="","",IF(COUNTIF(People!$U$5:$U$604,$B986)+COUNTIF(People!$U$5:$U$604,$B986&amp;"")&gt;0,"✓ logged","→ add"))</f>
        <v/>
      </c>
      <c r="H986">
        <f>IFERROR(IF(INDEX(FormData,983,f_Id)&amp;""="","",983),"")</f>
        <v/>
      </c>
      <c r="I986" s="16">
        <f>IF($H986="","",IFERROR(INDEX(FormData,$H986,f_Need)&amp;"",""))</f>
        <v/>
      </c>
    </row>
    <row r="987">
      <c r="A987" s="14" t="n">
        <v>983</v>
      </c>
      <c r="B987" s="14">
        <f>IF($H987="","",INDEX(FormData,$H987,f_Id))</f>
        <v/>
      </c>
      <c r="C987" s="15">
        <f>IF($H987="","",IFERROR(INDEX(FormData,$H987,f_Time),""))</f>
        <v/>
      </c>
      <c r="D987" s="14">
        <f>IF($H987="","",IFERROR(UPPER(LEFT(TRIM(INDEX(FormData,$H987,f_Name)),1)&amp;IFERROR(MID(TRIM(INDEX(FormData,$H987,f_Name)),FIND("^",SUBSTITUTE(TRIM(INDEX(FormData,$H987,f_Name))," ","^",LEN(TRIM(INDEX(FormData,$H987,f_Name)))-LEN(SUBSTITUTE(TRIM(INDEX(FormData,$H987,f_Name))," ",""))))+1,1),"")),""))</f>
        <v/>
      </c>
      <c r="E987" s="16">
        <f>IF($H987="","",IFERROR(INDEX(EvID,MATCH(INDEX(FormData,$H987,f_Event),EvID,0)),IFERROR(INDEX(EvID,MATCH(INDEX(FormData,$H987,f_Event),EvName,0)),IFERROR(INDEX(EvID,MATCH(INT($C987),EvDate,0)),"(no event that day)"))))</f>
        <v/>
      </c>
      <c r="F987" s="16">
        <f>IF($H987="","",IFERROR(IF(SUMPRODUCT(MAX((WhoKW&lt;&gt;"")*ISNUMBER(SEARCH(WhoKW,INDEX(FormData,$H987,f_Who)&amp;""))*(ROW(WhoKW)-MIN(ROW(WhoKW))+1)))=0,"",INDEX(WhoVal,SUMPRODUCT(MAX((WhoKW&lt;&gt;"")*ISNUMBER(SEARCH(WhoKW,INDEX(FormData,$H987,f_Who)&amp;""))*(ROW(WhoKW)-MIN(ROW(WhoKW))+1))))),""))</f>
        <v/>
      </c>
      <c r="G987" s="14">
        <f>IF($H987="","",IF(COUNTIF(People!$U$5:$U$604,$B987)+COUNTIF(People!$U$5:$U$604,$B987&amp;"")&gt;0,"✓ logged","→ add"))</f>
        <v/>
      </c>
      <c r="H987">
        <f>IFERROR(IF(INDEX(FormData,984,f_Id)&amp;""="","",984),"")</f>
        <v/>
      </c>
      <c r="I987" s="16">
        <f>IF($H987="","",IFERROR(INDEX(FormData,$H987,f_Need)&amp;"",""))</f>
        <v/>
      </c>
    </row>
    <row r="988">
      <c r="A988" s="14" t="n">
        <v>984</v>
      </c>
      <c r="B988" s="14">
        <f>IF($H988="","",INDEX(FormData,$H988,f_Id))</f>
        <v/>
      </c>
      <c r="C988" s="15">
        <f>IF($H988="","",IFERROR(INDEX(FormData,$H988,f_Time),""))</f>
        <v/>
      </c>
      <c r="D988" s="14">
        <f>IF($H988="","",IFERROR(UPPER(LEFT(TRIM(INDEX(FormData,$H988,f_Name)),1)&amp;IFERROR(MID(TRIM(INDEX(FormData,$H988,f_Name)),FIND("^",SUBSTITUTE(TRIM(INDEX(FormData,$H988,f_Name))," ","^",LEN(TRIM(INDEX(FormData,$H988,f_Name)))-LEN(SUBSTITUTE(TRIM(INDEX(FormData,$H988,f_Name))," ",""))))+1,1),"")),""))</f>
        <v/>
      </c>
      <c r="E988" s="16">
        <f>IF($H988="","",IFERROR(INDEX(EvID,MATCH(INDEX(FormData,$H988,f_Event),EvID,0)),IFERROR(INDEX(EvID,MATCH(INDEX(FormData,$H988,f_Event),EvName,0)),IFERROR(INDEX(EvID,MATCH(INT($C988),EvDate,0)),"(no event that day)"))))</f>
        <v/>
      </c>
      <c r="F988" s="16">
        <f>IF($H988="","",IFERROR(IF(SUMPRODUCT(MAX((WhoKW&lt;&gt;"")*ISNUMBER(SEARCH(WhoKW,INDEX(FormData,$H988,f_Who)&amp;""))*(ROW(WhoKW)-MIN(ROW(WhoKW))+1)))=0,"",INDEX(WhoVal,SUMPRODUCT(MAX((WhoKW&lt;&gt;"")*ISNUMBER(SEARCH(WhoKW,INDEX(FormData,$H988,f_Who)&amp;""))*(ROW(WhoKW)-MIN(ROW(WhoKW))+1))))),""))</f>
        <v/>
      </c>
      <c r="G988" s="14">
        <f>IF($H988="","",IF(COUNTIF(People!$U$5:$U$604,$B988)+COUNTIF(People!$U$5:$U$604,$B988&amp;"")&gt;0,"✓ logged","→ add"))</f>
        <v/>
      </c>
      <c r="H988">
        <f>IFERROR(IF(INDEX(FormData,985,f_Id)&amp;""="","",985),"")</f>
        <v/>
      </c>
      <c r="I988" s="16">
        <f>IF($H988="","",IFERROR(INDEX(FormData,$H988,f_Need)&amp;"",""))</f>
        <v/>
      </c>
    </row>
    <row r="989">
      <c r="A989" s="14" t="n">
        <v>985</v>
      </c>
      <c r="B989" s="14">
        <f>IF($H989="","",INDEX(FormData,$H989,f_Id))</f>
        <v/>
      </c>
      <c r="C989" s="15">
        <f>IF($H989="","",IFERROR(INDEX(FormData,$H989,f_Time),""))</f>
        <v/>
      </c>
      <c r="D989" s="14">
        <f>IF($H989="","",IFERROR(UPPER(LEFT(TRIM(INDEX(FormData,$H989,f_Name)),1)&amp;IFERROR(MID(TRIM(INDEX(FormData,$H989,f_Name)),FIND("^",SUBSTITUTE(TRIM(INDEX(FormData,$H989,f_Name))," ","^",LEN(TRIM(INDEX(FormData,$H989,f_Name)))-LEN(SUBSTITUTE(TRIM(INDEX(FormData,$H989,f_Name))," ",""))))+1,1),"")),""))</f>
        <v/>
      </c>
      <c r="E989" s="16">
        <f>IF($H989="","",IFERROR(INDEX(EvID,MATCH(INDEX(FormData,$H989,f_Event),EvID,0)),IFERROR(INDEX(EvID,MATCH(INDEX(FormData,$H989,f_Event),EvName,0)),IFERROR(INDEX(EvID,MATCH(INT($C989),EvDate,0)),"(no event that day)"))))</f>
        <v/>
      </c>
      <c r="F989" s="16">
        <f>IF($H989="","",IFERROR(IF(SUMPRODUCT(MAX((WhoKW&lt;&gt;"")*ISNUMBER(SEARCH(WhoKW,INDEX(FormData,$H989,f_Who)&amp;""))*(ROW(WhoKW)-MIN(ROW(WhoKW))+1)))=0,"",INDEX(WhoVal,SUMPRODUCT(MAX((WhoKW&lt;&gt;"")*ISNUMBER(SEARCH(WhoKW,INDEX(FormData,$H989,f_Who)&amp;""))*(ROW(WhoKW)-MIN(ROW(WhoKW))+1))))),""))</f>
        <v/>
      </c>
      <c r="G989" s="14">
        <f>IF($H989="","",IF(COUNTIF(People!$U$5:$U$604,$B989)+COUNTIF(People!$U$5:$U$604,$B989&amp;"")&gt;0,"✓ logged","→ add"))</f>
        <v/>
      </c>
      <c r="H989">
        <f>IFERROR(IF(INDEX(FormData,986,f_Id)&amp;""="","",986),"")</f>
        <v/>
      </c>
      <c r="I989" s="16">
        <f>IF($H989="","",IFERROR(INDEX(FormData,$H989,f_Need)&amp;"",""))</f>
        <v/>
      </c>
    </row>
    <row r="990">
      <c r="A990" s="14" t="n">
        <v>986</v>
      </c>
      <c r="B990" s="14">
        <f>IF($H990="","",INDEX(FormData,$H990,f_Id))</f>
        <v/>
      </c>
      <c r="C990" s="15">
        <f>IF($H990="","",IFERROR(INDEX(FormData,$H990,f_Time),""))</f>
        <v/>
      </c>
      <c r="D990" s="14">
        <f>IF($H990="","",IFERROR(UPPER(LEFT(TRIM(INDEX(FormData,$H990,f_Name)),1)&amp;IFERROR(MID(TRIM(INDEX(FormData,$H990,f_Name)),FIND("^",SUBSTITUTE(TRIM(INDEX(FormData,$H990,f_Name))," ","^",LEN(TRIM(INDEX(FormData,$H990,f_Name)))-LEN(SUBSTITUTE(TRIM(INDEX(FormData,$H990,f_Name))," ",""))))+1,1),"")),""))</f>
        <v/>
      </c>
      <c r="E990" s="16">
        <f>IF($H990="","",IFERROR(INDEX(EvID,MATCH(INDEX(FormData,$H990,f_Event),EvID,0)),IFERROR(INDEX(EvID,MATCH(INDEX(FormData,$H990,f_Event),EvName,0)),IFERROR(INDEX(EvID,MATCH(INT($C990),EvDate,0)),"(no event that day)"))))</f>
        <v/>
      </c>
      <c r="F990" s="16">
        <f>IF($H990="","",IFERROR(IF(SUMPRODUCT(MAX((WhoKW&lt;&gt;"")*ISNUMBER(SEARCH(WhoKW,INDEX(FormData,$H990,f_Who)&amp;""))*(ROW(WhoKW)-MIN(ROW(WhoKW))+1)))=0,"",INDEX(WhoVal,SUMPRODUCT(MAX((WhoKW&lt;&gt;"")*ISNUMBER(SEARCH(WhoKW,INDEX(FormData,$H990,f_Who)&amp;""))*(ROW(WhoKW)-MIN(ROW(WhoKW))+1))))),""))</f>
        <v/>
      </c>
      <c r="G990" s="14">
        <f>IF($H990="","",IF(COUNTIF(People!$U$5:$U$604,$B990)+COUNTIF(People!$U$5:$U$604,$B990&amp;"")&gt;0,"✓ logged","→ add"))</f>
        <v/>
      </c>
      <c r="H990">
        <f>IFERROR(IF(INDEX(FormData,987,f_Id)&amp;""="","",987),"")</f>
        <v/>
      </c>
      <c r="I990" s="16">
        <f>IF($H990="","",IFERROR(INDEX(FormData,$H990,f_Need)&amp;"",""))</f>
        <v/>
      </c>
    </row>
    <row r="991">
      <c r="A991" s="14" t="n">
        <v>987</v>
      </c>
      <c r="B991" s="14">
        <f>IF($H991="","",INDEX(FormData,$H991,f_Id))</f>
        <v/>
      </c>
      <c r="C991" s="15">
        <f>IF($H991="","",IFERROR(INDEX(FormData,$H991,f_Time),""))</f>
        <v/>
      </c>
      <c r="D991" s="14">
        <f>IF($H991="","",IFERROR(UPPER(LEFT(TRIM(INDEX(FormData,$H991,f_Name)),1)&amp;IFERROR(MID(TRIM(INDEX(FormData,$H991,f_Name)),FIND("^",SUBSTITUTE(TRIM(INDEX(FormData,$H991,f_Name))," ","^",LEN(TRIM(INDEX(FormData,$H991,f_Name)))-LEN(SUBSTITUTE(TRIM(INDEX(FormData,$H991,f_Name))," ",""))))+1,1),"")),""))</f>
        <v/>
      </c>
      <c r="E991" s="16">
        <f>IF($H991="","",IFERROR(INDEX(EvID,MATCH(INDEX(FormData,$H991,f_Event),EvID,0)),IFERROR(INDEX(EvID,MATCH(INDEX(FormData,$H991,f_Event),EvName,0)),IFERROR(INDEX(EvID,MATCH(INT($C991),EvDate,0)),"(no event that day)"))))</f>
        <v/>
      </c>
      <c r="F991" s="16">
        <f>IF($H991="","",IFERROR(IF(SUMPRODUCT(MAX((WhoKW&lt;&gt;"")*ISNUMBER(SEARCH(WhoKW,INDEX(FormData,$H991,f_Who)&amp;""))*(ROW(WhoKW)-MIN(ROW(WhoKW))+1)))=0,"",INDEX(WhoVal,SUMPRODUCT(MAX((WhoKW&lt;&gt;"")*ISNUMBER(SEARCH(WhoKW,INDEX(FormData,$H991,f_Who)&amp;""))*(ROW(WhoKW)-MIN(ROW(WhoKW))+1))))),""))</f>
        <v/>
      </c>
      <c r="G991" s="14">
        <f>IF($H991="","",IF(COUNTIF(People!$U$5:$U$604,$B991)+COUNTIF(People!$U$5:$U$604,$B991&amp;"")&gt;0,"✓ logged","→ add"))</f>
        <v/>
      </c>
      <c r="H991">
        <f>IFERROR(IF(INDEX(FormData,988,f_Id)&amp;""="","",988),"")</f>
        <v/>
      </c>
      <c r="I991" s="16">
        <f>IF($H991="","",IFERROR(INDEX(FormData,$H991,f_Need)&amp;"",""))</f>
        <v/>
      </c>
    </row>
    <row r="992">
      <c r="A992" s="14" t="n">
        <v>988</v>
      </c>
      <c r="B992" s="14">
        <f>IF($H992="","",INDEX(FormData,$H992,f_Id))</f>
        <v/>
      </c>
      <c r="C992" s="15">
        <f>IF($H992="","",IFERROR(INDEX(FormData,$H992,f_Time),""))</f>
        <v/>
      </c>
      <c r="D992" s="14">
        <f>IF($H992="","",IFERROR(UPPER(LEFT(TRIM(INDEX(FormData,$H992,f_Name)),1)&amp;IFERROR(MID(TRIM(INDEX(FormData,$H992,f_Name)),FIND("^",SUBSTITUTE(TRIM(INDEX(FormData,$H992,f_Name))," ","^",LEN(TRIM(INDEX(FormData,$H992,f_Name)))-LEN(SUBSTITUTE(TRIM(INDEX(FormData,$H992,f_Name))," ",""))))+1,1),"")),""))</f>
        <v/>
      </c>
      <c r="E992" s="16">
        <f>IF($H992="","",IFERROR(INDEX(EvID,MATCH(INDEX(FormData,$H992,f_Event),EvID,0)),IFERROR(INDEX(EvID,MATCH(INDEX(FormData,$H992,f_Event),EvName,0)),IFERROR(INDEX(EvID,MATCH(INT($C992),EvDate,0)),"(no event that day)"))))</f>
        <v/>
      </c>
      <c r="F992" s="16">
        <f>IF($H992="","",IFERROR(IF(SUMPRODUCT(MAX((WhoKW&lt;&gt;"")*ISNUMBER(SEARCH(WhoKW,INDEX(FormData,$H992,f_Who)&amp;""))*(ROW(WhoKW)-MIN(ROW(WhoKW))+1)))=0,"",INDEX(WhoVal,SUMPRODUCT(MAX((WhoKW&lt;&gt;"")*ISNUMBER(SEARCH(WhoKW,INDEX(FormData,$H992,f_Who)&amp;""))*(ROW(WhoKW)-MIN(ROW(WhoKW))+1))))),""))</f>
        <v/>
      </c>
      <c r="G992" s="14">
        <f>IF($H992="","",IF(COUNTIF(People!$U$5:$U$604,$B992)+COUNTIF(People!$U$5:$U$604,$B992&amp;"")&gt;0,"✓ logged","→ add"))</f>
        <v/>
      </c>
      <c r="H992">
        <f>IFERROR(IF(INDEX(FormData,989,f_Id)&amp;""="","",989),"")</f>
        <v/>
      </c>
      <c r="I992" s="16">
        <f>IF($H992="","",IFERROR(INDEX(FormData,$H992,f_Need)&amp;"",""))</f>
        <v/>
      </c>
    </row>
    <row r="993">
      <c r="A993" s="14" t="n">
        <v>989</v>
      </c>
      <c r="B993" s="14">
        <f>IF($H993="","",INDEX(FormData,$H993,f_Id))</f>
        <v/>
      </c>
      <c r="C993" s="15">
        <f>IF($H993="","",IFERROR(INDEX(FormData,$H993,f_Time),""))</f>
        <v/>
      </c>
      <c r="D993" s="14">
        <f>IF($H993="","",IFERROR(UPPER(LEFT(TRIM(INDEX(FormData,$H993,f_Name)),1)&amp;IFERROR(MID(TRIM(INDEX(FormData,$H993,f_Name)),FIND("^",SUBSTITUTE(TRIM(INDEX(FormData,$H993,f_Name))," ","^",LEN(TRIM(INDEX(FormData,$H993,f_Name)))-LEN(SUBSTITUTE(TRIM(INDEX(FormData,$H993,f_Name))," ",""))))+1,1),"")),""))</f>
        <v/>
      </c>
      <c r="E993" s="16">
        <f>IF($H993="","",IFERROR(INDEX(EvID,MATCH(INDEX(FormData,$H993,f_Event),EvID,0)),IFERROR(INDEX(EvID,MATCH(INDEX(FormData,$H993,f_Event),EvName,0)),IFERROR(INDEX(EvID,MATCH(INT($C993),EvDate,0)),"(no event that day)"))))</f>
        <v/>
      </c>
      <c r="F993" s="16">
        <f>IF($H993="","",IFERROR(IF(SUMPRODUCT(MAX((WhoKW&lt;&gt;"")*ISNUMBER(SEARCH(WhoKW,INDEX(FormData,$H993,f_Who)&amp;""))*(ROW(WhoKW)-MIN(ROW(WhoKW))+1)))=0,"",INDEX(WhoVal,SUMPRODUCT(MAX((WhoKW&lt;&gt;"")*ISNUMBER(SEARCH(WhoKW,INDEX(FormData,$H993,f_Who)&amp;""))*(ROW(WhoKW)-MIN(ROW(WhoKW))+1))))),""))</f>
        <v/>
      </c>
      <c r="G993" s="14">
        <f>IF($H993="","",IF(COUNTIF(People!$U$5:$U$604,$B993)+COUNTIF(People!$U$5:$U$604,$B993&amp;"")&gt;0,"✓ logged","→ add"))</f>
        <v/>
      </c>
      <c r="H993">
        <f>IFERROR(IF(INDEX(FormData,990,f_Id)&amp;""="","",990),"")</f>
        <v/>
      </c>
      <c r="I993" s="16">
        <f>IF($H993="","",IFERROR(INDEX(FormData,$H993,f_Need)&amp;"",""))</f>
        <v/>
      </c>
    </row>
    <row r="994">
      <c r="A994" s="14" t="n">
        <v>990</v>
      </c>
      <c r="B994" s="14">
        <f>IF($H994="","",INDEX(FormData,$H994,f_Id))</f>
        <v/>
      </c>
      <c r="C994" s="15">
        <f>IF($H994="","",IFERROR(INDEX(FormData,$H994,f_Time),""))</f>
        <v/>
      </c>
      <c r="D994" s="14">
        <f>IF($H994="","",IFERROR(UPPER(LEFT(TRIM(INDEX(FormData,$H994,f_Name)),1)&amp;IFERROR(MID(TRIM(INDEX(FormData,$H994,f_Name)),FIND("^",SUBSTITUTE(TRIM(INDEX(FormData,$H994,f_Name))," ","^",LEN(TRIM(INDEX(FormData,$H994,f_Name)))-LEN(SUBSTITUTE(TRIM(INDEX(FormData,$H994,f_Name))," ",""))))+1,1),"")),""))</f>
        <v/>
      </c>
      <c r="E994" s="16">
        <f>IF($H994="","",IFERROR(INDEX(EvID,MATCH(INDEX(FormData,$H994,f_Event),EvID,0)),IFERROR(INDEX(EvID,MATCH(INDEX(FormData,$H994,f_Event),EvName,0)),IFERROR(INDEX(EvID,MATCH(INT($C994),EvDate,0)),"(no event that day)"))))</f>
        <v/>
      </c>
      <c r="F994" s="16">
        <f>IF($H994="","",IFERROR(IF(SUMPRODUCT(MAX((WhoKW&lt;&gt;"")*ISNUMBER(SEARCH(WhoKW,INDEX(FormData,$H994,f_Who)&amp;""))*(ROW(WhoKW)-MIN(ROW(WhoKW))+1)))=0,"",INDEX(WhoVal,SUMPRODUCT(MAX((WhoKW&lt;&gt;"")*ISNUMBER(SEARCH(WhoKW,INDEX(FormData,$H994,f_Who)&amp;""))*(ROW(WhoKW)-MIN(ROW(WhoKW))+1))))),""))</f>
        <v/>
      </c>
      <c r="G994" s="14">
        <f>IF($H994="","",IF(COUNTIF(People!$U$5:$U$604,$B994)+COUNTIF(People!$U$5:$U$604,$B994&amp;"")&gt;0,"✓ logged","→ add"))</f>
        <v/>
      </c>
      <c r="H994">
        <f>IFERROR(IF(INDEX(FormData,991,f_Id)&amp;""="","",991),"")</f>
        <v/>
      </c>
      <c r="I994" s="16">
        <f>IF($H994="","",IFERROR(INDEX(FormData,$H994,f_Need)&amp;"",""))</f>
        <v/>
      </c>
    </row>
    <row r="995">
      <c r="A995" s="14" t="n">
        <v>991</v>
      </c>
      <c r="B995" s="14">
        <f>IF($H995="","",INDEX(FormData,$H995,f_Id))</f>
        <v/>
      </c>
      <c r="C995" s="15">
        <f>IF($H995="","",IFERROR(INDEX(FormData,$H995,f_Time),""))</f>
        <v/>
      </c>
      <c r="D995" s="14">
        <f>IF($H995="","",IFERROR(UPPER(LEFT(TRIM(INDEX(FormData,$H995,f_Name)),1)&amp;IFERROR(MID(TRIM(INDEX(FormData,$H995,f_Name)),FIND("^",SUBSTITUTE(TRIM(INDEX(FormData,$H995,f_Name))," ","^",LEN(TRIM(INDEX(FormData,$H995,f_Name)))-LEN(SUBSTITUTE(TRIM(INDEX(FormData,$H995,f_Name))," ",""))))+1,1),"")),""))</f>
        <v/>
      </c>
      <c r="E995" s="16">
        <f>IF($H995="","",IFERROR(INDEX(EvID,MATCH(INDEX(FormData,$H995,f_Event),EvID,0)),IFERROR(INDEX(EvID,MATCH(INDEX(FormData,$H995,f_Event),EvName,0)),IFERROR(INDEX(EvID,MATCH(INT($C995),EvDate,0)),"(no event that day)"))))</f>
        <v/>
      </c>
      <c r="F995" s="16">
        <f>IF($H995="","",IFERROR(IF(SUMPRODUCT(MAX((WhoKW&lt;&gt;"")*ISNUMBER(SEARCH(WhoKW,INDEX(FormData,$H995,f_Who)&amp;""))*(ROW(WhoKW)-MIN(ROW(WhoKW))+1)))=0,"",INDEX(WhoVal,SUMPRODUCT(MAX((WhoKW&lt;&gt;"")*ISNUMBER(SEARCH(WhoKW,INDEX(FormData,$H995,f_Who)&amp;""))*(ROW(WhoKW)-MIN(ROW(WhoKW))+1))))),""))</f>
        <v/>
      </c>
      <c r="G995" s="14">
        <f>IF($H995="","",IF(COUNTIF(People!$U$5:$U$604,$B995)+COUNTIF(People!$U$5:$U$604,$B995&amp;"")&gt;0,"✓ logged","→ add"))</f>
        <v/>
      </c>
      <c r="H995">
        <f>IFERROR(IF(INDEX(FormData,992,f_Id)&amp;""="","",992),"")</f>
        <v/>
      </c>
      <c r="I995" s="16">
        <f>IF($H995="","",IFERROR(INDEX(FormData,$H995,f_Need)&amp;"",""))</f>
        <v/>
      </c>
    </row>
    <row r="996">
      <c r="A996" s="14" t="n">
        <v>992</v>
      </c>
      <c r="B996" s="14">
        <f>IF($H996="","",INDEX(FormData,$H996,f_Id))</f>
        <v/>
      </c>
      <c r="C996" s="15">
        <f>IF($H996="","",IFERROR(INDEX(FormData,$H996,f_Time),""))</f>
        <v/>
      </c>
      <c r="D996" s="14">
        <f>IF($H996="","",IFERROR(UPPER(LEFT(TRIM(INDEX(FormData,$H996,f_Name)),1)&amp;IFERROR(MID(TRIM(INDEX(FormData,$H996,f_Name)),FIND("^",SUBSTITUTE(TRIM(INDEX(FormData,$H996,f_Name))," ","^",LEN(TRIM(INDEX(FormData,$H996,f_Name)))-LEN(SUBSTITUTE(TRIM(INDEX(FormData,$H996,f_Name))," ",""))))+1,1),"")),""))</f>
        <v/>
      </c>
      <c r="E996" s="16">
        <f>IF($H996="","",IFERROR(INDEX(EvID,MATCH(INDEX(FormData,$H996,f_Event),EvID,0)),IFERROR(INDEX(EvID,MATCH(INDEX(FormData,$H996,f_Event),EvName,0)),IFERROR(INDEX(EvID,MATCH(INT($C996),EvDate,0)),"(no event that day)"))))</f>
        <v/>
      </c>
      <c r="F996" s="16">
        <f>IF($H996="","",IFERROR(IF(SUMPRODUCT(MAX((WhoKW&lt;&gt;"")*ISNUMBER(SEARCH(WhoKW,INDEX(FormData,$H996,f_Who)&amp;""))*(ROW(WhoKW)-MIN(ROW(WhoKW))+1)))=0,"",INDEX(WhoVal,SUMPRODUCT(MAX((WhoKW&lt;&gt;"")*ISNUMBER(SEARCH(WhoKW,INDEX(FormData,$H996,f_Who)&amp;""))*(ROW(WhoKW)-MIN(ROW(WhoKW))+1))))),""))</f>
        <v/>
      </c>
      <c r="G996" s="14">
        <f>IF($H996="","",IF(COUNTIF(People!$U$5:$U$604,$B996)+COUNTIF(People!$U$5:$U$604,$B996&amp;"")&gt;0,"✓ logged","→ add"))</f>
        <v/>
      </c>
      <c r="H996">
        <f>IFERROR(IF(INDEX(FormData,993,f_Id)&amp;""="","",993),"")</f>
        <v/>
      </c>
      <c r="I996" s="16">
        <f>IF($H996="","",IFERROR(INDEX(FormData,$H996,f_Need)&amp;"",""))</f>
        <v/>
      </c>
    </row>
    <row r="997">
      <c r="A997" s="14" t="n">
        <v>993</v>
      </c>
      <c r="B997" s="14">
        <f>IF($H997="","",INDEX(FormData,$H997,f_Id))</f>
        <v/>
      </c>
      <c r="C997" s="15">
        <f>IF($H997="","",IFERROR(INDEX(FormData,$H997,f_Time),""))</f>
        <v/>
      </c>
      <c r="D997" s="14">
        <f>IF($H997="","",IFERROR(UPPER(LEFT(TRIM(INDEX(FormData,$H997,f_Name)),1)&amp;IFERROR(MID(TRIM(INDEX(FormData,$H997,f_Name)),FIND("^",SUBSTITUTE(TRIM(INDEX(FormData,$H997,f_Name))," ","^",LEN(TRIM(INDEX(FormData,$H997,f_Name)))-LEN(SUBSTITUTE(TRIM(INDEX(FormData,$H997,f_Name))," ",""))))+1,1),"")),""))</f>
        <v/>
      </c>
      <c r="E997" s="16">
        <f>IF($H997="","",IFERROR(INDEX(EvID,MATCH(INDEX(FormData,$H997,f_Event),EvID,0)),IFERROR(INDEX(EvID,MATCH(INDEX(FormData,$H997,f_Event),EvName,0)),IFERROR(INDEX(EvID,MATCH(INT($C997),EvDate,0)),"(no event that day)"))))</f>
        <v/>
      </c>
      <c r="F997" s="16">
        <f>IF($H997="","",IFERROR(IF(SUMPRODUCT(MAX((WhoKW&lt;&gt;"")*ISNUMBER(SEARCH(WhoKW,INDEX(FormData,$H997,f_Who)&amp;""))*(ROW(WhoKW)-MIN(ROW(WhoKW))+1)))=0,"",INDEX(WhoVal,SUMPRODUCT(MAX((WhoKW&lt;&gt;"")*ISNUMBER(SEARCH(WhoKW,INDEX(FormData,$H997,f_Who)&amp;""))*(ROW(WhoKW)-MIN(ROW(WhoKW))+1))))),""))</f>
        <v/>
      </c>
      <c r="G997" s="14">
        <f>IF($H997="","",IF(COUNTIF(People!$U$5:$U$604,$B997)+COUNTIF(People!$U$5:$U$604,$B997&amp;"")&gt;0,"✓ logged","→ add"))</f>
        <v/>
      </c>
      <c r="H997">
        <f>IFERROR(IF(INDEX(FormData,994,f_Id)&amp;""="","",994),"")</f>
        <v/>
      </c>
      <c r="I997" s="16">
        <f>IF($H997="","",IFERROR(INDEX(FormData,$H997,f_Need)&amp;"",""))</f>
        <v/>
      </c>
    </row>
    <row r="998">
      <c r="A998" s="14" t="n">
        <v>994</v>
      </c>
      <c r="B998" s="14">
        <f>IF($H998="","",INDEX(FormData,$H998,f_Id))</f>
        <v/>
      </c>
      <c r="C998" s="15">
        <f>IF($H998="","",IFERROR(INDEX(FormData,$H998,f_Time),""))</f>
        <v/>
      </c>
      <c r="D998" s="14">
        <f>IF($H998="","",IFERROR(UPPER(LEFT(TRIM(INDEX(FormData,$H998,f_Name)),1)&amp;IFERROR(MID(TRIM(INDEX(FormData,$H998,f_Name)),FIND("^",SUBSTITUTE(TRIM(INDEX(FormData,$H998,f_Name))," ","^",LEN(TRIM(INDEX(FormData,$H998,f_Name)))-LEN(SUBSTITUTE(TRIM(INDEX(FormData,$H998,f_Name))," ",""))))+1,1),"")),""))</f>
        <v/>
      </c>
      <c r="E998" s="16">
        <f>IF($H998="","",IFERROR(INDEX(EvID,MATCH(INDEX(FormData,$H998,f_Event),EvID,0)),IFERROR(INDEX(EvID,MATCH(INDEX(FormData,$H998,f_Event),EvName,0)),IFERROR(INDEX(EvID,MATCH(INT($C998),EvDate,0)),"(no event that day)"))))</f>
        <v/>
      </c>
      <c r="F998" s="16">
        <f>IF($H998="","",IFERROR(IF(SUMPRODUCT(MAX((WhoKW&lt;&gt;"")*ISNUMBER(SEARCH(WhoKW,INDEX(FormData,$H998,f_Who)&amp;""))*(ROW(WhoKW)-MIN(ROW(WhoKW))+1)))=0,"",INDEX(WhoVal,SUMPRODUCT(MAX((WhoKW&lt;&gt;"")*ISNUMBER(SEARCH(WhoKW,INDEX(FormData,$H998,f_Who)&amp;""))*(ROW(WhoKW)-MIN(ROW(WhoKW))+1))))),""))</f>
        <v/>
      </c>
      <c r="G998" s="14">
        <f>IF($H998="","",IF(COUNTIF(People!$U$5:$U$604,$B998)+COUNTIF(People!$U$5:$U$604,$B998&amp;"")&gt;0,"✓ logged","→ add"))</f>
        <v/>
      </c>
      <c r="H998">
        <f>IFERROR(IF(INDEX(FormData,995,f_Id)&amp;""="","",995),"")</f>
        <v/>
      </c>
      <c r="I998" s="16">
        <f>IF($H998="","",IFERROR(INDEX(FormData,$H998,f_Need)&amp;"",""))</f>
        <v/>
      </c>
    </row>
    <row r="999">
      <c r="A999" s="14" t="n">
        <v>995</v>
      </c>
      <c r="B999" s="14">
        <f>IF($H999="","",INDEX(FormData,$H999,f_Id))</f>
        <v/>
      </c>
      <c r="C999" s="15">
        <f>IF($H999="","",IFERROR(INDEX(FormData,$H999,f_Time),""))</f>
        <v/>
      </c>
      <c r="D999" s="14">
        <f>IF($H999="","",IFERROR(UPPER(LEFT(TRIM(INDEX(FormData,$H999,f_Name)),1)&amp;IFERROR(MID(TRIM(INDEX(FormData,$H999,f_Name)),FIND("^",SUBSTITUTE(TRIM(INDEX(FormData,$H999,f_Name))," ","^",LEN(TRIM(INDEX(FormData,$H999,f_Name)))-LEN(SUBSTITUTE(TRIM(INDEX(FormData,$H999,f_Name))," ",""))))+1,1),"")),""))</f>
        <v/>
      </c>
      <c r="E999" s="16">
        <f>IF($H999="","",IFERROR(INDEX(EvID,MATCH(INDEX(FormData,$H999,f_Event),EvID,0)),IFERROR(INDEX(EvID,MATCH(INDEX(FormData,$H999,f_Event),EvName,0)),IFERROR(INDEX(EvID,MATCH(INT($C999),EvDate,0)),"(no event that day)"))))</f>
        <v/>
      </c>
      <c r="F999" s="16">
        <f>IF($H999="","",IFERROR(IF(SUMPRODUCT(MAX((WhoKW&lt;&gt;"")*ISNUMBER(SEARCH(WhoKW,INDEX(FormData,$H999,f_Who)&amp;""))*(ROW(WhoKW)-MIN(ROW(WhoKW))+1)))=0,"",INDEX(WhoVal,SUMPRODUCT(MAX((WhoKW&lt;&gt;"")*ISNUMBER(SEARCH(WhoKW,INDEX(FormData,$H999,f_Who)&amp;""))*(ROW(WhoKW)-MIN(ROW(WhoKW))+1))))),""))</f>
        <v/>
      </c>
      <c r="G999" s="14">
        <f>IF($H999="","",IF(COUNTIF(People!$U$5:$U$604,$B999)+COUNTIF(People!$U$5:$U$604,$B999&amp;"")&gt;0,"✓ logged","→ add"))</f>
        <v/>
      </c>
      <c r="H999">
        <f>IFERROR(IF(INDEX(FormData,996,f_Id)&amp;""="","",996),"")</f>
        <v/>
      </c>
      <c r="I999" s="16">
        <f>IF($H999="","",IFERROR(INDEX(FormData,$H999,f_Need)&amp;"",""))</f>
        <v/>
      </c>
    </row>
    <row r="1000">
      <c r="A1000" s="14" t="n">
        <v>996</v>
      </c>
      <c r="B1000" s="14">
        <f>IF($H1000="","",INDEX(FormData,$H1000,f_Id))</f>
        <v/>
      </c>
      <c r="C1000" s="15">
        <f>IF($H1000="","",IFERROR(INDEX(FormData,$H1000,f_Time),""))</f>
        <v/>
      </c>
      <c r="D1000" s="14">
        <f>IF($H1000="","",IFERROR(UPPER(LEFT(TRIM(INDEX(FormData,$H1000,f_Name)),1)&amp;IFERROR(MID(TRIM(INDEX(FormData,$H1000,f_Name)),FIND("^",SUBSTITUTE(TRIM(INDEX(FormData,$H1000,f_Name))," ","^",LEN(TRIM(INDEX(FormData,$H1000,f_Name)))-LEN(SUBSTITUTE(TRIM(INDEX(FormData,$H1000,f_Name))," ",""))))+1,1),"")),""))</f>
        <v/>
      </c>
      <c r="E1000" s="16">
        <f>IF($H1000="","",IFERROR(INDEX(EvID,MATCH(INDEX(FormData,$H1000,f_Event),EvID,0)),IFERROR(INDEX(EvID,MATCH(INDEX(FormData,$H1000,f_Event),EvName,0)),IFERROR(INDEX(EvID,MATCH(INT($C1000),EvDate,0)),"(no event that day)"))))</f>
        <v/>
      </c>
      <c r="F1000" s="16">
        <f>IF($H1000="","",IFERROR(IF(SUMPRODUCT(MAX((WhoKW&lt;&gt;"")*ISNUMBER(SEARCH(WhoKW,INDEX(FormData,$H1000,f_Who)&amp;""))*(ROW(WhoKW)-MIN(ROW(WhoKW))+1)))=0,"",INDEX(WhoVal,SUMPRODUCT(MAX((WhoKW&lt;&gt;"")*ISNUMBER(SEARCH(WhoKW,INDEX(FormData,$H1000,f_Who)&amp;""))*(ROW(WhoKW)-MIN(ROW(WhoKW))+1))))),""))</f>
        <v/>
      </c>
      <c r="G1000" s="14">
        <f>IF($H1000="","",IF(COUNTIF(People!$U$5:$U$604,$B1000)+COUNTIF(People!$U$5:$U$604,$B1000&amp;"")&gt;0,"✓ logged","→ add"))</f>
        <v/>
      </c>
      <c r="H1000">
        <f>IFERROR(IF(INDEX(FormData,997,f_Id)&amp;""="","",997),"")</f>
        <v/>
      </c>
      <c r="I1000" s="16">
        <f>IF($H1000="","",IFERROR(INDEX(FormData,$H1000,f_Need)&amp;"",""))</f>
        <v/>
      </c>
    </row>
    <row r="1001">
      <c r="A1001" s="14" t="n">
        <v>997</v>
      </c>
      <c r="B1001" s="14">
        <f>IF($H1001="","",INDEX(FormData,$H1001,f_Id))</f>
        <v/>
      </c>
      <c r="C1001" s="15">
        <f>IF($H1001="","",IFERROR(INDEX(FormData,$H1001,f_Time),""))</f>
        <v/>
      </c>
      <c r="D1001" s="14">
        <f>IF($H1001="","",IFERROR(UPPER(LEFT(TRIM(INDEX(FormData,$H1001,f_Name)),1)&amp;IFERROR(MID(TRIM(INDEX(FormData,$H1001,f_Name)),FIND("^",SUBSTITUTE(TRIM(INDEX(FormData,$H1001,f_Name))," ","^",LEN(TRIM(INDEX(FormData,$H1001,f_Name)))-LEN(SUBSTITUTE(TRIM(INDEX(FormData,$H1001,f_Name))," ",""))))+1,1),"")),""))</f>
        <v/>
      </c>
      <c r="E1001" s="16">
        <f>IF($H1001="","",IFERROR(INDEX(EvID,MATCH(INDEX(FormData,$H1001,f_Event),EvID,0)),IFERROR(INDEX(EvID,MATCH(INDEX(FormData,$H1001,f_Event),EvName,0)),IFERROR(INDEX(EvID,MATCH(INT($C1001),EvDate,0)),"(no event that day)"))))</f>
        <v/>
      </c>
      <c r="F1001" s="16">
        <f>IF($H1001="","",IFERROR(IF(SUMPRODUCT(MAX((WhoKW&lt;&gt;"")*ISNUMBER(SEARCH(WhoKW,INDEX(FormData,$H1001,f_Who)&amp;""))*(ROW(WhoKW)-MIN(ROW(WhoKW))+1)))=0,"",INDEX(WhoVal,SUMPRODUCT(MAX((WhoKW&lt;&gt;"")*ISNUMBER(SEARCH(WhoKW,INDEX(FormData,$H1001,f_Who)&amp;""))*(ROW(WhoKW)-MIN(ROW(WhoKW))+1))))),""))</f>
        <v/>
      </c>
      <c r="G1001" s="14">
        <f>IF($H1001="","",IF(COUNTIF(People!$U$5:$U$604,$B1001)+COUNTIF(People!$U$5:$U$604,$B1001&amp;"")&gt;0,"✓ logged","→ add"))</f>
        <v/>
      </c>
      <c r="H1001">
        <f>IFERROR(IF(INDEX(FormData,998,f_Id)&amp;""="","",998),"")</f>
        <v/>
      </c>
      <c r="I1001" s="16">
        <f>IF($H1001="","",IFERROR(INDEX(FormData,$H1001,f_Need)&amp;"",""))</f>
        <v/>
      </c>
    </row>
    <row r="1002">
      <c r="A1002" s="14" t="n">
        <v>998</v>
      </c>
      <c r="B1002" s="14">
        <f>IF($H1002="","",INDEX(FormData,$H1002,f_Id))</f>
        <v/>
      </c>
      <c r="C1002" s="15">
        <f>IF($H1002="","",IFERROR(INDEX(FormData,$H1002,f_Time),""))</f>
        <v/>
      </c>
      <c r="D1002" s="14">
        <f>IF($H1002="","",IFERROR(UPPER(LEFT(TRIM(INDEX(FormData,$H1002,f_Name)),1)&amp;IFERROR(MID(TRIM(INDEX(FormData,$H1002,f_Name)),FIND("^",SUBSTITUTE(TRIM(INDEX(FormData,$H1002,f_Name))," ","^",LEN(TRIM(INDEX(FormData,$H1002,f_Name)))-LEN(SUBSTITUTE(TRIM(INDEX(FormData,$H1002,f_Name))," ",""))))+1,1),"")),""))</f>
        <v/>
      </c>
      <c r="E1002" s="16">
        <f>IF($H1002="","",IFERROR(INDEX(EvID,MATCH(INDEX(FormData,$H1002,f_Event),EvID,0)),IFERROR(INDEX(EvID,MATCH(INDEX(FormData,$H1002,f_Event),EvName,0)),IFERROR(INDEX(EvID,MATCH(INT($C1002),EvDate,0)),"(no event that day)"))))</f>
        <v/>
      </c>
      <c r="F1002" s="16">
        <f>IF($H1002="","",IFERROR(IF(SUMPRODUCT(MAX((WhoKW&lt;&gt;"")*ISNUMBER(SEARCH(WhoKW,INDEX(FormData,$H1002,f_Who)&amp;""))*(ROW(WhoKW)-MIN(ROW(WhoKW))+1)))=0,"",INDEX(WhoVal,SUMPRODUCT(MAX((WhoKW&lt;&gt;"")*ISNUMBER(SEARCH(WhoKW,INDEX(FormData,$H1002,f_Who)&amp;""))*(ROW(WhoKW)-MIN(ROW(WhoKW))+1))))),""))</f>
        <v/>
      </c>
      <c r="G1002" s="14">
        <f>IF($H1002="","",IF(COUNTIF(People!$U$5:$U$604,$B1002)+COUNTIF(People!$U$5:$U$604,$B1002&amp;"")&gt;0,"✓ logged","→ add"))</f>
        <v/>
      </c>
      <c r="H1002">
        <f>IFERROR(IF(INDEX(FormData,999,f_Id)&amp;""="","",999),"")</f>
        <v/>
      </c>
      <c r="I1002" s="16">
        <f>IF($H1002="","",IFERROR(INDEX(FormData,$H1002,f_Need)&amp;"",""))</f>
        <v/>
      </c>
    </row>
    <row r="1003">
      <c r="A1003" s="14" t="n">
        <v>999</v>
      </c>
      <c r="B1003" s="14">
        <f>IF($H1003="","",INDEX(FormData,$H1003,f_Id))</f>
        <v/>
      </c>
      <c r="C1003" s="15">
        <f>IF($H1003="","",IFERROR(INDEX(FormData,$H1003,f_Time),""))</f>
        <v/>
      </c>
      <c r="D1003" s="14">
        <f>IF($H1003="","",IFERROR(UPPER(LEFT(TRIM(INDEX(FormData,$H1003,f_Name)),1)&amp;IFERROR(MID(TRIM(INDEX(FormData,$H1003,f_Name)),FIND("^",SUBSTITUTE(TRIM(INDEX(FormData,$H1003,f_Name))," ","^",LEN(TRIM(INDEX(FormData,$H1003,f_Name)))-LEN(SUBSTITUTE(TRIM(INDEX(FormData,$H1003,f_Name))," ",""))))+1,1),"")),""))</f>
        <v/>
      </c>
      <c r="E1003" s="16">
        <f>IF($H1003="","",IFERROR(INDEX(EvID,MATCH(INDEX(FormData,$H1003,f_Event),EvID,0)),IFERROR(INDEX(EvID,MATCH(INDEX(FormData,$H1003,f_Event),EvName,0)),IFERROR(INDEX(EvID,MATCH(INT($C1003),EvDate,0)),"(no event that day)"))))</f>
        <v/>
      </c>
      <c r="F1003" s="16">
        <f>IF($H1003="","",IFERROR(IF(SUMPRODUCT(MAX((WhoKW&lt;&gt;"")*ISNUMBER(SEARCH(WhoKW,INDEX(FormData,$H1003,f_Who)&amp;""))*(ROW(WhoKW)-MIN(ROW(WhoKW))+1)))=0,"",INDEX(WhoVal,SUMPRODUCT(MAX((WhoKW&lt;&gt;"")*ISNUMBER(SEARCH(WhoKW,INDEX(FormData,$H1003,f_Who)&amp;""))*(ROW(WhoKW)-MIN(ROW(WhoKW))+1))))),""))</f>
        <v/>
      </c>
      <c r="G1003" s="14">
        <f>IF($H1003="","",IF(COUNTIF(People!$U$5:$U$604,$B1003)+COUNTIF(People!$U$5:$U$604,$B1003&amp;"")&gt;0,"✓ logged","→ add"))</f>
        <v/>
      </c>
      <c r="H1003">
        <f>IFERROR(IF(INDEX(FormData,1000,f_Id)&amp;""="","",1000),"")</f>
        <v/>
      </c>
      <c r="I1003" s="16">
        <f>IF($H1003="","",IFERROR(INDEX(FormData,$H1003,f_Need)&amp;"",""))</f>
        <v/>
      </c>
    </row>
    <row r="1004">
      <c r="A1004" s="14" t="n">
        <v>1000</v>
      </c>
      <c r="B1004" s="14">
        <f>IF($H1004="","",INDEX(FormData,$H1004,f_Id))</f>
        <v/>
      </c>
      <c r="C1004" s="15">
        <f>IF($H1004="","",IFERROR(INDEX(FormData,$H1004,f_Time),""))</f>
        <v/>
      </c>
      <c r="D1004" s="14">
        <f>IF($H1004="","",IFERROR(UPPER(LEFT(TRIM(INDEX(FormData,$H1004,f_Name)),1)&amp;IFERROR(MID(TRIM(INDEX(FormData,$H1004,f_Name)),FIND("^",SUBSTITUTE(TRIM(INDEX(FormData,$H1004,f_Name))," ","^",LEN(TRIM(INDEX(FormData,$H1004,f_Name)))-LEN(SUBSTITUTE(TRIM(INDEX(FormData,$H1004,f_Name))," ",""))))+1,1),"")),""))</f>
        <v/>
      </c>
      <c r="E1004" s="16">
        <f>IF($H1004="","",IFERROR(INDEX(EvID,MATCH(INDEX(FormData,$H1004,f_Event),EvID,0)),IFERROR(INDEX(EvID,MATCH(INDEX(FormData,$H1004,f_Event),EvName,0)),IFERROR(INDEX(EvID,MATCH(INT($C1004),EvDate,0)),"(no event that day)"))))</f>
        <v/>
      </c>
      <c r="F1004" s="16">
        <f>IF($H1004="","",IFERROR(IF(SUMPRODUCT(MAX((WhoKW&lt;&gt;"")*ISNUMBER(SEARCH(WhoKW,INDEX(FormData,$H1004,f_Who)&amp;""))*(ROW(WhoKW)-MIN(ROW(WhoKW))+1)))=0,"",INDEX(WhoVal,SUMPRODUCT(MAX((WhoKW&lt;&gt;"")*ISNUMBER(SEARCH(WhoKW,INDEX(FormData,$H1004,f_Who)&amp;""))*(ROW(WhoKW)-MIN(ROW(WhoKW))+1))))),""))</f>
        <v/>
      </c>
      <c r="G1004" s="14">
        <f>IF($H1004="","",IF(COUNTIF(People!$U$5:$U$604,$B1004)+COUNTIF(People!$U$5:$U$604,$B1004&amp;"")&gt;0,"✓ logged","→ add"))</f>
        <v/>
      </c>
      <c r="H1004">
        <f>IFERROR(IF(INDEX(FormData,1001,f_Id)&amp;""="","",1001),"")</f>
        <v/>
      </c>
      <c r="I1004" s="16">
        <f>IF($H1004="","",IFERROR(INDEX(FormData,$H1004,f_Need)&amp;"",""))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1004"/>
  <conditionalFormatting sqref="G5:G1004">
    <cfRule type="expression" priority="1" dxfId="9">
      <formula>$G5="→ add"</formula>
    </cfRule>
    <cfRule type="expression" priority="2" dxfId="4">
      <formula>$G5="✓ logged"</formula>
    </cfRule>
  </conditionalFormatting>
  <conditionalFormatting sqref="E5:E1004">
    <cfRule type="expression" priority="3" dxfId="10">
      <formula>LEFT($E5,1)="("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K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8" customWidth="1" min="4" max="4"/>
    <col width="9" customWidth="1" min="5" max="5"/>
    <col width="16" customWidth="1" min="6" max="6"/>
    <col width="22" customWidth="1" min="7" max="7"/>
    <col width="13" customWidth="1" min="8" max="8"/>
    <col width="70" customWidth="1" min="9" max="9"/>
    <col hidden="1" width="8" customWidth="1" min="10" max="10"/>
    <col hidden="1" width="6" customWidth="1" min="11" max="11"/>
  </cols>
  <sheetData>
    <row r="1" ht="26" customHeight="1">
      <c r="A1" s="7" t="inlineStr">
        <is>
          <t>Follow-Ups</t>
        </is>
      </c>
    </row>
    <row r="2">
      <c r="A2" s="2" t="inlineStr">
        <is>
          <t>Everyone still owed a call, soonest first. Fills itself from People — tick Follow-Up Needed there, add a due date, and enter the date when it's done.</t>
        </is>
      </c>
    </row>
    <row r="3">
      <c r="A3" s="21" t="inlineStr">
        <is>
          <t>Overdue</t>
        </is>
      </c>
      <c r="B3" s="22">
        <f>COUNTIF(People!$S$5:$S$604,"Overdue")</f>
        <v/>
      </c>
      <c r="C3" s="21" t="inlineStr">
        <is>
          <t>Due soon</t>
        </is>
      </c>
      <c r="D3" s="23">
        <f>COUNTIF(People!$S$5:$S$604,"Due soon")</f>
        <v/>
      </c>
      <c r="E3" s="21" t="inlineStr">
        <is>
          <t>All open</t>
        </is>
      </c>
      <c r="F3" s="24">
        <f>COUNT(People!$Y$5:$Y$604)</f>
        <v/>
      </c>
    </row>
    <row r="4">
      <c r="A4" s="2" t="inlineStr">
        <is>
          <t>Edit on People, not here. Find the person with their Participant #.</t>
        </is>
      </c>
    </row>
    <row r="6" ht="32" customHeight="1">
      <c r="A6" s="11" t="inlineStr">
        <is>
          <t>Due</t>
        </is>
      </c>
      <c r="B6" s="11" t="inlineStr">
        <is>
          <t>Status</t>
        </is>
      </c>
      <c r="C6" s="11" t="inlineStr">
        <is>
          <t>Participant #</t>
        </is>
      </c>
      <c r="D6" s="11" t="inlineStr">
        <is>
          <t>Initials</t>
        </is>
      </c>
      <c r="E6" s="11" t="inlineStr">
        <is>
          <t>Event</t>
        </is>
      </c>
      <c r="F6" s="11" t="inlineStr">
        <is>
          <t>Contact Type</t>
        </is>
      </c>
      <c r="G6" s="11" t="inlineStr">
        <is>
          <t>Main Need</t>
        </is>
      </c>
      <c r="H6" s="11" t="inlineStr">
        <is>
          <t>Stage</t>
        </is>
      </c>
      <c r="I6" s="11" t="inlineStr">
        <is>
          <t>Latest notes</t>
        </is>
      </c>
      <c r="J6" s="9" t="inlineStr">
        <is>
          <t>_key</t>
        </is>
      </c>
      <c r="K6" s="9" t="inlineStr">
        <is>
          <t>_row</t>
        </is>
      </c>
    </row>
    <row r="7">
      <c r="A7" s="25">
        <f>IF($K7="","",IF(INDEX(People!$Q:$Q,$K7)="","no date",INDEX(People!$Q:$Q,$K7)))</f>
        <v/>
      </c>
      <c r="B7" s="26">
        <f>IF($K7="","",INDEX(People!$S:$S,$K7))</f>
        <v/>
      </c>
      <c r="C7" s="26">
        <f>IF($K7="","",INDEX(People!$A:$A,$K7)&amp;"")</f>
        <v/>
      </c>
      <c r="D7" s="26">
        <f>IF($K7="","",INDEX(People!$D:$D,$K7)&amp;"")</f>
        <v/>
      </c>
      <c r="E7" s="26">
        <f>IF($K7="","",INDEX(People!$B:$B,$K7)&amp;"")</f>
        <v/>
      </c>
      <c r="F7" s="27">
        <f>IF($K7="","",INDEX(People!$E:$E,$K7)&amp;"")</f>
        <v/>
      </c>
      <c r="G7" s="27">
        <f>IF($K7="","",INDEX(People!$L:$L,$K7)&amp;"")</f>
        <v/>
      </c>
      <c r="H7" s="27">
        <f>IF($K7="","",INDEX(People!$M:$M,$K7)&amp;"")</f>
        <v/>
      </c>
      <c r="I7" s="6">
        <f>IF($K7="","",INDEX(People!$N:$N,$K7)&amp;"")</f>
        <v/>
      </c>
      <c r="J7">
        <f>IFERROR(SMALL(People!$Y$5:$Y$604,1),"")</f>
        <v/>
      </c>
      <c r="K7">
        <f>IF($J7="","",ROUND(MOD($J7,1)*100000,0))</f>
        <v/>
      </c>
    </row>
    <row r="8">
      <c r="A8" s="25">
        <f>IF($K8="","",IF(INDEX(People!$Q:$Q,$K8)="","no date",INDEX(People!$Q:$Q,$K8)))</f>
        <v/>
      </c>
      <c r="B8" s="26">
        <f>IF($K8="","",INDEX(People!$S:$S,$K8))</f>
        <v/>
      </c>
      <c r="C8" s="26">
        <f>IF($K8="","",INDEX(People!$A:$A,$K8)&amp;"")</f>
        <v/>
      </c>
      <c r="D8" s="26">
        <f>IF($K8="","",INDEX(People!$D:$D,$K8)&amp;"")</f>
        <v/>
      </c>
      <c r="E8" s="26">
        <f>IF($K8="","",INDEX(People!$B:$B,$K8)&amp;"")</f>
        <v/>
      </c>
      <c r="F8" s="27">
        <f>IF($K8="","",INDEX(People!$E:$E,$K8)&amp;"")</f>
        <v/>
      </c>
      <c r="G8" s="27">
        <f>IF($K8="","",INDEX(People!$L:$L,$K8)&amp;"")</f>
        <v/>
      </c>
      <c r="H8" s="27">
        <f>IF($K8="","",INDEX(People!$M:$M,$K8)&amp;"")</f>
        <v/>
      </c>
      <c r="I8" s="6">
        <f>IF($K8="","",INDEX(People!$N:$N,$K8)&amp;"")</f>
        <v/>
      </c>
      <c r="J8">
        <f>IFERROR(SMALL(People!$Y$5:$Y$604,2),"")</f>
        <v/>
      </c>
      <c r="K8">
        <f>IF($J8="","",ROUND(MOD($J8,1)*100000,0))</f>
        <v/>
      </c>
    </row>
    <row r="9">
      <c r="A9" s="25">
        <f>IF($K9="","",IF(INDEX(People!$Q:$Q,$K9)="","no date",INDEX(People!$Q:$Q,$K9)))</f>
        <v/>
      </c>
      <c r="B9" s="26">
        <f>IF($K9="","",INDEX(People!$S:$S,$K9))</f>
        <v/>
      </c>
      <c r="C9" s="26">
        <f>IF($K9="","",INDEX(People!$A:$A,$K9)&amp;"")</f>
        <v/>
      </c>
      <c r="D9" s="26">
        <f>IF($K9="","",INDEX(People!$D:$D,$K9)&amp;"")</f>
        <v/>
      </c>
      <c r="E9" s="26">
        <f>IF($K9="","",INDEX(People!$B:$B,$K9)&amp;"")</f>
        <v/>
      </c>
      <c r="F9" s="27">
        <f>IF($K9="","",INDEX(People!$E:$E,$K9)&amp;"")</f>
        <v/>
      </c>
      <c r="G9" s="27">
        <f>IF($K9="","",INDEX(People!$L:$L,$K9)&amp;"")</f>
        <v/>
      </c>
      <c r="H9" s="27">
        <f>IF($K9="","",INDEX(People!$M:$M,$K9)&amp;"")</f>
        <v/>
      </c>
      <c r="I9" s="6">
        <f>IF($K9="","",INDEX(People!$N:$N,$K9)&amp;"")</f>
        <v/>
      </c>
      <c r="J9">
        <f>IFERROR(SMALL(People!$Y$5:$Y$604,3),"")</f>
        <v/>
      </c>
      <c r="K9">
        <f>IF($J9="","",ROUND(MOD($J9,1)*100000,0))</f>
        <v/>
      </c>
    </row>
    <row r="10">
      <c r="A10" s="25">
        <f>IF($K10="","",IF(INDEX(People!$Q:$Q,$K10)="","no date",INDEX(People!$Q:$Q,$K10)))</f>
        <v/>
      </c>
      <c r="B10" s="26">
        <f>IF($K10="","",INDEX(People!$S:$S,$K10))</f>
        <v/>
      </c>
      <c r="C10" s="26">
        <f>IF($K10="","",INDEX(People!$A:$A,$K10)&amp;"")</f>
        <v/>
      </c>
      <c r="D10" s="26">
        <f>IF($K10="","",INDEX(People!$D:$D,$K10)&amp;"")</f>
        <v/>
      </c>
      <c r="E10" s="26">
        <f>IF($K10="","",INDEX(People!$B:$B,$K10)&amp;"")</f>
        <v/>
      </c>
      <c r="F10" s="27">
        <f>IF($K10="","",INDEX(People!$E:$E,$K10)&amp;"")</f>
        <v/>
      </c>
      <c r="G10" s="27">
        <f>IF($K10="","",INDEX(People!$L:$L,$K10)&amp;"")</f>
        <v/>
      </c>
      <c r="H10" s="27">
        <f>IF($K10="","",INDEX(People!$M:$M,$K10)&amp;"")</f>
        <v/>
      </c>
      <c r="I10" s="6">
        <f>IF($K10="","",INDEX(People!$N:$N,$K10)&amp;"")</f>
        <v/>
      </c>
      <c r="J10">
        <f>IFERROR(SMALL(People!$Y$5:$Y$604,4),"")</f>
        <v/>
      </c>
      <c r="K10">
        <f>IF($J10="","",ROUND(MOD($J10,1)*100000,0))</f>
        <v/>
      </c>
    </row>
    <row r="11">
      <c r="A11" s="25">
        <f>IF($K11="","",IF(INDEX(People!$Q:$Q,$K11)="","no date",INDEX(People!$Q:$Q,$K11)))</f>
        <v/>
      </c>
      <c r="B11" s="26">
        <f>IF($K11="","",INDEX(People!$S:$S,$K11))</f>
        <v/>
      </c>
      <c r="C11" s="26">
        <f>IF($K11="","",INDEX(People!$A:$A,$K11)&amp;"")</f>
        <v/>
      </c>
      <c r="D11" s="26">
        <f>IF($K11="","",INDEX(People!$D:$D,$K11)&amp;"")</f>
        <v/>
      </c>
      <c r="E11" s="26">
        <f>IF($K11="","",INDEX(People!$B:$B,$K11)&amp;"")</f>
        <v/>
      </c>
      <c r="F11" s="27">
        <f>IF($K11="","",INDEX(People!$E:$E,$K11)&amp;"")</f>
        <v/>
      </c>
      <c r="G11" s="27">
        <f>IF($K11="","",INDEX(People!$L:$L,$K11)&amp;"")</f>
        <v/>
      </c>
      <c r="H11" s="27">
        <f>IF($K11="","",INDEX(People!$M:$M,$K11)&amp;"")</f>
        <v/>
      </c>
      <c r="I11" s="6">
        <f>IF($K11="","",INDEX(People!$N:$N,$K11)&amp;"")</f>
        <v/>
      </c>
      <c r="J11">
        <f>IFERROR(SMALL(People!$Y$5:$Y$604,5),"")</f>
        <v/>
      </c>
      <c r="K11">
        <f>IF($J11="","",ROUND(MOD($J11,1)*100000,0))</f>
        <v/>
      </c>
    </row>
    <row r="12">
      <c r="A12" s="25">
        <f>IF($K12="","",IF(INDEX(People!$Q:$Q,$K12)="","no date",INDEX(People!$Q:$Q,$K12)))</f>
        <v/>
      </c>
      <c r="B12" s="26">
        <f>IF($K12="","",INDEX(People!$S:$S,$K12))</f>
        <v/>
      </c>
      <c r="C12" s="26">
        <f>IF($K12="","",INDEX(People!$A:$A,$K12)&amp;"")</f>
        <v/>
      </c>
      <c r="D12" s="26">
        <f>IF($K12="","",INDEX(People!$D:$D,$K12)&amp;"")</f>
        <v/>
      </c>
      <c r="E12" s="26">
        <f>IF($K12="","",INDEX(People!$B:$B,$K12)&amp;"")</f>
        <v/>
      </c>
      <c r="F12" s="27">
        <f>IF($K12="","",INDEX(People!$E:$E,$K12)&amp;"")</f>
        <v/>
      </c>
      <c r="G12" s="27">
        <f>IF($K12="","",INDEX(People!$L:$L,$K12)&amp;"")</f>
        <v/>
      </c>
      <c r="H12" s="27">
        <f>IF($K12="","",INDEX(People!$M:$M,$K12)&amp;"")</f>
        <v/>
      </c>
      <c r="I12" s="6">
        <f>IF($K12="","",INDEX(People!$N:$N,$K12)&amp;"")</f>
        <v/>
      </c>
      <c r="J12">
        <f>IFERROR(SMALL(People!$Y$5:$Y$604,6),"")</f>
        <v/>
      </c>
      <c r="K12">
        <f>IF($J12="","",ROUND(MOD($J12,1)*100000,0))</f>
        <v/>
      </c>
    </row>
    <row r="13">
      <c r="A13" s="25">
        <f>IF($K13="","",IF(INDEX(People!$Q:$Q,$K13)="","no date",INDEX(People!$Q:$Q,$K13)))</f>
        <v/>
      </c>
      <c r="B13" s="26">
        <f>IF($K13="","",INDEX(People!$S:$S,$K13))</f>
        <v/>
      </c>
      <c r="C13" s="26">
        <f>IF($K13="","",INDEX(People!$A:$A,$K13)&amp;"")</f>
        <v/>
      </c>
      <c r="D13" s="26">
        <f>IF($K13="","",INDEX(People!$D:$D,$K13)&amp;"")</f>
        <v/>
      </c>
      <c r="E13" s="26">
        <f>IF($K13="","",INDEX(People!$B:$B,$K13)&amp;"")</f>
        <v/>
      </c>
      <c r="F13" s="27">
        <f>IF($K13="","",INDEX(People!$E:$E,$K13)&amp;"")</f>
        <v/>
      </c>
      <c r="G13" s="27">
        <f>IF($K13="","",INDEX(People!$L:$L,$K13)&amp;"")</f>
        <v/>
      </c>
      <c r="H13" s="27">
        <f>IF($K13="","",INDEX(People!$M:$M,$K13)&amp;"")</f>
        <v/>
      </c>
      <c r="I13" s="6">
        <f>IF($K13="","",INDEX(People!$N:$N,$K13)&amp;"")</f>
        <v/>
      </c>
      <c r="J13">
        <f>IFERROR(SMALL(People!$Y$5:$Y$604,7),"")</f>
        <v/>
      </c>
      <c r="K13">
        <f>IF($J13="","",ROUND(MOD($J13,1)*100000,0))</f>
        <v/>
      </c>
    </row>
    <row r="14">
      <c r="A14" s="25">
        <f>IF($K14="","",IF(INDEX(People!$Q:$Q,$K14)="","no date",INDEX(People!$Q:$Q,$K14)))</f>
        <v/>
      </c>
      <c r="B14" s="26">
        <f>IF($K14="","",INDEX(People!$S:$S,$K14))</f>
        <v/>
      </c>
      <c r="C14" s="26">
        <f>IF($K14="","",INDEX(People!$A:$A,$K14)&amp;"")</f>
        <v/>
      </c>
      <c r="D14" s="26">
        <f>IF($K14="","",INDEX(People!$D:$D,$K14)&amp;"")</f>
        <v/>
      </c>
      <c r="E14" s="26">
        <f>IF($K14="","",INDEX(People!$B:$B,$K14)&amp;"")</f>
        <v/>
      </c>
      <c r="F14" s="27">
        <f>IF($K14="","",INDEX(People!$E:$E,$K14)&amp;"")</f>
        <v/>
      </c>
      <c r="G14" s="27">
        <f>IF($K14="","",INDEX(People!$L:$L,$K14)&amp;"")</f>
        <v/>
      </c>
      <c r="H14" s="27">
        <f>IF($K14="","",INDEX(People!$M:$M,$K14)&amp;"")</f>
        <v/>
      </c>
      <c r="I14" s="6">
        <f>IF($K14="","",INDEX(People!$N:$N,$K14)&amp;"")</f>
        <v/>
      </c>
      <c r="J14">
        <f>IFERROR(SMALL(People!$Y$5:$Y$604,8),"")</f>
        <v/>
      </c>
      <c r="K14">
        <f>IF($J14="","",ROUND(MOD($J14,1)*100000,0))</f>
        <v/>
      </c>
    </row>
    <row r="15">
      <c r="A15" s="25">
        <f>IF($K15="","",IF(INDEX(People!$Q:$Q,$K15)="","no date",INDEX(People!$Q:$Q,$K15)))</f>
        <v/>
      </c>
      <c r="B15" s="26">
        <f>IF($K15="","",INDEX(People!$S:$S,$K15))</f>
        <v/>
      </c>
      <c r="C15" s="26">
        <f>IF($K15="","",INDEX(People!$A:$A,$K15)&amp;"")</f>
        <v/>
      </c>
      <c r="D15" s="26">
        <f>IF($K15="","",INDEX(People!$D:$D,$K15)&amp;"")</f>
        <v/>
      </c>
      <c r="E15" s="26">
        <f>IF($K15="","",INDEX(People!$B:$B,$K15)&amp;"")</f>
        <v/>
      </c>
      <c r="F15" s="27">
        <f>IF($K15="","",INDEX(People!$E:$E,$K15)&amp;"")</f>
        <v/>
      </c>
      <c r="G15" s="27">
        <f>IF($K15="","",INDEX(People!$L:$L,$K15)&amp;"")</f>
        <v/>
      </c>
      <c r="H15" s="27">
        <f>IF($K15="","",INDEX(People!$M:$M,$K15)&amp;"")</f>
        <v/>
      </c>
      <c r="I15" s="6">
        <f>IF($K15="","",INDEX(People!$N:$N,$K15)&amp;"")</f>
        <v/>
      </c>
      <c r="J15">
        <f>IFERROR(SMALL(People!$Y$5:$Y$604,9),"")</f>
        <v/>
      </c>
      <c r="K15">
        <f>IF($J15="","",ROUND(MOD($J15,1)*100000,0))</f>
        <v/>
      </c>
    </row>
    <row r="16">
      <c r="A16" s="25">
        <f>IF($K16="","",IF(INDEX(People!$Q:$Q,$K16)="","no date",INDEX(People!$Q:$Q,$K16)))</f>
        <v/>
      </c>
      <c r="B16" s="26">
        <f>IF($K16="","",INDEX(People!$S:$S,$K16))</f>
        <v/>
      </c>
      <c r="C16" s="26">
        <f>IF($K16="","",INDEX(People!$A:$A,$K16)&amp;"")</f>
        <v/>
      </c>
      <c r="D16" s="26">
        <f>IF($K16="","",INDEX(People!$D:$D,$K16)&amp;"")</f>
        <v/>
      </c>
      <c r="E16" s="26">
        <f>IF($K16="","",INDEX(People!$B:$B,$K16)&amp;"")</f>
        <v/>
      </c>
      <c r="F16" s="27">
        <f>IF($K16="","",INDEX(People!$E:$E,$K16)&amp;"")</f>
        <v/>
      </c>
      <c r="G16" s="27">
        <f>IF($K16="","",INDEX(People!$L:$L,$K16)&amp;"")</f>
        <v/>
      </c>
      <c r="H16" s="27">
        <f>IF($K16="","",INDEX(People!$M:$M,$K16)&amp;"")</f>
        <v/>
      </c>
      <c r="I16" s="6">
        <f>IF($K16="","",INDEX(People!$N:$N,$K16)&amp;"")</f>
        <v/>
      </c>
      <c r="J16">
        <f>IFERROR(SMALL(People!$Y$5:$Y$604,10),"")</f>
        <v/>
      </c>
      <c r="K16">
        <f>IF($J16="","",ROUND(MOD($J16,1)*100000,0))</f>
        <v/>
      </c>
    </row>
    <row r="17">
      <c r="A17" s="25">
        <f>IF($K17="","",IF(INDEX(People!$Q:$Q,$K17)="","no date",INDEX(People!$Q:$Q,$K17)))</f>
        <v/>
      </c>
      <c r="B17" s="26">
        <f>IF($K17="","",INDEX(People!$S:$S,$K17))</f>
        <v/>
      </c>
      <c r="C17" s="26">
        <f>IF($K17="","",INDEX(People!$A:$A,$K17)&amp;"")</f>
        <v/>
      </c>
      <c r="D17" s="26">
        <f>IF($K17="","",INDEX(People!$D:$D,$K17)&amp;"")</f>
        <v/>
      </c>
      <c r="E17" s="26">
        <f>IF($K17="","",INDEX(People!$B:$B,$K17)&amp;"")</f>
        <v/>
      </c>
      <c r="F17" s="27">
        <f>IF($K17="","",INDEX(People!$E:$E,$K17)&amp;"")</f>
        <v/>
      </c>
      <c r="G17" s="27">
        <f>IF($K17="","",INDEX(People!$L:$L,$K17)&amp;"")</f>
        <v/>
      </c>
      <c r="H17" s="27">
        <f>IF($K17="","",INDEX(People!$M:$M,$K17)&amp;"")</f>
        <v/>
      </c>
      <c r="I17" s="6">
        <f>IF($K17="","",INDEX(People!$N:$N,$K17)&amp;"")</f>
        <v/>
      </c>
      <c r="J17">
        <f>IFERROR(SMALL(People!$Y$5:$Y$604,11),"")</f>
        <v/>
      </c>
      <c r="K17">
        <f>IF($J17="","",ROUND(MOD($J17,1)*100000,0))</f>
        <v/>
      </c>
    </row>
    <row r="18">
      <c r="A18" s="25">
        <f>IF($K18="","",IF(INDEX(People!$Q:$Q,$K18)="","no date",INDEX(People!$Q:$Q,$K18)))</f>
        <v/>
      </c>
      <c r="B18" s="26">
        <f>IF($K18="","",INDEX(People!$S:$S,$K18))</f>
        <v/>
      </c>
      <c r="C18" s="26">
        <f>IF($K18="","",INDEX(People!$A:$A,$K18)&amp;"")</f>
        <v/>
      </c>
      <c r="D18" s="26">
        <f>IF($K18="","",INDEX(People!$D:$D,$K18)&amp;"")</f>
        <v/>
      </c>
      <c r="E18" s="26">
        <f>IF($K18="","",INDEX(People!$B:$B,$K18)&amp;"")</f>
        <v/>
      </c>
      <c r="F18" s="27">
        <f>IF($K18="","",INDEX(People!$E:$E,$K18)&amp;"")</f>
        <v/>
      </c>
      <c r="G18" s="27">
        <f>IF($K18="","",INDEX(People!$L:$L,$K18)&amp;"")</f>
        <v/>
      </c>
      <c r="H18" s="27">
        <f>IF($K18="","",INDEX(People!$M:$M,$K18)&amp;"")</f>
        <v/>
      </c>
      <c r="I18" s="6">
        <f>IF($K18="","",INDEX(People!$N:$N,$K18)&amp;"")</f>
        <v/>
      </c>
      <c r="J18">
        <f>IFERROR(SMALL(People!$Y$5:$Y$604,12),"")</f>
        <v/>
      </c>
      <c r="K18">
        <f>IF($J18="","",ROUND(MOD($J18,1)*100000,0))</f>
        <v/>
      </c>
    </row>
    <row r="19">
      <c r="A19" s="25">
        <f>IF($K19="","",IF(INDEX(People!$Q:$Q,$K19)="","no date",INDEX(People!$Q:$Q,$K19)))</f>
        <v/>
      </c>
      <c r="B19" s="26">
        <f>IF($K19="","",INDEX(People!$S:$S,$K19))</f>
        <v/>
      </c>
      <c r="C19" s="26">
        <f>IF($K19="","",INDEX(People!$A:$A,$K19)&amp;"")</f>
        <v/>
      </c>
      <c r="D19" s="26">
        <f>IF($K19="","",INDEX(People!$D:$D,$K19)&amp;"")</f>
        <v/>
      </c>
      <c r="E19" s="26">
        <f>IF($K19="","",INDEX(People!$B:$B,$K19)&amp;"")</f>
        <v/>
      </c>
      <c r="F19" s="27">
        <f>IF($K19="","",INDEX(People!$E:$E,$K19)&amp;"")</f>
        <v/>
      </c>
      <c r="G19" s="27">
        <f>IF($K19="","",INDEX(People!$L:$L,$K19)&amp;"")</f>
        <v/>
      </c>
      <c r="H19" s="27">
        <f>IF($K19="","",INDEX(People!$M:$M,$K19)&amp;"")</f>
        <v/>
      </c>
      <c r="I19" s="6">
        <f>IF($K19="","",INDEX(People!$N:$N,$K19)&amp;"")</f>
        <v/>
      </c>
      <c r="J19">
        <f>IFERROR(SMALL(People!$Y$5:$Y$604,13),"")</f>
        <v/>
      </c>
      <c r="K19">
        <f>IF($J19="","",ROUND(MOD($J19,1)*100000,0))</f>
        <v/>
      </c>
    </row>
    <row r="20">
      <c r="A20" s="25">
        <f>IF($K20="","",IF(INDEX(People!$Q:$Q,$K20)="","no date",INDEX(People!$Q:$Q,$K20)))</f>
        <v/>
      </c>
      <c r="B20" s="26">
        <f>IF($K20="","",INDEX(People!$S:$S,$K20))</f>
        <v/>
      </c>
      <c r="C20" s="26">
        <f>IF($K20="","",INDEX(People!$A:$A,$K20)&amp;"")</f>
        <v/>
      </c>
      <c r="D20" s="26">
        <f>IF($K20="","",INDEX(People!$D:$D,$K20)&amp;"")</f>
        <v/>
      </c>
      <c r="E20" s="26">
        <f>IF($K20="","",INDEX(People!$B:$B,$K20)&amp;"")</f>
        <v/>
      </c>
      <c r="F20" s="27">
        <f>IF($K20="","",INDEX(People!$E:$E,$K20)&amp;"")</f>
        <v/>
      </c>
      <c r="G20" s="27">
        <f>IF($K20="","",INDEX(People!$L:$L,$K20)&amp;"")</f>
        <v/>
      </c>
      <c r="H20" s="27">
        <f>IF($K20="","",INDEX(People!$M:$M,$K20)&amp;"")</f>
        <v/>
      </c>
      <c r="I20" s="6">
        <f>IF($K20="","",INDEX(People!$N:$N,$K20)&amp;"")</f>
        <v/>
      </c>
      <c r="J20">
        <f>IFERROR(SMALL(People!$Y$5:$Y$604,14),"")</f>
        <v/>
      </c>
      <c r="K20">
        <f>IF($J20="","",ROUND(MOD($J20,1)*100000,0))</f>
        <v/>
      </c>
    </row>
    <row r="21">
      <c r="A21" s="25">
        <f>IF($K21="","",IF(INDEX(People!$Q:$Q,$K21)="","no date",INDEX(People!$Q:$Q,$K21)))</f>
        <v/>
      </c>
      <c r="B21" s="26">
        <f>IF($K21="","",INDEX(People!$S:$S,$K21))</f>
        <v/>
      </c>
      <c r="C21" s="26">
        <f>IF($K21="","",INDEX(People!$A:$A,$K21)&amp;"")</f>
        <v/>
      </c>
      <c r="D21" s="26">
        <f>IF($K21="","",INDEX(People!$D:$D,$K21)&amp;"")</f>
        <v/>
      </c>
      <c r="E21" s="26">
        <f>IF($K21="","",INDEX(People!$B:$B,$K21)&amp;"")</f>
        <v/>
      </c>
      <c r="F21" s="27">
        <f>IF($K21="","",INDEX(People!$E:$E,$K21)&amp;"")</f>
        <v/>
      </c>
      <c r="G21" s="27">
        <f>IF($K21="","",INDEX(People!$L:$L,$K21)&amp;"")</f>
        <v/>
      </c>
      <c r="H21" s="27">
        <f>IF($K21="","",INDEX(People!$M:$M,$K21)&amp;"")</f>
        <v/>
      </c>
      <c r="I21" s="6">
        <f>IF($K21="","",INDEX(People!$N:$N,$K21)&amp;"")</f>
        <v/>
      </c>
      <c r="J21">
        <f>IFERROR(SMALL(People!$Y$5:$Y$604,15),"")</f>
        <v/>
      </c>
      <c r="K21">
        <f>IF($J21="","",ROUND(MOD($J21,1)*100000,0))</f>
        <v/>
      </c>
    </row>
    <row r="22">
      <c r="A22" s="25">
        <f>IF($K22="","",IF(INDEX(People!$Q:$Q,$K22)="","no date",INDEX(People!$Q:$Q,$K22)))</f>
        <v/>
      </c>
      <c r="B22" s="26">
        <f>IF($K22="","",INDEX(People!$S:$S,$K22))</f>
        <v/>
      </c>
      <c r="C22" s="26">
        <f>IF($K22="","",INDEX(People!$A:$A,$K22)&amp;"")</f>
        <v/>
      </c>
      <c r="D22" s="26">
        <f>IF($K22="","",INDEX(People!$D:$D,$K22)&amp;"")</f>
        <v/>
      </c>
      <c r="E22" s="26">
        <f>IF($K22="","",INDEX(People!$B:$B,$K22)&amp;"")</f>
        <v/>
      </c>
      <c r="F22" s="27">
        <f>IF($K22="","",INDEX(People!$E:$E,$K22)&amp;"")</f>
        <v/>
      </c>
      <c r="G22" s="27">
        <f>IF($K22="","",INDEX(People!$L:$L,$K22)&amp;"")</f>
        <v/>
      </c>
      <c r="H22" s="27">
        <f>IF($K22="","",INDEX(People!$M:$M,$K22)&amp;"")</f>
        <v/>
      </c>
      <c r="I22" s="6">
        <f>IF($K22="","",INDEX(People!$N:$N,$K22)&amp;"")</f>
        <v/>
      </c>
      <c r="J22">
        <f>IFERROR(SMALL(People!$Y$5:$Y$604,16),"")</f>
        <v/>
      </c>
      <c r="K22">
        <f>IF($J22="","",ROUND(MOD($J22,1)*100000,0))</f>
        <v/>
      </c>
    </row>
    <row r="23">
      <c r="A23" s="25">
        <f>IF($K23="","",IF(INDEX(People!$Q:$Q,$K23)="","no date",INDEX(People!$Q:$Q,$K23)))</f>
        <v/>
      </c>
      <c r="B23" s="26">
        <f>IF($K23="","",INDEX(People!$S:$S,$K23))</f>
        <v/>
      </c>
      <c r="C23" s="26">
        <f>IF($K23="","",INDEX(People!$A:$A,$K23)&amp;"")</f>
        <v/>
      </c>
      <c r="D23" s="26">
        <f>IF($K23="","",INDEX(People!$D:$D,$K23)&amp;"")</f>
        <v/>
      </c>
      <c r="E23" s="26">
        <f>IF($K23="","",INDEX(People!$B:$B,$K23)&amp;"")</f>
        <v/>
      </c>
      <c r="F23" s="27">
        <f>IF($K23="","",INDEX(People!$E:$E,$K23)&amp;"")</f>
        <v/>
      </c>
      <c r="G23" s="27">
        <f>IF($K23="","",INDEX(People!$L:$L,$K23)&amp;"")</f>
        <v/>
      </c>
      <c r="H23" s="27">
        <f>IF($K23="","",INDEX(People!$M:$M,$K23)&amp;"")</f>
        <v/>
      </c>
      <c r="I23" s="6">
        <f>IF($K23="","",INDEX(People!$N:$N,$K23)&amp;"")</f>
        <v/>
      </c>
      <c r="J23">
        <f>IFERROR(SMALL(People!$Y$5:$Y$604,17),"")</f>
        <v/>
      </c>
      <c r="K23">
        <f>IF($J23="","",ROUND(MOD($J23,1)*100000,0))</f>
        <v/>
      </c>
    </row>
    <row r="24">
      <c r="A24" s="25">
        <f>IF($K24="","",IF(INDEX(People!$Q:$Q,$K24)="","no date",INDEX(People!$Q:$Q,$K24)))</f>
        <v/>
      </c>
      <c r="B24" s="26">
        <f>IF($K24="","",INDEX(People!$S:$S,$K24))</f>
        <v/>
      </c>
      <c r="C24" s="26">
        <f>IF($K24="","",INDEX(People!$A:$A,$K24)&amp;"")</f>
        <v/>
      </c>
      <c r="D24" s="26">
        <f>IF($K24="","",INDEX(People!$D:$D,$K24)&amp;"")</f>
        <v/>
      </c>
      <c r="E24" s="26">
        <f>IF($K24="","",INDEX(People!$B:$B,$K24)&amp;"")</f>
        <v/>
      </c>
      <c r="F24" s="27">
        <f>IF($K24="","",INDEX(People!$E:$E,$K24)&amp;"")</f>
        <v/>
      </c>
      <c r="G24" s="27">
        <f>IF($K24="","",INDEX(People!$L:$L,$K24)&amp;"")</f>
        <v/>
      </c>
      <c r="H24" s="27">
        <f>IF($K24="","",INDEX(People!$M:$M,$K24)&amp;"")</f>
        <v/>
      </c>
      <c r="I24" s="6">
        <f>IF($K24="","",INDEX(People!$N:$N,$K24)&amp;"")</f>
        <v/>
      </c>
      <c r="J24">
        <f>IFERROR(SMALL(People!$Y$5:$Y$604,18),"")</f>
        <v/>
      </c>
      <c r="K24">
        <f>IF($J24="","",ROUND(MOD($J24,1)*100000,0))</f>
        <v/>
      </c>
    </row>
    <row r="25">
      <c r="A25" s="25">
        <f>IF($K25="","",IF(INDEX(People!$Q:$Q,$K25)="","no date",INDEX(People!$Q:$Q,$K25)))</f>
        <v/>
      </c>
      <c r="B25" s="26">
        <f>IF($K25="","",INDEX(People!$S:$S,$K25))</f>
        <v/>
      </c>
      <c r="C25" s="26">
        <f>IF($K25="","",INDEX(People!$A:$A,$K25)&amp;"")</f>
        <v/>
      </c>
      <c r="D25" s="26">
        <f>IF($K25="","",INDEX(People!$D:$D,$K25)&amp;"")</f>
        <v/>
      </c>
      <c r="E25" s="26">
        <f>IF($K25="","",INDEX(People!$B:$B,$K25)&amp;"")</f>
        <v/>
      </c>
      <c r="F25" s="27">
        <f>IF($K25="","",INDEX(People!$E:$E,$K25)&amp;"")</f>
        <v/>
      </c>
      <c r="G25" s="27">
        <f>IF($K25="","",INDEX(People!$L:$L,$K25)&amp;"")</f>
        <v/>
      </c>
      <c r="H25" s="27">
        <f>IF($K25="","",INDEX(People!$M:$M,$K25)&amp;"")</f>
        <v/>
      </c>
      <c r="I25" s="6">
        <f>IF($K25="","",INDEX(People!$N:$N,$K25)&amp;"")</f>
        <v/>
      </c>
      <c r="J25">
        <f>IFERROR(SMALL(People!$Y$5:$Y$604,19),"")</f>
        <v/>
      </c>
      <c r="K25">
        <f>IF($J25="","",ROUND(MOD($J25,1)*100000,0))</f>
        <v/>
      </c>
    </row>
    <row r="26">
      <c r="A26" s="25">
        <f>IF($K26="","",IF(INDEX(People!$Q:$Q,$K26)="","no date",INDEX(People!$Q:$Q,$K26)))</f>
        <v/>
      </c>
      <c r="B26" s="26">
        <f>IF($K26="","",INDEX(People!$S:$S,$K26))</f>
        <v/>
      </c>
      <c r="C26" s="26">
        <f>IF($K26="","",INDEX(People!$A:$A,$K26)&amp;"")</f>
        <v/>
      </c>
      <c r="D26" s="26">
        <f>IF($K26="","",INDEX(People!$D:$D,$K26)&amp;"")</f>
        <v/>
      </c>
      <c r="E26" s="26">
        <f>IF($K26="","",INDEX(People!$B:$B,$K26)&amp;"")</f>
        <v/>
      </c>
      <c r="F26" s="27">
        <f>IF($K26="","",INDEX(People!$E:$E,$K26)&amp;"")</f>
        <v/>
      </c>
      <c r="G26" s="27">
        <f>IF($K26="","",INDEX(People!$L:$L,$K26)&amp;"")</f>
        <v/>
      </c>
      <c r="H26" s="27">
        <f>IF($K26="","",INDEX(People!$M:$M,$K26)&amp;"")</f>
        <v/>
      </c>
      <c r="I26" s="6">
        <f>IF($K26="","",INDEX(People!$N:$N,$K26)&amp;"")</f>
        <v/>
      </c>
      <c r="J26">
        <f>IFERROR(SMALL(People!$Y$5:$Y$604,20),"")</f>
        <v/>
      </c>
      <c r="K26">
        <f>IF($J26="","",ROUND(MOD($J26,1)*100000,0))</f>
        <v/>
      </c>
    </row>
    <row r="27">
      <c r="A27" s="25">
        <f>IF($K27="","",IF(INDEX(People!$Q:$Q,$K27)="","no date",INDEX(People!$Q:$Q,$K27)))</f>
        <v/>
      </c>
      <c r="B27" s="26">
        <f>IF($K27="","",INDEX(People!$S:$S,$K27))</f>
        <v/>
      </c>
      <c r="C27" s="26">
        <f>IF($K27="","",INDEX(People!$A:$A,$K27)&amp;"")</f>
        <v/>
      </c>
      <c r="D27" s="26">
        <f>IF($K27="","",INDEX(People!$D:$D,$K27)&amp;"")</f>
        <v/>
      </c>
      <c r="E27" s="26">
        <f>IF($K27="","",INDEX(People!$B:$B,$K27)&amp;"")</f>
        <v/>
      </c>
      <c r="F27" s="27">
        <f>IF($K27="","",INDEX(People!$E:$E,$K27)&amp;"")</f>
        <v/>
      </c>
      <c r="G27" s="27">
        <f>IF($K27="","",INDEX(People!$L:$L,$K27)&amp;"")</f>
        <v/>
      </c>
      <c r="H27" s="27">
        <f>IF($K27="","",INDEX(People!$M:$M,$K27)&amp;"")</f>
        <v/>
      </c>
      <c r="I27" s="6">
        <f>IF($K27="","",INDEX(People!$N:$N,$K27)&amp;"")</f>
        <v/>
      </c>
      <c r="J27">
        <f>IFERROR(SMALL(People!$Y$5:$Y$604,21),"")</f>
        <v/>
      </c>
      <c r="K27">
        <f>IF($J27="","",ROUND(MOD($J27,1)*100000,0))</f>
        <v/>
      </c>
    </row>
    <row r="28">
      <c r="A28" s="25">
        <f>IF($K28="","",IF(INDEX(People!$Q:$Q,$K28)="","no date",INDEX(People!$Q:$Q,$K28)))</f>
        <v/>
      </c>
      <c r="B28" s="26">
        <f>IF($K28="","",INDEX(People!$S:$S,$K28))</f>
        <v/>
      </c>
      <c r="C28" s="26">
        <f>IF($K28="","",INDEX(People!$A:$A,$K28)&amp;"")</f>
        <v/>
      </c>
      <c r="D28" s="26">
        <f>IF($K28="","",INDEX(People!$D:$D,$K28)&amp;"")</f>
        <v/>
      </c>
      <c r="E28" s="26">
        <f>IF($K28="","",INDEX(People!$B:$B,$K28)&amp;"")</f>
        <v/>
      </c>
      <c r="F28" s="27">
        <f>IF($K28="","",INDEX(People!$E:$E,$K28)&amp;"")</f>
        <v/>
      </c>
      <c r="G28" s="27">
        <f>IF($K28="","",INDEX(People!$L:$L,$K28)&amp;"")</f>
        <v/>
      </c>
      <c r="H28" s="27">
        <f>IF($K28="","",INDEX(People!$M:$M,$K28)&amp;"")</f>
        <v/>
      </c>
      <c r="I28" s="6">
        <f>IF($K28="","",INDEX(People!$N:$N,$K28)&amp;"")</f>
        <v/>
      </c>
      <c r="J28">
        <f>IFERROR(SMALL(People!$Y$5:$Y$604,22),"")</f>
        <v/>
      </c>
      <c r="K28">
        <f>IF($J28="","",ROUND(MOD($J28,1)*100000,0))</f>
        <v/>
      </c>
    </row>
    <row r="29">
      <c r="A29" s="25">
        <f>IF($K29="","",IF(INDEX(People!$Q:$Q,$K29)="","no date",INDEX(People!$Q:$Q,$K29)))</f>
        <v/>
      </c>
      <c r="B29" s="26">
        <f>IF($K29="","",INDEX(People!$S:$S,$K29))</f>
        <v/>
      </c>
      <c r="C29" s="26">
        <f>IF($K29="","",INDEX(People!$A:$A,$K29)&amp;"")</f>
        <v/>
      </c>
      <c r="D29" s="26">
        <f>IF($K29="","",INDEX(People!$D:$D,$K29)&amp;"")</f>
        <v/>
      </c>
      <c r="E29" s="26">
        <f>IF($K29="","",INDEX(People!$B:$B,$K29)&amp;"")</f>
        <v/>
      </c>
      <c r="F29" s="27">
        <f>IF($K29="","",INDEX(People!$E:$E,$K29)&amp;"")</f>
        <v/>
      </c>
      <c r="G29" s="27">
        <f>IF($K29="","",INDEX(People!$L:$L,$K29)&amp;"")</f>
        <v/>
      </c>
      <c r="H29" s="27">
        <f>IF($K29="","",INDEX(People!$M:$M,$K29)&amp;"")</f>
        <v/>
      </c>
      <c r="I29" s="6">
        <f>IF($K29="","",INDEX(People!$N:$N,$K29)&amp;"")</f>
        <v/>
      </c>
      <c r="J29">
        <f>IFERROR(SMALL(People!$Y$5:$Y$604,23),"")</f>
        <v/>
      </c>
      <c r="K29">
        <f>IF($J29="","",ROUND(MOD($J29,1)*100000,0))</f>
        <v/>
      </c>
    </row>
    <row r="30">
      <c r="A30" s="25">
        <f>IF($K30="","",IF(INDEX(People!$Q:$Q,$K30)="","no date",INDEX(People!$Q:$Q,$K30)))</f>
        <v/>
      </c>
      <c r="B30" s="26">
        <f>IF($K30="","",INDEX(People!$S:$S,$K30))</f>
        <v/>
      </c>
      <c r="C30" s="26">
        <f>IF($K30="","",INDEX(People!$A:$A,$K30)&amp;"")</f>
        <v/>
      </c>
      <c r="D30" s="26">
        <f>IF($K30="","",INDEX(People!$D:$D,$K30)&amp;"")</f>
        <v/>
      </c>
      <c r="E30" s="26">
        <f>IF($K30="","",INDEX(People!$B:$B,$K30)&amp;"")</f>
        <v/>
      </c>
      <c r="F30" s="27">
        <f>IF($K30="","",INDEX(People!$E:$E,$K30)&amp;"")</f>
        <v/>
      </c>
      <c r="G30" s="27">
        <f>IF($K30="","",INDEX(People!$L:$L,$K30)&amp;"")</f>
        <v/>
      </c>
      <c r="H30" s="27">
        <f>IF($K30="","",INDEX(People!$M:$M,$K30)&amp;"")</f>
        <v/>
      </c>
      <c r="I30" s="6">
        <f>IF($K30="","",INDEX(People!$N:$N,$K30)&amp;"")</f>
        <v/>
      </c>
      <c r="J30">
        <f>IFERROR(SMALL(People!$Y$5:$Y$604,24),"")</f>
        <v/>
      </c>
      <c r="K30">
        <f>IF($J30="","",ROUND(MOD($J30,1)*100000,0))</f>
        <v/>
      </c>
    </row>
    <row r="31">
      <c r="A31" s="25">
        <f>IF($K31="","",IF(INDEX(People!$Q:$Q,$K31)="","no date",INDEX(People!$Q:$Q,$K31)))</f>
        <v/>
      </c>
      <c r="B31" s="26">
        <f>IF($K31="","",INDEX(People!$S:$S,$K31))</f>
        <v/>
      </c>
      <c r="C31" s="26">
        <f>IF($K31="","",INDEX(People!$A:$A,$K31)&amp;"")</f>
        <v/>
      </c>
      <c r="D31" s="26">
        <f>IF($K31="","",INDEX(People!$D:$D,$K31)&amp;"")</f>
        <v/>
      </c>
      <c r="E31" s="26">
        <f>IF($K31="","",INDEX(People!$B:$B,$K31)&amp;"")</f>
        <v/>
      </c>
      <c r="F31" s="27">
        <f>IF($K31="","",INDEX(People!$E:$E,$K31)&amp;"")</f>
        <v/>
      </c>
      <c r="G31" s="27">
        <f>IF($K31="","",INDEX(People!$L:$L,$K31)&amp;"")</f>
        <v/>
      </c>
      <c r="H31" s="27">
        <f>IF($K31="","",INDEX(People!$M:$M,$K31)&amp;"")</f>
        <v/>
      </c>
      <c r="I31" s="6">
        <f>IF($K31="","",INDEX(People!$N:$N,$K31)&amp;"")</f>
        <v/>
      </c>
      <c r="J31">
        <f>IFERROR(SMALL(People!$Y$5:$Y$604,25),"")</f>
        <v/>
      </c>
      <c r="K31">
        <f>IF($J31="","",ROUND(MOD($J31,1)*100000,0))</f>
        <v/>
      </c>
    </row>
    <row r="32">
      <c r="A32" s="25">
        <f>IF($K32="","",IF(INDEX(People!$Q:$Q,$K32)="","no date",INDEX(People!$Q:$Q,$K32)))</f>
        <v/>
      </c>
      <c r="B32" s="26">
        <f>IF($K32="","",INDEX(People!$S:$S,$K32))</f>
        <v/>
      </c>
      <c r="C32" s="26">
        <f>IF($K32="","",INDEX(People!$A:$A,$K32)&amp;"")</f>
        <v/>
      </c>
      <c r="D32" s="26">
        <f>IF($K32="","",INDEX(People!$D:$D,$K32)&amp;"")</f>
        <v/>
      </c>
      <c r="E32" s="26">
        <f>IF($K32="","",INDEX(People!$B:$B,$K32)&amp;"")</f>
        <v/>
      </c>
      <c r="F32" s="27">
        <f>IF($K32="","",INDEX(People!$E:$E,$K32)&amp;"")</f>
        <v/>
      </c>
      <c r="G32" s="27">
        <f>IF($K32="","",INDEX(People!$L:$L,$K32)&amp;"")</f>
        <v/>
      </c>
      <c r="H32" s="27">
        <f>IF($K32="","",INDEX(People!$M:$M,$K32)&amp;"")</f>
        <v/>
      </c>
      <c r="I32" s="6">
        <f>IF($K32="","",INDEX(People!$N:$N,$K32)&amp;"")</f>
        <v/>
      </c>
      <c r="J32">
        <f>IFERROR(SMALL(People!$Y$5:$Y$604,26),"")</f>
        <v/>
      </c>
      <c r="K32">
        <f>IF($J32="","",ROUND(MOD($J32,1)*100000,0))</f>
        <v/>
      </c>
    </row>
    <row r="33">
      <c r="A33" s="25">
        <f>IF($K33="","",IF(INDEX(People!$Q:$Q,$K33)="","no date",INDEX(People!$Q:$Q,$K33)))</f>
        <v/>
      </c>
      <c r="B33" s="26">
        <f>IF($K33="","",INDEX(People!$S:$S,$K33))</f>
        <v/>
      </c>
      <c r="C33" s="26">
        <f>IF($K33="","",INDEX(People!$A:$A,$K33)&amp;"")</f>
        <v/>
      </c>
      <c r="D33" s="26">
        <f>IF($K33="","",INDEX(People!$D:$D,$K33)&amp;"")</f>
        <v/>
      </c>
      <c r="E33" s="26">
        <f>IF($K33="","",INDEX(People!$B:$B,$K33)&amp;"")</f>
        <v/>
      </c>
      <c r="F33" s="27">
        <f>IF($K33="","",INDEX(People!$E:$E,$K33)&amp;"")</f>
        <v/>
      </c>
      <c r="G33" s="27">
        <f>IF($K33="","",INDEX(People!$L:$L,$K33)&amp;"")</f>
        <v/>
      </c>
      <c r="H33" s="27">
        <f>IF($K33="","",INDEX(People!$M:$M,$K33)&amp;"")</f>
        <v/>
      </c>
      <c r="I33" s="6">
        <f>IF($K33="","",INDEX(People!$N:$N,$K33)&amp;"")</f>
        <v/>
      </c>
      <c r="J33">
        <f>IFERROR(SMALL(People!$Y$5:$Y$604,27),"")</f>
        <v/>
      </c>
      <c r="K33">
        <f>IF($J33="","",ROUND(MOD($J33,1)*100000,0))</f>
        <v/>
      </c>
    </row>
    <row r="34">
      <c r="A34" s="25">
        <f>IF($K34="","",IF(INDEX(People!$Q:$Q,$K34)="","no date",INDEX(People!$Q:$Q,$K34)))</f>
        <v/>
      </c>
      <c r="B34" s="26">
        <f>IF($K34="","",INDEX(People!$S:$S,$K34))</f>
        <v/>
      </c>
      <c r="C34" s="26">
        <f>IF($K34="","",INDEX(People!$A:$A,$K34)&amp;"")</f>
        <v/>
      </c>
      <c r="D34" s="26">
        <f>IF($K34="","",INDEX(People!$D:$D,$K34)&amp;"")</f>
        <v/>
      </c>
      <c r="E34" s="26">
        <f>IF($K34="","",INDEX(People!$B:$B,$K34)&amp;"")</f>
        <v/>
      </c>
      <c r="F34" s="27">
        <f>IF($K34="","",INDEX(People!$E:$E,$K34)&amp;"")</f>
        <v/>
      </c>
      <c r="G34" s="27">
        <f>IF($K34="","",INDEX(People!$L:$L,$K34)&amp;"")</f>
        <v/>
      </c>
      <c r="H34" s="27">
        <f>IF($K34="","",INDEX(People!$M:$M,$K34)&amp;"")</f>
        <v/>
      </c>
      <c r="I34" s="6">
        <f>IF($K34="","",INDEX(People!$N:$N,$K34)&amp;"")</f>
        <v/>
      </c>
      <c r="J34">
        <f>IFERROR(SMALL(People!$Y$5:$Y$604,28),"")</f>
        <v/>
      </c>
      <c r="K34">
        <f>IF($J34="","",ROUND(MOD($J34,1)*100000,0))</f>
        <v/>
      </c>
    </row>
    <row r="35">
      <c r="A35" s="25">
        <f>IF($K35="","",IF(INDEX(People!$Q:$Q,$K35)="","no date",INDEX(People!$Q:$Q,$K35)))</f>
        <v/>
      </c>
      <c r="B35" s="26">
        <f>IF($K35="","",INDEX(People!$S:$S,$K35))</f>
        <v/>
      </c>
      <c r="C35" s="26">
        <f>IF($K35="","",INDEX(People!$A:$A,$K35)&amp;"")</f>
        <v/>
      </c>
      <c r="D35" s="26">
        <f>IF($K35="","",INDEX(People!$D:$D,$K35)&amp;"")</f>
        <v/>
      </c>
      <c r="E35" s="26">
        <f>IF($K35="","",INDEX(People!$B:$B,$K35)&amp;"")</f>
        <v/>
      </c>
      <c r="F35" s="27">
        <f>IF($K35="","",INDEX(People!$E:$E,$K35)&amp;"")</f>
        <v/>
      </c>
      <c r="G35" s="27">
        <f>IF($K35="","",INDEX(People!$L:$L,$K35)&amp;"")</f>
        <v/>
      </c>
      <c r="H35" s="27">
        <f>IF($K35="","",INDEX(People!$M:$M,$K35)&amp;"")</f>
        <v/>
      </c>
      <c r="I35" s="6">
        <f>IF($K35="","",INDEX(People!$N:$N,$K35)&amp;"")</f>
        <v/>
      </c>
      <c r="J35">
        <f>IFERROR(SMALL(People!$Y$5:$Y$604,29),"")</f>
        <v/>
      </c>
      <c r="K35">
        <f>IF($J35="","",ROUND(MOD($J35,1)*100000,0))</f>
        <v/>
      </c>
    </row>
    <row r="36">
      <c r="A36" s="25">
        <f>IF($K36="","",IF(INDEX(People!$Q:$Q,$K36)="","no date",INDEX(People!$Q:$Q,$K36)))</f>
        <v/>
      </c>
      <c r="B36" s="26">
        <f>IF($K36="","",INDEX(People!$S:$S,$K36))</f>
        <v/>
      </c>
      <c r="C36" s="26">
        <f>IF($K36="","",INDEX(People!$A:$A,$K36)&amp;"")</f>
        <v/>
      </c>
      <c r="D36" s="26">
        <f>IF($K36="","",INDEX(People!$D:$D,$K36)&amp;"")</f>
        <v/>
      </c>
      <c r="E36" s="26">
        <f>IF($K36="","",INDEX(People!$B:$B,$K36)&amp;"")</f>
        <v/>
      </c>
      <c r="F36" s="27">
        <f>IF($K36="","",INDEX(People!$E:$E,$K36)&amp;"")</f>
        <v/>
      </c>
      <c r="G36" s="27">
        <f>IF($K36="","",INDEX(People!$L:$L,$K36)&amp;"")</f>
        <v/>
      </c>
      <c r="H36" s="27">
        <f>IF($K36="","",INDEX(People!$M:$M,$K36)&amp;"")</f>
        <v/>
      </c>
      <c r="I36" s="6">
        <f>IF($K36="","",INDEX(People!$N:$N,$K36)&amp;"")</f>
        <v/>
      </c>
      <c r="J36">
        <f>IFERROR(SMALL(People!$Y$5:$Y$604,30),"")</f>
        <v/>
      </c>
      <c r="K36">
        <f>IF($J36="","",ROUND(MOD($J36,1)*100000,0))</f>
        <v/>
      </c>
    </row>
    <row r="37">
      <c r="A37" s="25">
        <f>IF($K37="","",IF(INDEX(People!$Q:$Q,$K37)="","no date",INDEX(People!$Q:$Q,$K37)))</f>
        <v/>
      </c>
      <c r="B37" s="26">
        <f>IF($K37="","",INDEX(People!$S:$S,$K37))</f>
        <v/>
      </c>
      <c r="C37" s="26">
        <f>IF($K37="","",INDEX(People!$A:$A,$K37)&amp;"")</f>
        <v/>
      </c>
      <c r="D37" s="26">
        <f>IF($K37="","",INDEX(People!$D:$D,$K37)&amp;"")</f>
        <v/>
      </c>
      <c r="E37" s="26">
        <f>IF($K37="","",INDEX(People!$B:$B,$K37)&amp;"")</f>
        <v/>
      </c>
      <c r="F37" s="27">
        <f>IF($K37="","",INDEX(People!$E:$E,$K37)&amp;"")</f>
        <v/>
      </c>
      <c r="G37" s="27">
        <f>IF($K37="","",INDEX(People!$L:$L,$K37)&amp;"")</f>
        <v/>
      </c>
      <c r="H37" s="27">
        <f>IF($K37="","",INDEX(People!$M:$M,$K37)&amp;"")</f>
        <v/>
      </c>
      <c r="I37" s="6">
        <f>IF($K37="","",INDEX(People!$N:$N,$K37)&amp;"")</f>
        <v/>
      </c>
      <c r="J37">
        <f>IFERROR(SMALL(People!$Y$5:$Y$604,31),"")</f>
        <v/>
      </c>
      <c r="K37">
        <f>IF($J37="","",ROUND(MOD($J37,1)*100000,0))</f>
        <v/>
      </c>
    </row>
    <row r="38">
      <c r="A38" s="25">
        <f>IF($K38="","",IF(INDEX(People!$Q:$Q,$K38)="","no date",INDEX(People!$Q:$Q,$K38)))</f>
        <v/>
      </c>
      <c r="B38" s="26">
        <f>IF($K38="","",INDEX(People!$S:$S,$K38))</f>
        <v/>
      </c>
      <c r="C38" s="26">
        <f>IF($K38="","",INDEX(People!$A:$A,$K38)&amp;"")</f>
        <v/>
      </c>
      <c r="D38" s="26">
        <f>IF($K38="","",INDEX(People!$D:$D,$K38)&amp;"")</f>
        <v/>
      </c>
      <c r="E38" s="26">
        <f>IF($K38="","",INDEX(People!$B:$B,$K38)&amp;"")</f>
        <v/>
      </c>
      <c r="F38" s="27">
        <f>IF($K38="","",INDEX(People!$E:$E,$K38)&amp;"")</f>
        <v/>
      </c>
      <c r="G38" s="27">
        <f>IF($K38="","",INDEX(People!$L:$L,$K38)&amp;"")</f>
        <v/>
      </c>
      <c r="H38" s="27">
        <f>IF($K38="","",INDEX(People!$M:$M,$K38)&amp;"")</f>
        <v/>
      </c>
      <c r="I38" s="6">
        <f>IF($K38="","",INDEX(People!$N:$N,$K38)&amp;"")</f>
        <v/>
      </c>
      <c r="J38">
        <f>IFERROR(SMALL(People!$Y$5:$Y$604,32),"")</f>
        <v/>
      </c>
      <c r="K38">
        <f>IF($J38="","",ROUND(MOD($J38,1)*100000,0))</f>
        <v/>
      </c>
    </row>
    <row r="39">
      <c r="A39" s="25">
        <f>IF($K39="","",IF(INDEX(People!$Q:$Q,$K39)="","no date",INDEX(People!$Q:$Q,$K39)))</f>
        <v/>
      </c>
      <c r="B39" s="26">
        <f>IF($K39="","",INDEX(People!$S:$S,$K39))</f>
        <v/>
      </c>
      <c r="C39" s="26">
        <f>IF($K39="","",INDEX(People!$A:$A,$K39)&amp;"")</f>
        <v/>
      </c>
      <c r="D39" s="26">
        <f>IF($K39="","",INDEX(People!$D:$D,$K39)&amp;"")</f>
        <v/>
      </c>
      <c r="E39" s="26">
        <f>IF($K39="","",INDEX(People!$B:$B,$K39)&amp;"")</f>
        <v/>
      </c>
      <c r="F39" s="27">
        <f>IF($K39="","",INDEX(People!$E:$E,$K39)&amp;"")</f>
        <v/>
      </c>
      <c r="G39" s="27">
        <f>IF($K39="","",INDEX(People!$L:$L,$K39)&amp;"")</f>
        <v/>
      </c>
      <c r="H39" s="27">
        <f>IF($K39="","",INDEX(People!$M:$M,$K39)&amp;"")</f>
        <v/>
      </c>
      <c r="I39" s="6">
        <f>IF($K39="","",INDEX(People!$N:$N,$K39)&amp;"")</f>
        <v/>
      </c>
      <c r="J39">
        <f>IFERROR(SMALL(People!$Y$5:$Y$604,33),"")</f>
        <v/>
      </c>
      <c r="K39">
        <f>IF($J39="","",ROUND(MOD($J39,1)*100000,0))</f>
        <v/>
      </c>
    </row>
    <row r="40">
      <c r="A40" s="25">
        <f>IF($K40="","",IF(INDEX(People!$Q:$Q,$K40)="","no date",INDEX(People!$Q:$Q,$K40)))</f>
        <v/>
      </c>
      <c r="B40" s="26">
        <f>IF($K40="","",INDEX(People!$S:$S,$K40))</f>
        <v/>
      </c>
      <c r="C40" s="26">
        <f>IF($K40="","",INDEX(People!$A:$A,$K40)&amp;"")</f>
        <v/>
      </c>
      <c r="D40" s="26">
        <f>IF($K40="","",INDEX(People!$D:$D,$K40)&amp;"")</f>
        <v/>
      </c>
      <c r="E40" s="26">
        <f>IF($K40="","",INDEX(People!$B:$B,$K40)&amp;"")</f>
        <v/>
      </c>
      <c r="F40" s="27">
        <f>IF($K40="","",INDEX(People!$E:$E,$K40)&amp;"")</f>
        <v/>
      </c>
      <c r="G40" s="27">
        <f>IF($K40="","",INDEX(People!$L:$L,$K40)&amp;"")</f>
        <v/>
      </c>
      <c r="H40" s="27">
        <f>IF($K40="","",INDEX(People!$M:$M,$K40)&amp;"")</f>
        <v/>
      </c>
      <c r="I40" s="6">
        <f>IF($K40="","",INDEX(People!$N:$N,$K40)&amp;"")</f>
        <v/>
      </c>
      <c r="J40">
        <f>IFERROR(SMALL(People!$Y$5:$Y$604,34),"")</f>
        <v/>
      </c>
      <c r="K40">
        <f>IF($J40="","",ROUND(MOD($J40,1)*100000,0))</f>
        <v/>
      </c>
    </row>
    <row r="41">
      <c r="A41" s="25">
        <f>IF($K41="","",IF(INDEX(People!$Q:$Q,$K41)="","no date",INDEX(People!$Q:$Q,$K41)))</f>
        <v/>
      </c>
      <c r="B41" s="26">
        <f>IF($K41="","",INDEX(People!$S:$S,$K41))</f>
        <v/>
      </c>
      <c r="C41" s="26">
        <f>IF($K41="","",INDEX(People!$A:$A,$K41)&amp;"")</f>
        <v/>
      </c>
      <c r="D41" s="26">
        <f>IF($K41="","",INDEX(People!$D:$D,$K41)&amp;"")</f>
        <v/>
      </c>
      <c r="E41" s="26">
        <f>IF($K41="","",INDEX(People!$B:$B,$K41)&amp;"")</f>
        <v/>
      </c>
      <c r="F41" s="27">
        <f>IF($K41="","",INDEX(People!$E:$E,$K41)&amp;"")</f>
        <v/>
      </c>
      <c r="G41" s="27">
        <f>IF($K41="","",INDEX(People!$L:$L,$K41)&amp;"")</f>
        <v/>
      </c>
      <c r="H41" s="27">
        <f>IF($K41="","",INDEX(People!$M:$M,$K41)&amp;"")</f>
        <v/>
      </c>
      <c r="I41" s="6">
        <f>IF($K41="","",INDEX(People!$N:$N,$K41)&amp;"")</f>
        <v/>
      </c>
      <c r="J41">
        <f>IFERROR(SMALL(People!$Y$5:$Y$604,35),"")</f>
        <v/>
      </c>
      <c r="K41">
        <f>IF($J41="","",ROUND(MOD($J41,1)*100000,0))</f>
        <v/>
      </c>
    </row>
    <row r="42">
      <c r="A42" s="25">
        <f>IF($K42="","",IF(INDEX(People!$Q:$Q,$K42)="","no date",INDEX(People!$Q:$Q,$K42)))</f>
        <v/>
      </c>
      <c r="B42" s="26">
        <f>IF($K42="","",INDEX(People!$S:$S,$K42))</f>
        <v/>
      </c>
      <c r="C42" s="26">
        <f>IF($K42="","",INDEX(People!$A:$A,$K42)&amp;"")</f>
        <v/>
      </c>
      <c r="D42" s="26">
        <f>IF($K42="","",INDEX(People!$D:$D,$K42)&amp;"")</f>
        <v/>
      </c>
      <c r="E42" s="26">
        <f>IF($K42="","",INDEX(People!$B:$B,$K42)&amp;"")</f>
        <v/>
      </c>
      <c r="F42" s="27">
        <f>IF($K42="","",INDEX(People!$E:$E,$K42)&amp;"")</f>
        <v/>
      </c>
      <c r="G42" s="27">
        <f>IF($K42="","",INDEX(People!$L:$L,$K42)&amp;"")</f>
        <v/>
      </c>
      <c r="H42" s="27">
        <f>IF($K42="","",INDEX(People!$M:$M,$K42)&amp;"")</f>
        <v/>
      </c>
      <c r="I42" s="6">
        <f>IF($K42="","",INDEX(People!$N:$N,$K42)&amp;"")</f>
        <v/>
      </c>
      <c r="J42">
        <f>IFERROR(SMALL(People!$Y$5:$Y$604,36),"")</f>
        <v/>
      </c>
      <c r="K42">
        <f>IF($J42="","",ROUND(MOD($J42,1)*100000,0))</f>
        <v/>
      </c>
    </row>
    <row r="43">
      <c r="A43" s="25">
        <f>IF($K43="","",IF(INDEX(People!$Q:$Q,$K43)="","no date",INDEX(People!$Q:$Q,$K43)))</f>
        <v/>
      </c>
      <c r="B43" s="26">
        <f>IF($K43="","",INDEX(People!$S:$S,$K43))</f>
        <v/>
      </c>
      <c r="C43" s="26">
        <f>IF($K43="","",INDEX(People!$A:$A,$K43)&amp;"")</f>
        <v/>
      </c>
      <c r="D43" s="26">
        <f>IF($K43="","",INDEX(People!$D:$D,$K43)&amp;"")</f>
        <v/>
      </c>
      <c r="E43" s="26">
        <f>IF($K43="","",INDEX(People!$B:$B,$K43)&amp;"")</f>
        <v/>
      </c>
      <c r="F43" s="27">
        <f>IF($K43="","",INDEX(People!$E:$E,$K43)&amp;"")</f>
        <v/>
      </c>
      <c r="G43" s="27">
        <f>IF($K43="","",INDEX(People!$L:$L,$K43)&amp;"")</f>
        <v/>
      </c>
      <c r="H43" s="27">
        <f>IF($K43="","",INDEX(People!$M:$M,$K43)&amp;"")</f>
        <v/>
      </c>
      <c r="I43" s="6">
        <f>IF($K43="","",INDEX(People!$N:$N,$K43)&amp;"")</f>
        <v/>
      </c>
      <c r="J43">
        <f>IFERROR(SMALL(People!$Y$5:$Y$604,37),"")</f>
        <v/>
      </c>
      <c r="K43">
        <f>IF($J43="","",ROUND(MOD($J43,1)*100000,0))</f>
        <v/>
      </c>
    </row>
    <row r="44">
      <c r="A44" s="25">
        <f>IF($K44="","",IF(INDEX(People!$Q:$Q,$K44)="","no date",INDEX(People!$Q:$Q,$K44)))</f>
        <v/>
      </c>
      <c r="B44" s="26">
        <f>IF($K44="","",INDEX(People!$S:$S,$K44))</f>
        <v/>
      </c>
      <c r="C44" s="26">
        <f>IF($K44="","",INDEX(People!$A:$A,$K44)&amp;"")</f>
        <v/>
      </c>
      <c r="D44" s="26">
        <f>IF($K44="","",INDEX(People!$D:$D,$K44)&amp;"")</f>
        <v/>
      </c>
      <c r="E44" s="26">
        <f>IF($K44="","",INDEX(People!$B:$B,$K44)&amp;"")</f>
        <v/>
      </c>
      <c r="F44" s="27">
        <f>IF($K44="","",INDEX(People!$E:$E,$K44)&amp;"")</f>
        <v/>
      </c>
      <c r="G44" s="27">
        <f>IF($K44="","",INDEX(People!$L:$L,$K44)&amp;"")</f>
        <v/>
      </c>
      <c r="H44" s="27">
        <f>IF($K44="","",INDEX(People!$M:$M,$K44)&amp;"")</f>
        <v/>
      </c>
      <c r="I44" s="6">
        <f>IF($K44="","",INDEX(People!$N:$N,$K44)&amp;"")</f>
        <v/>
      </c>
      <c r="J44">
        <f>IFERROR(SMALL(People!$Y$5:$Y$604,38),"")</f>
        <v/>
      </c>
      <c r="K44">
        <f>IF($J44="","",ROUND(MOD($J44,1)*100000,0))</f>
        <v/>
      </c>
    </row>
    <row r="45">
      <c r="A45" s="25">
        <f>IF($K45="","",IF(INDEX(People!$Q:$Q,$K45)="","no date",INDEX(People!$Q:$Q,$K45)))</f>
        <v/>
      </c>
      <c r="B45" s="26">
        <f>IF($K45="","",INDEX(People!$S:$S,$K45))</f>
        <v/>
      </c>
      <c r="C45" s="26">
        <f>IF($K45="","",INDEX(People!$A:$A,$K45)&amp;"")</f>
        <v/>
      </c>
      <c r="D45" s="26">
        <f>IF($K45="","",INDEX(People!$D:$D,$K45)&amp;"")</f>
        <v/>
      </c>
      <c r="E45" s="26">
        <f>IF($K45="","",INDEX(People!$B:$B,$K45)&amp;"")</f>
        <v/>
      </c>
      <c r="F45" s="27">
        <f>IF($K45="","",INDEX(People!$E:$E,$K45)&amp;"")</f>
        <v/>
      </c>
      <c r="G45" s="27">
        <f>IF($K45="","",INDEX(People!$L:$L,$K45)&amp;"")</f>
        <v/>
      </c>
      <c r="H45" s="27">
        <f>IF($K45="","",INDEX(People!$M:$M,$K45)&amp;"")</f>
        <v/>
      </c>
      <c r="I45" s="6">
        <f>IF($K45="","",INDEX(People!$N:$N,$K45)&amp;"")</f>
        <v/>
      </c>
      <c r="J45">
        <f>IFERROR(SMALL(People!$Y$5:$Y$604,39),"")</f>
        <v/>
      </c>
      <c r="K45">
        <f>IF($J45="","",ROUND(MOD($J45,1)*100000,0))</f>
        <v/>
      </c>
    </row>
    <row r="46">
      <c r="A46" s="25">
        <f>IF($K46="","",IF(INDEX(People!$Q:$Q,$K46)="","no date",INDEX(People!$Q:$Q,$K46)))</f>
        <v/>
      </c>
      <c r="B46" s="26">
        <f>IF($K46="","",INDEX(People!$S:$S,$K46))</f>
        <v/>
      </c>
      <c r="C46" s="26">
        <f>IF($K46="","",INDEX(People!$A:$A,$K46)&amp;"")</f>
        <v/>
      </c>
      <c r="D46" s="26">
        <f>IF($K46="","",INDEX(People!$D:$D,$K46)&amp;"")</f>
        <v/>
      </c>
      <c r="E46" s="26">
        <f>IF($K46="","",INDEX(People!$B:$B,$K46)&amp;"")</f>
        <v/>
      </c>
      <c r="F46" s="27">
        <f>IF($K46="","",INDEX(People!$E:$E,$K46)&amp;"")</f>
        <v/>
      </c>
      <c r="G46" s="27">
        <f>IF($K46="","",INDEX(People!$L:$L,$K46)&amp;"")</f>
        <v/>
      </c>
      <c r="H46" s="27">
        <f>IF($K46="","",INDEX(People!$M:$M,$K46)&amp;"")</f>
        <v/>
      </c>
      <c r="I46" s="6">
        <f>IF($K46="","",INDEX(People!$N:$N,$K46)&amp;"")</f>
        <v/>
      </c>
      <c r="J46">
        <f>IFERROR(SMALL(People!$Y$5:$Y$604,40),"")</f>
        <v/>
      </c>
      <c r="K46">
        <f>IF($J46="","",ROUND(MOD($J46,1)*100000,0))</f>
        <v/>
      </c>
    </row>
    <row r="47">
      <c r="A47" s="25">
        <f>IF($K47="","",IF(INDEX(People!$Q:$Q,$K47)="","no date",INDEX(People!$Q:$Q,$K47)))</f>
        <v/>
      </c>
      <c r="B47" s="26">
        <f>IF($K47="","",INDEX(People!$S:$S,$K47))</f>
        <v/>
      </c>
      <c r="C47" s="26">
        <f>IF($K47="","",INDEX(People!$A:$A,$K47)&amp;"")</f>
        <v/>
      </c>
      <c r="D47" s="26">
        <f>IF($K47="","",INDEX(People!$D:$D,$K47)&amp;"")</f>
        <v/>
      </c>
      <c r="E47" s="26">
        <f>IF($K47="","",INDEX(People!$B:$B,$K47)&amp;"")</f>
        <v/>
      </c>
      <c r="F47" s="27">
        <f>IF($K47="","",INDEX(People!$E:$E,$K47)&amp;"")</f>
        <v/>
      </c>
      <c r="G47" s="27">
        <f>IF($K47="","",INDEX(People!$L:$L,$K47)&amp;"")</f>
        <v/>
      </c>
      <c r="H47" s="27">
        <f>IF($K47="","",INDEX(People!$M:$M,$K47)&amp;"")</f>
        <v/>
      </c>
      <c r="I47" s="6">
        <f>IF($K47="","",INDEX(People!$N:$N,$K47)&amp;"")</f>
        <v/>
      </c>
      <c r="J47">
        <f>IFERROR(SMALL(People!$Y$5:$Y$604,41),"")</f>
        <v/>
      </c>
      <c r="K47">
        <f>IF($J47="","",ROUND(MOD($J47,1)*100000,0))</f>
        <v/>
      </c>
    </row>
    <row r="48">
      <c r="A48" s="25">
        <f>IF($K48="","",IF(INDEX(People!$Q:$Q,$K48)="","no date",INDEX(People!$Q:$Q,$K48)))</f>
        <v/>
      </c>
      <c r="B48" s="26">
        <f>IF($K48="","",INDEX(People!$S:$S,$K48))</f>
        <v/>
      </c>
      <c r="C48" s="26">
        <f>IF($K48="","",INDEX(People!$A:$A,$K48)&amp;"")</f>
        <v/>
      </c>
      <c r="D48" s="26">
        <f>IF($K48="","",INDEX(People!$D:$D,$K48)&amp;"")</f>
        <v/>
      </c>
      <c r="E48" s="26">
        <f>IF($K48="","",INDEX(People!$B:$B,$K48)&amp;"")</f>
        <v/>
      </c>
      <c r="F48" s="27">
        <f>IF($K48="","",INDEX(People!$E:$E,$K48)&amp;"")</f>
        <v/>
      </c>
      <c r="G48" s="27">
        <f>IF($K48="","",INDEX(People!$L:$L,$K48)&amp;"")</f>
        <v/>
      </c>
      <c r="H48" s="27">
        <f>IF($K48="","",INDEX(People!$M:$M,$K48)&amp;"")</f>
        <v/>
      </c>
      <c r="I48" s="6">
        <f>IF($K48="","",INDEX(People!$N:$N,$K48)&amp;"")</f>
        <v/>
      </c>
      <c r="J48">
        <f>IFERROR(SMALL(People!$Y$5:$Y$604,42),"")</f>
        <v/>
      </c>
      <c r="K48">
        <f>IF($J48="","",ROUND(MOD($J48,1)*100000,0))</f>
        <v/>
      </c>
    </row>
    <row r="49">
      <c r="A49" s="25">
        <f>IF($K49="","",IF(INDEX(People!$Q:$Q,$K49)="","no date",INDEX(People!$Q:$Q,$K49)))</f>
        <v/>
      </c>
      <c r="B49" s="26">
        <f>IF($K49="","",INDEX(People!$S:$S,$K49))</f>
        <v/>
      </c>
      <c r="C49" s="26">
        <f>IF($K49="","",INDEX(People!$A:$A,$K49)&amp;"")</f>
        <v/>
      </c>
      <c r="D49" s="26">
        <f>IF($K49="","",INDEX(People!$D:$D,$K49)&amp;"")</f>
        <v/>
      </c>
      <c r="E49" s="26">
        <f>IF($K49="","",INDEX(People!$B:$B,$K49)&amp;"")</f>
        <v/>
      </c>
      <c r="F49" s="27">
        <f>IF($K49="","",INDEX(People!$E:$E,$K49)&amp;"")</f>
        <v/>
      </c>
      <c r="G49" s="27">
        <f>IF($K49="","",INDEX(People!$L:$L,$K49)&amp;"")</f>
        <v/>
      </c>
      <c r="H49" s="27">
        <f>IF($K49="","",INDEX(People!$M:$M,$K49)&amp;"")</f>
        <v/>
      </c>
      <c r="I49" s="6">
        <f>IF($K49="","",INDEX(People!$N:$N,$K49)&amp;"")</f>
        <v/>
      </c>
      <c r="J49">
        <f>IFERROR(SMALL(People!$Y$5:$Y$604,43),"")</f>
        <v/>
      </c>
      <c r="K49">
        <f>IF($J49="","",ROUND(MOD($J49,1)*100000,0))</f>
        <v/>
      </c>
    </row>
    <row r="50">
      <c r="A50" s="25">
        <f>IF($K50="","",IF(INDEX(People!$Q:$Q,$K50)="","no date",INDEX(People!$Q:$Q,$K50)))</f>
        <v/>
      </c>
      <c r="B50" s="26">
        <f>IF($K50="","",INDEX(People!$S:$S,$K50))</f>
        <v/>
      </c>
      <c r="C50" s="26">
        <f>IF($K50="","",INDEX(People!$A:$A,$K50)&amp;"")</f>
        <v/>
      </c>
      <c r="D50" s="26">
        <f>IF($K50="","",INDEX(People!$D:$D,$K50)&amp;"")</f>
        <v/>
      </c>
      <c r="E50" s="26">
        <f>IF($K50="","",INDEX(People!$B:$B,$K50)&amp;"")</f>
        <v/>
      </c>
      <c r="F50" s="27">
        <f>IF($K50="","",INDEX(People!$E:$E,$K50)&amp;"")</f>
        <v/>
      </c>
      <c r="G50" s="27">
        <f>IF($K50="","",INDEX(People!$L:$L,$K50)&amp;"")</f>
        <v/>
      </c>
      <c r="H50" s="27">
        <f>IF($K50="","",INDEX(People!$M:$M,$K50)&amp;"")</f>
        <v/>
      </c>
      <c r="I50" s="6">
        <f>IF($K50="","",INDEX(People!$N:$N,$K50)&amp;"")</f>
        <v/>
      </c>
      <c r="J50">
        <f>IFERROR(SMALL(People!$Y$5:$Y$604,44),"")</f>
        <v/>
      </c>
      <c r="K50">
        <f>IF($J50="","",ROUND(MOD($J50,1)*100000,0))</f>
        <v/>
      </c>
    </row>
    <row r="51">
      <c r="A51" s="25">
        <f>IF($K51="","",IF(INDEX(People!$Q:$Q,$K51)="","no date",INDEX(People!$Q:$Q,$K51)))</f>
        <v/>
      </c>
      <c r="B51" s="26">
        <f>IF($K51="","",INDEX(People!$S:$S,$K51))</f>
        <v/>
      </c>
      <c r="C51" s="26">
        <f>IF($K51="","",INDEX(People!$A:$A,$K51)&amp;"")</f>
        <v/>
      </c>
      <c r="D51" s="26">
        <f>IF($K51="","",INDEX(People!$D:$D,$K51)&amp;"")</f>
        <v/>
      </c>
      <c r="E51" s="26">
        <f>IF($K51="","",INDEX(People!$B:$B,$K51)&amp;"")</f>
        <v/>
      </c>
      <c r="F51" s="27">
        <f>IF($K51="","",INDEX(People!$E:$E,$K51)&amp;"")</f>
        <v/>
      </c>
      <c r="G51" s="27">
        <f>IF($K51="","",INDEX(People!$L:$L,$K51)&amp;"")</f>
        <v/>
      </c>
      <c r="H51" s="27">
        <f>IF($K51="","",INDEX(People!$M:$M,$K51)&amp;"")</f>
        <v/>
      </c>
      <c r="I51" s="6">
        <f>IF($K51="","",INDEX(People!$N:$N,$K51)&amp;"")</f>
        <v/>
      </c>
      <c r="J51">
        <f>IFERROR(SMALL(People!$Y$5:$Y$604,45),"")</f>
        <v/>
      </c>
      <c r="K51">
        <f>IF($J51="","",ROUND(MOD($J51,1)*100000,0))</f>
        <v/>
      </c>
    </row>
    <row r="52">
      <c r="A52" s="25">
        <f>IF($K52="","",IF(INDEX(People!$Q:$Q,$K52)="","no date",INDEX(People!$Q:$Q,$K52)))</f>
        <v/>
      </c>
      <c r="B52" s="26">
        <f>IF($K52="","",INDEX(People!$S:$S,$K52))</f>
        <v/>
      </c>
      <c r="C52" s="26">
        <f>IF($K52="","",INDEX(People!$A:$A,$K52)&amp;"")</f>
        <v/>
      </c>
      <c r="D52" s="26">
        <f>IF($K52="","",INDEX(People!$D:$D,$K52)&amp;"")</f>
        <v/>
      </c>
      <c r="E52" s="26">
        <f>IF($K52="","",INDEX(People!$B:$B,$K52)&amp;"")</f>
        <v/>
      </c>
      <c r="F52" s="27">
        <f>IF($K52="","",INDEX(People!$E:$E,$K52)&amp;"")</f>
        <v/>
      </c>
      <c r="G52" s="27">
        <f>IF($K52="","",INDEX(People!$L:$L,$K52)&amp;"")</f>
        <v/>
      </c>
      <c r="H52" s="27">
        <f>IF($K52="","",INDEX(People!$M:$M,$K52)&amp;"")</f>
        <v/>
      </c>
      <c r="I52" s="6">
        <f>IF($K52="","",INDEX(People!$N:$N,$K52)&amp;"")</f>
        <v/>
      </c>
      <c r="J52">
        <f>IFERROR(SMALL(People!$Y$5:$Y$604,46),"")</f>
        <v/>
      </c>
      <c r="K52">
        <f>IF($J52="","",ROUND(MOD($J52,1)*100000,0))</f>
        <v/>
      </c>
    </row>
    <row r="53">
      <c r="A53" s="25">
        <f>IF($K53="","",IF(INDEX(People!$Q:$Q,$K53)="","no date",INDEX(People!$Q:$Q,$K53)))</f>
        <v/>
      </c>
      <c r="B53" s="26">
        <f>IF($K53="","",INDEX(People!$S:$S,$K53))</f>
        <v/>
      </c>
      <c r="C53" s="26">
        <f>IF($K53="","",INDEX(People!$A:$A,$K53)&amp;"")</f>
        <v/>
      </c>
      <c r="D53" s="26">
        <f>IF($K53="","",INDEX(People!$D:$D,$K53)&amp;"")</f>
        <v/>
      </c>
      <c r="E53" s="26">
        <f>IF($K53="","",INDEX(People!$B:$B,$K53)&amp;"")</f>
        <v/>
      </c>
      <c r="F53" s="27">
        <f>IF($K53="","",INDEX(People!$E:$E,$K53)&amp;"")</f>
        <v/>
      </c>
      <c r="G53" s="27">
        <f>IF($K53="","",INDEX(People!$L:$L,$K53)&amp;"")</f>
        <v/>
      </c>
      <c r="H53" s="27">
        <f>IF($K53="","",INDEX(People!$M:$M,$K53)&amp;"")</f>
        <v/>
      </c>
      <c r="I53" s="6">
        <f>IF($K53="","",INDEX(People!$N:$N,$K53)&amp;"")</f>
        <v/>
      </c>
      <c r="J53">
        <f>IFERROR(SMALL(People!$Y$5:$Y$604,47),"")</f>
        <v/>
      </c>
      <c r="K53">
        <f>IF($J53="","",ROUND(MOD($J53,1)*100000,0))</f>
        <v/>
      </c>
    </row>
    <row r="54">
      <c r="A54" s="25">
        <f>IF($K54="","",IF(INDEX(People!$Q:$Q,$K54)="","no date",INDEX(People!$Q:$Q,$K54)))</f>
        <v/>
      </c>
      <c r="B54" s="26">
        <f>IF($K54="","",INDEX(People!$S:$S,$K54))</f>
        <v/>
      </c>
      <c r="C54" s="26">
        <f>IF($K54="","",INDEX(People!$A:$A,$K54)&amp;"")</f>
        <v/>
      </c>
      <c r="D54" s="26">
        <f>IF($K54="","",INDEX(People!$D:$D,$K54)&amp;"")</f>
        <v/>
      </c>
      <c r="E54" s="26">
        <f>IF($K54="","",INDEX(People!$B:$B,$K54)&amp;"")</f>
        <v/>
      </c>
      <c r="F54" s="27">
        <f>IF($K54="","",INDEX(People!$E:$E,$K54)&amp;"")</f>
        <v/>
      </c>
      <c r="G54" s="27">
        <f>IF($K54="","",INDEX(People!$L:$L,$K54)&amp;"")</f>
        <v/>
      </c>
      <c r="H54" s="27">
        <f>IF($K54="","",INDEX(People!$M:$M,$K54)&amp;"")</f>
        <v/>
      </c>
      <c r="I54" s="6">
        <f>IF($K54="","",INDEX(People!$N:$N,$K54)&amp;"")</f>
        <v/>
      </c>
      <c r="J54">
        <f>IFERROR(SMALL(People!$Y$5:$Y$604,48),"")</f>
        <v/>
      </c>
      <c r="K54">
        <f>IF($J54="","",ROUND(MOD($J54,1)*100000,0))</f>
        <v/>
      </c>
    </row>
    <row r="55">
      <c r="A55" s="25">
        <f>IF($K55="","",IF(INDEX(People!$Q:$Q,$K55)="","no date",INDEX(People!$Q:$Q,$K55)))</f>
        <v/>
      </c>
      <c r="B55" s="26">
        <f>IF($K55="","",INDEX(People!$S:$S,$K55))</f>
        <v/>
      </c>
      <c r="C55" s="26">
        <f>IF($K55="","",INDEX(People!$A:$A,$K55)&amp;"")</f>
        <v/>
      </c>
      <c r="D55" s="26">
        <f>IF($K55="","",INDEX(People!$D:$D,$K55)&amp;"")</f>
        <v/>
      </c>
      <c r="E55" s="26">
        <f>IF($K55="","",INDEX(People!$B:$B,$K55)&amp;"")</f>
        <v/>
      </c>
      <c r="F55" s="27">
        <f>IF($K55="","",INDEX(People!$E:$E,$K55)&amp;"")</f>
        <v/>
      </c>
      <c r="G55" s="27">
        <f>IF($K55="","",INDEX(People!$L:$L,$K55)&amp;"")</f>
        <v/>
      </c>
      <c r="H55" s="27">
        <f>IF($K55="","",INDEX(People!$M:$M,$K55)&amp;"")</f>
        <v/>
      </c>
      <c r="I55" s="6">
        <f>IF($K55="","",INDEX(People!$N:$N,$K55)&amp;"")</f>
        <v/>
      </c>
      <c r="J55">
        <f>IFERROR(SMALL(People!$Y$5:$Y$604,49),"")</f>
        <v/>
      </c>
      <c r="K55">
        <f>IF($J55="","",ROUND(MOD($J55,1)*100000,0))</f>
        <v/>
      </c>
    </row>
    <row r="56">
      <c r="A56" s="25">
        <f>IF($K56="","",IF(INDEX(People!$Q:$Q,$K56)="","no date",INDEX(People!$Q:$Q,$K56)))</f>
        <v/>
      </c>
      <c r="B56" s="26">
        <f>IF($K56="","",INDEX(People!$S:$S,$K56))</f>
        <v/>
      </c>
      <c r="C56" s="26">
        <f>IF($K56="","",INDEX(People!$A:$A,$K56)&amp;"")</f>
        <v/>
      </c>
      <c r="D56" s="26">
        <f>IF($K56="","",INDEX(People!$D:$D,$K56)&amp;"")</f>
        <v/>
      </c>
      <c r="E56" s="26">
        <f>IF($K56="","",INDEX(People!$B:$B,$K56)&amp;"")</f>
        <v/>
      </c>
      <c r="F56" s="27">
        <f>IF($K56="","",INDEX(People!$E:$E,$K56)&amp;"")</f>
        <v/>
      </c>
      <c r="G56" s="27">
        <f>IF($K56="","",INDEX(People!$L:$L,$K56)&amp;"")</f>
        <v/>
      </c>
      <c r="H56" s="27">
        <f>IF($K56="","",INDEX(People!$M:$M,$K56)&amp;"")</f>
        <v/>
      </c>
      <c r="I56" s="6">
        <f>IF($K56="","",INDEX(People!$N:$N,$K56)&amp;"")</f>
        <v/>
      </c>
      <c r="J56">
        <f>IFERROR(SMALL(People!$Y$5:$Y$604,50),"")</f>
        <v/>
      </c>
      <c r="K56">
        <f>IF($J56="","",ROUND(MOD($J56,1)*100000,0))</f>
        <v/>
      </c>
    </row>
    <row r="57">
      <c r="A57" s="25">
        <f>IF($K57="","",IF(INDEX(People!$Q:$Q,$K57)="","no date",INDEX(People!$Q:$Q,$K57)))</f>
        <v/>
      </c>
      <c r="B57" s="26">
        <f>IF($K57="","",INDEX(People!$S:$S,$K57))</f>
        <v/>
      </c>
      <c r="C57" s="26">
        <f>IF($K57="","",INDEX(People!$A:$A,$K57)&amp;"")</f>
        <v/>
      </c>
      <c r="D57" s="26">
        <f>IF($K57="","",INDEX(People!$D:$D,$K57)&amp;"")</f>
        <v/>
      </c>
      <c r="E57" s="26">
        <f>IF($K57="","",INDEX(People!$B:$B,$K57)&amp;"")</f>
        <v/>
      </c>
      <c r="F57" s="27">
        <f>IF($K57="","",INDEX(People!$E:$E,$K57)&amp;"")</f>
        <v/>
      </c>
      <c r="G57" s="27">
        <f>IF($K57="","",INDEX(People!$L:$L,$K57)&amp;"")</f>
        <v/>
      </c>
      <c r="H57" s="27">
        <f>IF($K57="","",INDEX(People!$M:$M,$K57)&amp;"")</f>
        <v/>
      </c>
      <c r="I57" s="6">
        <f>IF($K57="","",INDEX(People!$N:$N,$K57)&amp;"")</f>
        <v/>
      </c>
      <c r="J57">
        <f>IFERROR(SMALL(People!$Y$5:$Y$604,51),"")</f>
        <v/>
      </c>
      <c r="K57">
        <f>IF($J57="","",ROUND(MOD($J57,1)*100000,0))</f>
        <v/>
      </c>
    </row>
    <row r="58">
      <c r="A58" s="25">
        <f>IF($K58="","",IF(INDEX(People!$Q:$Q,$K58)="","no date",INDEX(People!$Q:$Q,$K58)))</f>
        <v/>
      </c>
      <c r="B58" s="26">
        <f>IF($K58="","",INDEX(People!$S:$S,$K58))</f>
        <v/>
      </c>
      <c r="C58" s="26">
        <f>IF($K58="","",INDEX(People!$A:$A,$K58)&amp;"")</f>
        <v/>
      </c>
      <c r="D58" s="26">
        <f>IF($K58="","",INDEX(People!$D:$D,$K58)&amp;"")</f>
        <v/>
      </c>
      <c r="E58" s="26">
        <f>IF($K58="","",INDEX(People!$B:$B,$K58)&amp;"")</f>
        <v/>
      </c>
      <c r="F58" s="27">
        <f>IF($K58="","",INDEX(People!$E:$E,$K58)&amp;"")</f>
        <v/>
      </c>
      <c r="G58" s="27">
        <f>IF($K58="","",INDEX(People!$L:$L,$K58)&amp;"")</f>
        <v/>
      </c>
      <c r="H58" s="27">
        <f>IF($K58="","",INDEX(People!$M:$M,$K58)&amp;"")</f>
        <v/>
      </c>
      <c r="I58" s="6">
        <f>IF($K58="","",INDEX(People!$N:$N,$K58)&amp;"")</f>
        <v/>
      </c>
      <c r="J58">
        <f>IFERROR(SMALL(People!$Y$5:$Y$604,52),"")</f>
        <v/>
      </c>
      <c r="K58">
        <f>IF($J58="","",ROUND(MOD($J58,1)*100000,0))</f>
        <v/>
      </c>
    </row>
    <row r="59">
      <c r="A59" s="25">
        <f>IF($K59="","",IF(INDEX(People!$Q:$Q,$K59)="","no date",INDEX(People!$Q:$Q,$K59)))</f>
        <v/>
      </c>
      <c r="B59" s="26">
        <f>IF($K59="","",INDEX(People!$S:$S,$K59))</f>
        <v/>
      </c>
      <c r="C59" s="26">
        <f>IF($K59="","",INDEX(People!$A:$A,$K59)&amp;"")</f>
        <v/>
      </c>
      <c r="D59" s="26">
        <f>IF($K59="","",INDEX(People!$D:$D,$K59)&amp;"")</f>
        <v/>
      </c>
      <c r="E59" s="26">
        <f>IF($K59="","",INDEX(People!$B:$B,$K59)&amp;"")</f>
        <v/>
      </c>
      <c r="F59" s="27">
        <f>IF($K59="","",INDEX(People!$E:$E,$K59)&amp;"")</f>
        <v/>
      </c>
      <c r="G59" s="27">
        <f>IF($K59="","",INDEX(People!$L:$L,$K59)&amp;"")</f>
        <v/>
      </c>
      <c r="H59" s="27">
        <f>IF($K59="","",INDEX(People!$M:$M,$K59)&amp;"")</f>
        <v/>
      </c>
      <c r="I59" s="6">
        <f>IF($K59="","",INDEX(People!$N:$N,$K59)&amp;"")</f>
        <v/>
      </c>
      <c r="J59">
        <f>IFERROR(SMALL(People!$Y$5:$Y$604,53),"")</f>
        <v/>
      </c>
      <c r="K59">
        <f>IF($J59="","",ROUND(MOD($J59,1)*100000,0))</f>
        <v/>
      </c>
    </row>
    <row r="60">
      <c r="A60" s="25">
        <f>IF($K60="","",IF(INDEX(People!$Q:$Q,$K60)="","no date",INDEX(People!$Q:$Q,$K60)))</f>
        <v/>
      </c>
      <c r="B60" s="26">
        <f>IF($K60="","",INDEX(People!$S:$S,$K60))</f>
        <v/>
      </c>
      <c r="C60" s="26">
        <f>IF($K60="","",INDEX(People!$A:$A,$K60)&amp;"")</f>
        <v/>
      </c>
      <c r="D60" s="26">
        <f>IF($K60="","",INDEX(People!$D:$D,$K60)&amp;"")</f>
        <v/>
      </c>
      <c r="E60" s="26">
        <f>IF($K60="","",INDEX(People!$B:$B,$K60)&amp;"")</f>
        <v/>
      </c>
      <c r="F60" s="27">
        <f>IF($K60="","",INDEX(People!$E:$E,$K60)&amp;"")</f>
        <v/>
      </c>
      <c r="G60" s="27">
        <f>IF($K60="","",INDEX(People!$L:$L,$K60)&amp;"")</f>
        <v/>
      </c>
      <c r="H60" s="27">
        <f>IF($K60="","",INDEX(People!$M:$M,$K60)&amp;"")</f>
        <v/>
      </c>
      <c r="I60" s="6">
        <f>IF($K60="","",INDEX(People!$N:$N,$K60)&amp;"")</f>
        <v/>
      </c>
      <c r="J60">
        <f>IFERROR(SMALL(People!$Y$5:$Y$604,54),"")</f>
        <v/>
      </c>
      <c r="K60">
        <f>IF($J60="","",ROUND(MOD($J60,1)*100000,0))</f>
        <v/>
      </c>
    </row>
    <row r="61">
      <c r="A61" s="25">
        <f>IF($K61="","",IF(INDEX(People!$Q:$Q,$K61)="","no date",INDEX(People!$Q:$Q,$K61)))</f>
        <v/>
      </c>
      <c r="B61" s="26">
        <f>IF($K61="","",INDEX(People!$S:$S,$K61))</f>
        <v/>
      </c>
      <c r="C61" s="26">
        <f>IF($K61="","",INDEX(People!$A:$A,$K61)&amp;"")</f>
        <v/>
      </c>
      <c r="D61" s="26">
        <f>IF($K61="","",INDEX(People!$D:$D,$K61)&amp;"")</f>
        <v/>
      </c>
      <c r="E61" s="26">
        <f>IF($K61="","",INDEX(People!$B:$B,$K61)&amp;"")</f>
        <v/>
      </c>
      <c r="F61" s="27">
        <f>IF($K61="","",INDEX(People!$E:$E,$K61)&amp;"")</f>
        <v/>
      </c>
      <c r="G61" s="27">
        <f>IF($K61="","",INDEX(People!$L:$L,$K61)&amp;"")</f>
        <v/>
      </c>
      <c r="H61" s="27">
        <f>IF($K61="","",INDEX(People!$M:$M,$K61)&amp;"")</f>
        <v/>
      </c>
      <c r="I61" s="6">
        <f>IF($K61="","",INDEX(People!$N:$N,$K61)&amp;"")</f>
        <v/>
      </c>
      <c r="J61">
        <f>IFERROR(SMALL(People!$Y$5:$Y$604,55),"")</f>
        <v/>
      </c>
      <c r="K61">
        <f>IF($J61="","",ROUND(MOD($J61,1)*100000,0))</f>
        <v/>
      </c>
    </row>
    <row r="62">
      <c r="A62" s="25">
        <f>IF($K62="","",IF(INDEX(People!$Q:$Q,$K62)="","no date",INDEX(People!$Q:$Q,$K62)))</f>
        <v/>
      </c>
      <c r="B62" s="26">
        <f>IF($K62="","",INDEX(People!$S:$S,$K62))</f>
        <v/>
      </c>
      <c r="C62" s="26">
        <f>IF($K62="","",INDEX(People!$A:$A,$K62)&amp;"")</f>
        <v/>
      </c>
      <c r="D62" s="26">
        <f>IF($K62="","",INDEX(People!$D:$D,$K62)&amp;"")</f>
        <v/>
      </c>
      <c r="E62" s="26">
        <f>IF($K62="","",INDEX(People!$B:$B,$K62)&amp;"")</f>
        <v/>
      </c>
      <c r="F62" s="27">
        <f>IF($K62="","",INDEX(People!$E:$E,$K62)&amp;"")</f>
        <v/>
      </c>
      <c r="G62" s="27">
        <f>IF($K62="","",INDEX(People!$L:$L,$K62)&amp;"")</f>
        <v/>
      </c>
      <c r="H62" s="27">
        <f>IF($K62="","",INDEX(People!$M:$M,$K62)&amp;"")</f>
        <v/>
      </c>
      <c r="I62" s="6">
        <f>IF($K62="","",INDEX(People!$N:$N,$K62)&amp;"")</f>
        <v/>
      </c>
      <c r="J62">
        <f>IFERROR(SMALL(People!$Y$5:$Y$604,56),"")</f>
        <v/>
      </c>
      <c r="K62">
        <f>IF($J62="","",ROUND(MOD($J62,1)*100000,0))</f>
        <v/>
      </c>
    </row>
    <row r="63">
      <c r="A63" s="25">
        <f>IF($K63="","",IF(INDEX(People!$Q:$Q,$K63)="","no date",INDEX(People!$Q:$Q,$K63)))</f>
        <v/>
      </c>
      <c r="B63" s="26">
        <f>IF($K63="","",INDEX(People!$S:$S,$K63))</f>
        <v/>
      </c>
      <c r="C63" s="26">
        <f>IF($K63="","",INDEX(People!$A:$A,$K63)&amp;"")</f>
        <v/>
      </c>
      <c r="D63" s="26">
        <f>IF($K63="","",INDEX(People!$D:$D,$K63)&amp;"")</f>
        <v/>
      </c>
      <c r="E63" s="26">
        <f>IF($K63="","",INDEX(People!$B:$B,$K63)&amp;"")</f>
        <v/>
      </c>
      <c r="F63" s="27">
        <f>IF($K63="","",INDEX(People!$E:$E,$K63)&amp;"")</f>
        <v/>
      </c>
      <c r="G63" s="27">
        <f>IF($K63="","",INDEX(People!$L:$L,$K63)&amp;"")</f>
        <v/>
      </c>
      <c r="H63" s="27">
        <f>IF($K63="","",INDEX(People!$M:$M,$K63)&amp;"")</f>
        <v/>
      </c>
      <c r="I63" s="6">
        <f>IF($K63="","",INDEX(People!$N:$N,$K63)&amp;"")</f>
        <v/>
      </c>
      <c r="J63">
        <f>IFERROR(SMALL(People!$Y$5:$Y$604,57),"")</f>
        <v/>
      </c>
      <c r="K63">
        <f>IF($J63="","",ROUND(MOD($J63,1)*100000,0))</f>
        <v/>
      </c>
    </row>
    <row r="64">
      <c r="A64" s="25">
        <f>IF($K64="","",IF(INDEX(People!$Q:$Q,$K64)="","no date",INDEX(People!$Q:$Q,$K64)))</f>
        <v/>
      </c>
      <c r="B64" s="26">
        <f>IF($K64="","",INDEX(People!$S:$S,$K64))</f>
        <v/>
      </c>
      <c r="C64" s="26">
        <f>IF($K64="","",INDEX(People!$A:$A,$K64)&amp;"")</f>
        <v/>
      </c>
      <c r="D64" s="26">
        <f>IF($K64="","",INDEX(People!$D:$D,$K64)&amp;"")</f>
        <v/>
      </c>
      <c r="E64" s="26">
        <f>IF($K64="","",INDEX(People!$B:$B,$K64)&amp;"")</f>
        <v/>
      </c>
      <c r="F64" s="27">
        <f>IF($K64="","",INDEX(People!$E:$E,$K64)&amp;"")</f>
        <v/>
      </c>
      <c r="G64" s="27">
        <f>IF($K64="","",INDEX(People!$L:$L,$K64)&amp;"")</f>
        <v/>
      </c>
      <c r="H64" s="27">
        <f>IF($K64="","",INDEX(People!$M:$M,$K64)&amp;"")</f>
        <v/>
      </c>
      <c r="I64" s="6">
        <f>IF($K64="","",INDEX(People!$N:$N,$K64)&amp;"")</f>
        <v/>
      </c>
      <c r="J64">
        <f>IFERROR(SMALL(People!$Y$5:$Y$604,58),"")</f>
        <v/>
      </c>
      <c r="K64">
        <f>IF($J64="","",ROUND(MOD($J64,1)*100000,0))</f>
        <v/>
      </c>
    </row>
    <row r="65">
      <c r="A65" s="25">
        <f>IF($K65="","",IF(INDEX(People!$Q:$Q,$K65)="","no date",INDEX(People!$Q:$Q,$K65)))</f>
        <v/>
      </c>
      <c r="B65" s="26">
        <f>IF($K65="","",INDEX(People!$S:$S,$K65))</f>
        <v/>
      </c>
      <c r="C65" s="26">
        <f>IF($K65="","",INDEX(People!$A:$A,$K65)&amp;"")</f>
        <v/>
      </c>
      <c r="D65" s="26">
        <f>IF($K65="","",INDEX(People!$D:$D,$K65)&amp;"")</f>
        <v/>
      </c>
      <c r="E65" s="26">
        <f>IF($K65="","",INDEX(People!$B:$B,$K65)&amp;"")</f>
        <v/>
      </c>
      <c r="F65" s="27">
        <f>IF($K65="","",INDEX(People!$E:$E,$K65)&amp;"")</f>
        <v/>
      </c>
      <c r="G65" s="27">
        <f>IF($K65="","",INDEX(People!$L:$L,$K65)&amp;"")</f>
        <v/>
      </c>
      <c r="H65" s="27">
        <f>IF($K65="","",INDEX(People!$M:$M,$K65)&amp;"")</f>
        <v/>
      </c>
      <c r="I65" s="6">
        <f>IF($K65="","",INDEX(People!$N:$N,$K65)&amp;"")</f>
        <v/>
      </c>
      <c r="J65">
        <f>IFERROR(SMALL(People!$Y$5:$Y$604,59),"")</f>
        <v/>
      </c>
      <c r="K65">
        <f>IF($J65="","",ROUND(MOD($J65,1)*100000,0))</f>
        <v/>
      </c>
    </row>
    <row r="66">
      <c r="A66" s="25">
        <f>IF($K66="","",IF(INDEX(People!$Q:$Q,$K66)="","no date",INDEX(People!$Q:$Q,$K66)))</f>
        <v/>
      </c>
      <c r="B66" s="26">
        <f>IF($K66="","",INDEX(People!$S:$S,$K66))</f>
        <v/>
      </c>
      <c r="C66" s="26">
        <f>IF($K66="","",INDEX(People!$A:$A,$K66)&amp;"")</f>
        <v/>
      </c>
      <c r="D66" s="26">
        <f>IF($K66="","",INDEX(People!$D:$D,$K66)&amp;"")</f>
        <v/>
      </c>
      <c r="E66" s="26">
        <f>IF($K66="","",INDEX(People!$B:$B,$K66)&amp;"")</f>
        <v/>
      </c>
      <c r="F66" s="27">
        <f>IF($K66="","",INDEX(People!$E:$E,$K66)&amp;"")</f>
        <v/>
      </c>
      <c r="G66" s="27">
        <f>IF($K66="","",INDEX(People!$L:$L,$K66)&amp;"")</f>
        <v/>
      </c>
      <c r="H66" s="27">
        <f>IF($K66="","",INDEX(People!$M:$M,$K66)&amp;"")</f>
        <v/>
      </c>
      <c r="I66" s="6">
        <f>IF($K66="","",INDEX(People!$N:$N,$K66)&amp;"")</f>
        <v/>
      </c>
      <c r="J66">
        <f>IFERROR(SMALL(People!$Y$5:$Y$604,60),"")</f>
        <v/>
      </c>
      <c r="K66">
        <f>IF($J66="","",ROUND(MOD($J66,1)*100000,0))</f>
        <v/>
      </c>
    </row>
    <row r="67">
      <c r="A67" s="25">
        <f>IF($K67="","",IF(INDEX(People!$Q:$Q,$K67)="","no date",INDEX(People!$Q:$Q,$K67)))</f>
        <v/>
      </c>
      <c r="B67" s="26">
        <f>IF($K67="","",INDEX(People!$S:$S,$K67))</f>
        <v/>
      </c>
      <c r="C67" s="26">
        <f>IF($K67="","",INDEX(People!$A:$A,$K67)&amp;"")</f>
        <v/>
      </c>
      <c r="D67" s="26">
        <f>IF($K67="","",INDEX(People!$D:$D,$K67)&amp;"")</f>
        <v/>
      </c>
      <c r="E67" s="26">
        <f>IF($K67="","",INDEX(People!$B:$B,$K67)&amp;"")</f>
        <v/>
      </c>
      <c r="F67" s="27">
        <f>IF($K67="","",INDEX(People!$E:$E,$K67)&amp;"")</f>
        <v/>
      </c>
      <c r="G67" s="27">
        <f>IF($K67="","",INDEX(People!$L:$L,$K67)&amp;"")</f>
        <v/>
      </c>
      <c r="H67" s="27">
        <f>IF($K67="","",INDEX(People!$M:$M,$K67)&amp;"")</f>
        <v/>
      </c>
      <c r="I67" s="6">
        <f>IF($K67="","",INDEX(People!$N:$N,$K67)&amp;"")</f>
        <v/>
      </c>
      <c r="J67">
        <f>IFERROR(SMALL(People!$Y$5:$Y$604,61),"")</f>
        <v/>
      </c>
      <c r="K67">
        <f>IF($J67="","",ROUND(MOD($J67,1)*100000,0))</f>
        <v/>
      </c>
    </row>
    <row r="68">
      <c r="A68" s="25">
        <f>IF($K68="","",IF(INDEX(People!$Q:$Q,$K68)="","no date",INDEX(People!$Q:$Q,$K68)))</f>
        <v/>
      </c>
      <c r="B68" s="26">
        <f>IF($K68="","",INDEX(People!$S:$S,$K68))</f>
        <v/>
      </c>
      <c r="C68" s="26">
        <f>IF($K68="","",INDEX(People!$A:$A,$K68)&amp;"")</f>
        <v/>
      </c>
      <c r="D68" s="26">
        <f>IF($K68="","",INDEX(People!$D:$D,$K68)&amp;"")</f>
        <v/>
      </c>
      <c r="E68" s="26">
        <f>IF($K68="","",INDEX(People!$B:$B,$K68)&amp;"")</f>
        <v/>
      </c>
      <c r="F68" s="27">
        <f>IF($K68="","",INDEX(People!$E:$E,$K68)&amp;"")</f>
        <v/>
      </c>
      <c r="G68" s="27">
        <f>IF($K68="","",INDEX(People!$L:$L,$K68)&amp;"")</f>
        <v/>
      </c>
      <c r="H68" s="27">
        <f>IF($K68="","",INDEX(People!$M:$M,$K68)&amp;"")</f>
        <v/>
      </c>
      <c r="I68" s="6">
        <f>IF($K68="","",INDEX(People!$N:$N,$K68)&amp;"")</f>
        <v/>
      </c>
      <c r="J68">
        <f>IFERROR(SMALL(People!$Y$5:$Y$604,62),"")</f>
        <v/>
      </c>
      <c r="K68">
        <f>IF($J68="","",ROUND(MOD($J68,1)*100000,0))</f>
        <v/>
      </c>
    </row>
    <row r="69">
      <c r="A69" s="25">
        <f>IF($K69="","",IF(INDEX(People!$Q:$Q,$K69)="","no date",INDEX(People!$Q:$Q,$K69)))</f>
        <v/>
      </c>
      <c r="B69" s="26">
        <f>IF($K69="","",INDEX(People!$S:$S,$K69))</f>
        <v/>
      </c>
      <c r="C69" s="26">
        <f>IF($K69="","",INDEX(People!$A:$A,$K69)&amp;"")</f>
        <v/>
      </c>
      <c r="D69" s="26">
        <f>IF($K69="","",INDEX(People!$D:$D,$K69)&amp;"")</f>
        <v/>
      </c>
      <c r="E69" s="26">
        <f>IF($K69="","",INDEX(People!$B:$B,$K69)&amp;"")</f>
        <v/>
      </c>
      <c r="F69" s="27">
        <f>IF($K69="","",INDEX(People!$E:$E,$K69)&amp;"")</f>
        <v/>
      </c>
      <c r="G69" s="27">
        <f>IF($K69="","",INDEX(People!$L:$L,$K69)&amp;"")</f>
        <v/>
      </c>
      <c r="H69" s="27">
        <f>IF($K69="","",INDEX(People!$M:$M,$K69)&amp;"")</f>
        <v/>
      </c>
      <c r="I69" s="6">
        <f>IF($K69="","",INDEX(People!$N:$N,$K69)&amp;"")</f>
        <v/>
      </c>
      <c r="J69">
        <f>IFERROR(SMALL(People!$Y$5:$Y$604,63),"")</f>
        <v/>
      </c>
      <c r="K69">
        <f>IF($J69="","",ROUND(MOD($J69,1)*100000,0))</f>
        <v/>
      </c>
    </row>
    <row r="70">
      <c r="A70" s="25">
        <f>IF($K70="","",IF(INDEX(People!$Q:$Q,$K70)="","no date",INDEX(People!$Q:$Q,$K70)))</f>
        <v/>
      </c>
      <c r="B70" s="26">
        <f>IF($K70="","",INDEX(People!$S:$S,$K70))</f>
        <v/>
      </c>
      <c r="C70" s="26">
        <f>IF($K70="","",INDEX(People!$A:$A,$K70)&amp;"")</f>
        <v/>
      </c>
      <c r="D70" s="26">
        <f>IF($K70="","",INDEX(People!$D:$D,$K70)&amp;"")</f>
        <v/>
      </c>
      <c r="E70" s="26">
        <f>IF($K70="","",INDEX(People!$B:$B,$K70)&amp;"")</f>
        <v/>
      </c>
      <c r="F70" s="27">
        <f>IF($K70="","",INDEX(People!$E:$E,$K70)&amp;"")</f>
        <v/>
      </c>
      <c r="G70" s="27">
        <f>IF($K70="","",INDEX(People!$L:$L,$K70)&amp;"")</f>
        <v/>
      </c>
      <c r="H70" s="27">
        <f>IF($K70="","",INDEX(People!$M:$M,$K70)&amp;"")</f>
        <v/>
      </c>
      <c r="I70" s="6">
        <f>IF($K70="","",INDEX(People!$N:$N,$K70)&amp;"")</f>
        <v/>
      </c>
      <c r="J70">
        <f>IFERROR(SMALL(People!$Y$5:$Y$604,64),"")</f>
        <v/>
      </c>
      <c r="K70">
        <f>IF($J70="","",ROUND(MOD($J70,1)*100000,0))</f>
        <v/>
      </c>
    </row>
    <row r="71">
      <c r="A71" s="25">
        <f>IF($K71="","",IF(INDEX(People!$Q:$Q,$K71)="","no date",INDEX(People!$Q:$Q,$K71)))</f>
        <v/>
      </c>
      <c r="B71" s="26">
        <f>IF($K71="","",INDEX(People!$S:$S,$K71))</f>
        <v/>
      </c>
      <c r="C71" s="26">
        <f>IF($K71="","",INDEX(People!$A:$A,$K71)&amp;"")</f>
        <v/>
      </c>
      <c r="D71" s="26">
        <f>IF($K71="","",INDEX(People!$D:$D,$K71)&amp;"")</f>
        <v/>
      </c>
      <c r="E71" s="26">
        <f>IF($K71="","",INDEX(People!$B:$B,$K71)&amp;"")</f>
        <v/>
      </c>
      <c r="F71" s="27">
        <f>IF($K71="","",INDEX(People!$E:$E,$K71)&amp;"")</f>
        <v/>
      </c>
      <c r="G71" s="27">
        <f>IF($K71="","",INDEX(People!$L:$L,$K71)&amp;"")</f>
        <v/>
      </c>
      <c r="H71" s="27">
        <f>IF($K71="","",INDEX(People!$M:$M,$K71)&amp;"")</f>
        <v/>
      </c>
      <c r="I71" s="6">
        <f>IF($K71="","",INDEX(People!$N:$N,$K71)&amp;"")</f>
        <v/>
      </c>
      <c r="J71">
        <f>IFERROR(SMALL(People!$Y$5:$Y$604,65),"")</f>
        <v/>
      </c>
      <c r="K71">
        <f>IF($J71="","",ROUND(MOD($J71,1)*100000,0))</f>
        <v/>
      </c>
    </row>
    <row r="72">
      <c r="A72" s="25">
        <f>IF($K72="","",IF(INDEX(People!$Q:$Q,$K72)="","no date",INDEX(People!$Q:$Q,$K72)))</f>
        <v/>
      </c>
      <c r="B72" s="26">
        <f>IF($K72="","",INDEX(People!$S:$S,$K72))</f>
        <v/>
      </c>
      <c r="C72" s="26">
        <f>IF($K72="","",INDEX(People!$A:$A,$K72)&amp;"")</f>
        <v/>
      </c>
      <c r="D72" s="26">
        <f>IF($K72="","",INDEX(People!$D:$D,$K72)&amp;"")</f>
        <v/>
      </c>
      <c r="E72" s="26">
        <f>IF($K72="","",INDEX(People!$B:$B,$K72)&amp;"")</f>
        <v/>
      </c>
      <c r="F72" s="27">
        <f>IF($K72="","",INDEX(People!$E:$E,$K72)&amp;"")</f>
        <v/>
      </c>
      <c r="G72" s="27">
        <f>IF($K72="","",INDEX(People!$L:$L,$K72)&amp;"")</f>
        <v/>
      </c>
      <c r="H72" s="27">
        <f>IF($K72="","",INDEX(People!$M:$M,$K72)&amp;"")</f>
        <v/>
      </c>
      <c r="I72" s="6">
        <f>IF($K72="","",INDEX(People!$N:$N,$K72)&amp;"")</f>
        <v/>
      </c>
      <c r="J72">
        <f>IFERROR(SMALL(People!$Y$5:$Y$604,66),"")</f>
        <v/>
      </c>
      <c r="K72">
        <f>IF($J72="","",ROUND(MOD($J72,1)*100000,0))</f>
        <v/>
      </c>
    </row>
    <row r="73">
      <c r="A73" s="25">
        <f>IF($K73="","",IF(INDEX(People!$Q:$Q,$K73)="","no date",INDEX(People!$Q:$Q,$K73)))</f>
        <v/>
      </c>
      <c r="B73" s="26">
        <f>IF($K73="","",INDEX(People!$S:$S,$K73))</f>
        <v/>
      </c>
      <c r="C73" s="26">
        <f>IF($K73="","",INDEX(People!$A:$A,$K73)&amp;"")</f>
        <v/>
      </c>
      <c r="D73" s="26">
        <f>IF($K73="","",INDEX(People!$D:$D,$K73)&amp;"")</f>
        <v/>
      </c>
      <c r="E73" s="26">
        <f>IF($K73="","",INDEX(People!$B:$B,$K73)&amp;"")</f>
        <v/>
      </c>
      <c r="F73" s="27">
        <f>IF($K73="","",INDEX(People!$E:$E,$K73)&amp;"")</f>
        <v/>
      </c>
      <c r="G73" s="27">
        <f>IF($K73="","",INDEX(People!$L:$L,$K73)&amp;"")</f>
        <v/>
      </c>
      <c r="H73" s="27">
        <f>IF($K73="","",INDEX(People!$M:$M,$K73)&amp;"")</f>
        <v/>
      </c>
      <c r="I73" s="6">
        <f>IF($K73="","",INDEX(People!$N:$N,$K73)&amp;"")</f>
        <v/>
      </c>
      <c r="J73">
        <f>IFERROR(SMALL(People!$Y$5:$Y$604,67),"")</f>
        <v/>
      </c>
      <c r="K73">
        <f>IF($J73="","",ROUND(MOD($J73,1)*100000,0))</f>
        <v/>
      </c>
    </row>
    <row r="74">
      <c r="A74" s="25">
        <f>IF($K74="","",IF(INDEX(People!$Q:$Q,$K74)="","no date",INDEX(People!$Q:$Q,$K74)))</f>
        <v/>
      </c>
      <c r="B74" s="26">
        <f>IF($K74="","",INDEX(People!$S:$S,$K74))</f>
        <v/>
      </c>
      <c r="C74" s="26">
        <f>IF($K74="","",INDEX(People!$A:$A,$K74)&amp;"")</f>
        <v/>
      </c>
      <c r="D74" s="26">
        <f>IF($K74="","",INDEX(People!$D:$D,$K74)&amp;"")</f>
        <v/>
      </c>
      <c r="E74" s="26">
        <f>IF($K74="","",INDEX(People!$B:$B,$K74)&amp;"")</f>
        <v/>
      </c>
      <c r="F74" s="27">
        <f>IF($K74="","",INDEX(People!$E:$E,$K74)&amp;"")</f>
        <v/>
      </c>
      <c r="G74" s="27">
        <f>IF($K74="","",INDEX(People!$L:$L,$K74)&amp;"")</f>
        <v/>
      </c>
      <c r="H74" s="27">
        <f>IF($K74="","",INDEX(People!$M:$M,$K74)&amp;"")</f>
        <v/>
      </c>
      <c r="I74" s="6">
        <f>IF($K74="","",INDEX(People!$N:$N,$K74)&amp;"")</f>
        <v/>
      </c>
      <c r="J74">
        <f>IFERROR(SMALL(People!$Y$5:$Y$604,68),"")</f>
        <v/>
      </c>
      <c r="K74">
        <f>IF($J74="","",ROUND(MOD($J74,1)*100000,0))</f>
        <v/>
      </c>
    </row>
    <row r="75">
      <c r="A75" s="25">
        <f>IF($K75="","",IF(INDEX(People!$Q:$Q,$K75)="","no date",INDEX(People!$Q:$Q,$K75)))</f>
        <v/>
      </c>
      <c r="B75" s="26">
        <f>IF($K75="","",INDEX(People!$S:$S,$K75))</f>
        <v/>
      </c>
      <c r="C75" s="26">
        <f>IF($K75="","",INDEX(People!$A:$A,$K75)&amp;"")</f>
        <v/>
      </c>
      <c r="D75" s="26">
        <f>IF($K75="","",INDEX(People!$D:$D,$K75)&amp;"")</f>
        <v/>
      </c>
      <c r="E75" s="26">
        <f>IF($K75="","",INDEX(People!$B:$B,$K75)&amp;"")</f>
        <v/>
      </c>
      <c r="F75" s="27">
        <f>IF($K75="","",INDEX(People!$E:$E,$K75)&amp;"")</f>
        <v/>
      </c>
      <c r="G75" s="27">
        <f>IF($K75="","",INDEX(People!$L:$L,$K75)&amp;"")</f>
        <v/>
      </c>
      <c r="H75" s="27">
        <f>IF($K75="","",INDEX(People!$M:$M,$K75)&amp;"")</f>
        <v/>
      </c>
      <c r="I75" s="6">
        <f>IF($K75="","",INDEX(People!$N:$N,$K75)&amp;"")</f>
        <v/>
      </c>
      <c r="J75">
        <f>IFERROR(SMALL(People!$Y$5:$Y$604,69),"")</f>
        <v/>
      </c>
      <c r="K75">
        <f>IF($J75="","",ROUND(MOD($J75,1)*100000,0))</f>
        <v/>
      </c>
    </row>
    <row r="76">
      <c r="A76" s="25">
        <f>IF($K76="","",IF(INDEX(People!$Q:$Q,$K76)="","no date",INDEX(People!$Q:$Q,$K76)))</f>
        <v/>
      </c>
      <c r="B76" s="26">
        <f>IF($K76="","",INDEX(People!$S:$S,$K76))</f>
        <v/>
      </c>
      <c r="C76" s="26">
        <f>IF($K76="","",INDEX(People!$A:$A,$K76)&amp;"")</f>
        <v/>
      </c>
      <c r="D76" s="26">
        <f>IF($K76="","",INDEX(People!$D:$D,$K76)&amp;"")</f>
        <v/>
      </c>
      <c r="E76" s="26">
        <f>IF($K76="","",INDEX(People!$B:$B,$K76)&amp;"")</f>
        <v/>
      </c>
      <c r="F76" s="27">
        <f>IF($K76="","",INDEX(People!$E:$E,$K76)&amp;"")</f>
        <v/>
      </c>
      <c r="G76" s="27">
        <f>IF($K76="","",INDEX(People!$L:$L,$K76)&amp;"")</f>
        <v/>
      </c>
      <c r="H76" s="27">
        <f>IF($K76="","",INDEX(People!$M:$M,$K76)&amp;"")</f>
        <v/>
      </c>
      <c r="I76" s="6">
        <f>IF($K76="","",INDEX(People!$N:$N,$K76)&amp;"")</f>
        <v/>
      </c>
      <c r="J76">
        <f>IFERROR(SMALL(People!$Y$5:$Y$604,70),"")</f>
        <v/>
      </c>
      <c r="K76">
        <f>IF($J76="","",ROUND(MOD($J76,1)*100000,0))</f>
        <v/>
      </c>
    </row>
    <row r="77">
      <c r="A77" s="25">
        <f>IF($K77="","",IF(INDEX(People!$Q:$Q,$K77)="","no date",INDEX(People!$Q:$Q,$K77)))</f>
        <v/>
      </c>
      <c r="B77" s="26">
        <f>IF($K77="","",INDEX(People!$S:$S,$K77))</f>
        <v/>
      </c>
      <c r="C77" s="26">
        <f>IF($K77="","",INDEX(People!$A:$A,$K77)&amp;"")</f>
        <v/>
      </c>
      <c r="D77" s="26">
        <f>IF($K77="","",INDEX(People!$D:$D,$K77)&amp;"")</f>
        <v/>
      </c>
      <c r="E77" s="26">
        <f>IF($K77="","",INDEX(People!$B:$B,$K77)&amp;"")</f>
        <v/>
      </c>
      <c r="F77" s="27">
        <f>IF($K77="","",INDEX(People!$E:$E,$K77)&amp;"")</f>
        <v/>
      </c>
      <c r="G77" s="27">
        <f>IF($K77="","",INDEX(People!$L:$L,$K77)&amp;"")</f>
        <v/>
      </c>
      <c r="H77" s="27">
        <f>IF($K77="","",INDEX(People!$M:$M,$K77)&amp;"")</f>
        <v/>
      </c>
      <c r="I77" s="6">
        <f>IF($K77="","",INDEX(People!$N:$N,$K77)&amp;"")</f>
        <v/>
      </c>
      <c r="J77">
        <f>IFERROR(SMALL(People!$Y$5:$Y$604,71),"")</f>
        <v/>
      </c>
      <c r="K77">
        <f>IF($J77="","",ROUND(MOD($J77,1)*100000,0))</f>
        <v/>
      </c>
    </row>
    <row r="78">
      <c r="A78" s="25">
        <f>IF($K78="","",IF(INDEX(People!$Q:$Q,$K78)="","no date",INDEX(People!$Q:$Q,$K78)))</f>
        <v/>
      </c>
      <c r="B78" s="26">
        <f>IF($K78="","",INDEX(People!$S:$S,$K78))</f>
        <v/>
      </c>
      <c r="C78" s="26">
        <f>IF($K78="","",INDEX(People!$A:$A,$K78)&amp;"")</f>
        <v/>
      </c>
      <c r="D78" s="26">
        <f>IF($K78="","",INDEX(People!$D:$D,$K78)&amp;"")</f>
        <v/>
      </c>
      <c r="E78" s="26">
        <f>IF($K78="","",INDEX(People!$B:$B,$K78)&amp;"")</f>
        <v/>
      </c>
      <c r="F78" s="27">
        <f>IF($K78="","",INDEX(People!$E:$E,$K78)&amp;"")</f>
        <v/>
      </c>
      <c r="G78" s="27">
        <f>IF($K78="","",INDEX(People!$L:$L,$K78)&amp;"")</f>
        <v/>
      </c>
      <c r="H78" s="27">
        <f>IF($K78="","",INDEX(People!$M:$M,$K78)&amp;"")</f>
        <v/>
      </c>
      <c r="I78" s="6">
        <f>IF($K78="","",INDEX(People!$N:$N,$K78)&amp;"")</f>
        <v/>
      </c>
      <c r="J78">
        <f>IFERROR(SMALL(People!$Y$5:$Y$604,72),"")</f>
        <v/>
      </c>
      <c r="K78">
        <f>IF($J78="","",ROUND(MOD($J78,1)*100000,0))</f>
        <v/>
      </c>
    </row>
    <row r="79">
      <c r="A79" s="25">
        <f>IF($K79="","",IF(INDEX(People!$Q:$Q,$K79)="","no date",INDEX(People!$Q:$Q,$K79)))</f>
        <v/>
      </c>
      <c r="B79" s="26">
        <f>IF($K79="","",INDEX(People!$S:$S,$K79))</f>
        <v/>
      </c>
      <c r="C79" s="26">
        <f>IF($K79="","",INDEX(People!$A:$A,$K79)&amp;"")</f>
        <v/>
      </c>
      <c r="D79" s="26">
        <f>IF($K79="","",INDEX(People!$D:$D,$K79)&amp;"")</f>
        <v/>
      </c>
      <c r="E79" s="26">
        <f>IF($K79="","",INDEX(People!$B:$B,$K79)&amp;"")</f>
        <v/>
      </c>
      <c r="F79" s="27">
        <f>IF($K79="","",INDEX(People!$E:$E,$K79)&amp;"")</f>
        <v/>
      </c>
      <c r="G79" s="27">
        <f>IF($K79="","",INDEX(People!$L:$L,$K79)&amp;"")</f>
        <v/>
      </c>
      <c r="H79" s="27">
        <f>IF($K79="","",INDEX(People!$M:$M,$K79)&amp;"")</f>
        <v/>
      </c>
      <c r="I79" s="6">
        <f>IF($K79="","",INDEX(People!$N:$N,$K79)&amp;"")</f>
        <v/>
      </c>
      <c r="J79">
        <f>IFERROR(SMALL(People!$Y$5:$Y$604,73),"")</f>
        <v/>
      </c>
      <c r="K79">
        <f>IF($J79="","",ROUND(MOD($J79,1)*100000,0))</f>
        <v/>
      </c>
    </row>
    <row r="80">
      <c r="A80" s="25">
        <f>IF($K80="","",IF(INDEX(People!$Q:$Q,$K80)="","no date",INDEX(People!$Q:$Q,$K80)))</f>
        <v/>
      </c>
      <c r="B80" s="26">
        <f>IF($K80="","",INDEX(People!$S:$S,$K80))</f>
        <v/>
      </c>
      <c r="C80" s="26">
        <f>IF($K80="","",INDEX(People!$A:$A,$K80)&amp;"")</f>
        <v/>
      </c>
      <c r="D80" s="26">
        <f>IF($K80="","",INDEX(People!$D:$D,$K80)&amp;"")</f>
        <v/>
      </c>
      <c r="E80" s="26">
        <f>IF($K80="","",INDEX(People!$B:$B,$K80)&amp;"")</f>
        <v/>
      </c>
      <c r="F80" s="27">
        <f>IF($K80="","",INDEX(People!$E:$E,$K80)&amp;"")</f>
        <v/>
      </c>
      <c r="G80" s="27">
        <f>IF($K80="","",INDEX(People!$L:$L,$K80)&amp;"")</f>
        <v/>
      </c>
      <c r="H80" s="27">
        <f>IF($K80="","",INDEX(People!$M:$M,$K80)&amp;"")</f>
        <v/>
      </c>
      <c r="I80" s="6">
        <f>IF($K80="","",INDEX(People!$N:$N,$K80)&amp;"")</f>
        <v/>
      </c>
      <c r="J80">
        <f>IFERROR(SMALL(People!$Y$5:$Y$604,74),"")</f>
        <v/>
      </c>
      <c r="K80">
        <f>IF($J80="","",ROUND(MOD($J80,1)*100000,0))</f>
        <v/>
      </c>
    </row>
    <row r="81">
      <c r="A81" s="25">
        <f>IF($K81="","",IF(INDEX(People!$Q:$Q,$K81)="","no date",INDEX(People!$Q:$Q,$K81)))</f>
        <v/>
      </c>
      <c r="B81" s="26">
        <f>IF($K81="","",INDEX(People!$S:$S,$K81))</f>
        <v/>
      </c>
      <c r="C81" s="26">
        <f>IF($K81="","",INDEX(People!$A:$A,$K81)&amp;"")</f>
        <v/>
      </c>
      <c r="D81" s="26">
        <f>IF($K81="","",INDEX(People!$D:$D,$K81)&amp;"")</f>
        <v/>
      </c>
      <c r="E81" s="26">
        <f>IF($K81="","",INDEX(People!$B:$B,$K81)&amp;"")</f>
        <v/>
      </c>
      <c r="F81" s="27">
        <f>IF($K81="","",INDEX(People!$E:$E,$K81)&amp;"")</f>
        <v/>
      </c>
      <c r="G81" s="27">
        <f>IF($K81="","",INDEX(People!$L:$L,$K81)&amp;"")</f>
        <v/>
      </c>
      <c r="H81" s="27">
        <f>IF($K81="","",INDEX(People!$M:$M,$K81)&amp;"")</f>
        <v/>
      </c>
      <c r="I81" s="6">
        <f>IF($K81="","",INDEX(People!$N:$N,$K81)&amp;"")</f>
        <v/>
      </c>
      <c r="J81">
        <f>IFERROR(SMALL(People!$Y$5:$Y$604,75),"")</f>
        <v/>
      </c>
      <c r="K81">
        <f>IF($J81="","",ROUND(MOD($J81,1)*100000,0))</f>
        <v/>
      </c>
    </row>
    <row r="82">
      <c r="A82" s="25">
        <f>IF($K82="","",IF(INDEX(People!$Q:$Q,$K82)="","no date",INDEX(People!$Q:$Q,$K82)))</f>
        <v/>
      </c>
      <c r="B82" s="26">
        <f>IF($K82="","",INDEX(People!$S:$S,$K82))</f>
        <v/>
      </c>
      <c r="C82" s="26">
        <f>IF($K82="","",INDEX(People!$A:$A,$K82)&amp;"")</f>
        <v/>
      </c>
      <c r="D82" s="26">
        <f>IF($K82="","",INDEX(People!$D:$D,$K82)&amp;"")</f>
        <v/>
      </c>
      <c r="E82" s="26">
        <f>IF($K82="","",INDEX(People!$B:$B,$K82)&amp;"")</f>
        <v/>
      </c>
      <c r="F82" s="27">
        <f>IF($K82="","",INDEX(People!$E:$E,$K82)&amp;"")</f>
        <v/>
      </c>
      <c r="G82" s="27">
        <f>IF($K82="","",INDEX(People!$L:$L,$K82)&amp;"")</f>
        <v/>
      </c>
      <c r="H82" s="27">
        <f>IF($K82="","",INDEX(People!$M:$M,$K82)&amp;"")</f>
        <v/>
      </c>
      <c r="I82" s="6">
        <f>IF($K82="","",INDEX(People!$N:$N,$K82)&amp;"")</f>
        <v/>
      </c>
      <c r="J82">
        <f>IFERROR(SMALL(People!$Y$5:$Y$604,76),"")</f>
        <v/>
      </c>
      <c r="K82">
        <f>IF($J82="","",ROUND(MOD($J82,1)*100000,0))</f>
        <v/>
      </c>
    </row>
    <row r="83">
      <c r="A83" s="25">
        <f>IF($K83="","",IF(INDEX(People!$Q:$Q,$K83)="","no date",INDEX(People!$Q:$Q,$K83)))</f>
        <v/>
      </c>
      <c r="B83" s="26">
        <f>IF($K83="","",INDEX(People!$S:$S,$K83))</f>
        <v/>
      </c>
      <c r="C83" s="26">
        <f>IF($K83="","",INDEX(People!$A:$A,$K83)&amp;"")</f>
        <v/>
      </c>
      <c r="D83" s="26">
        <f>IF($K83="","",INDEX(People!$D:$D,$K83)&amp;"")</f>
        <v/>
      </c>
      <c r="E83" s="26">
        <f>IF($K83="","",INDEX(People!$B:$B,$K83)&amp;"")</f>
        <v/>
      </c>
      <c r="F83" s="27">
        <f>IF($K83="","",INDEX(People!$E:$E,$K83)&amp;"")</f>
        <v/>
      </c>
      <c r="G83" s="27">
        <f>IF($K83="","",INDEX(People!$L:$L,$K83)&amp;"")</f>
        <v/>
      </c>
      <c r="H83" s="27">
        <f>IF($K83="","",INDEX(People!$M:$M,$K83)&amp;"")</f>
        <v/>
      </c>
      <c r="I83" s="6">
        <f>IF($K83="","",INDEX(People!$N:$N,$K83)&amp;"")</f>
        <v/>
      </c>
      <c r="J83">
        <f>IFERROR(SMALL(People!$Y$5:$Y$604,77),"")</f>
        <v/>
      </c>
      <c r="K83">
        <f>IF($J83="","",ROUND(MOD($J83,1)*100000,0))</f>
        <v/>
      </c>
    </row>
    <row r="84">
      <c r="A84" s="25">
        <f>IF($K84="","",IF(INDEX(People!$Q:$Q,$K84)="","no date",INDEX(People!$Q:$Q,$K84)))</f>
        <v/>
      </c>
      <c r="B84" s="26">
        <f>IF($K84="","",INDEX(People!$S:$S,$K84))</f>
        <v/>
      </c>
      <c r="C84" s="26">
        <f>IF($K84="","",INDEX(People!$A:$A,$K84)&amp;"")</f>
        <v/>
      </c>
      <c r="D84" s="26">
        <f>IF($K84="","",INDEX(People!$D:$D,$K84)&amp;"")</f>
        <v/>
      </c>
      <c r="E84" s="26">
        <f>IF($K84="","",INDEX(People!$B:$B,$K84)&amp;"")</f>
        <v/>
      </c>
      <c r="F84" s="27">
        <f>IF($K84="","",INDEX(People!$E:$E,$K84)&amp;"")</f>
        <v/>
      </c>
      <c r="G84" s="27">
        <f>IF($K84="","",INDEX(People!$L:$L,$K84)&amp;"")</f>
        <v/>
      </c>
      <c r="H84" s="27">
        <f>IF($K84="","",INDEX(People!$M:$M,$K84)&amp;"")</f>
        <v/>
      </c>
      <c r="I84" s="6">
        <f>IF($K84="","",INDEX(People!$N:$N,$K84)&amp;"")</f>
        <v/>
      </c>
      <c r="J84">
        <f>IFERROR(SMALL(People!$Y$5:$Y$604,78),"")</f>
        <v/>
      </c>
      <c r="K84">
        <f>IF($J84="","",ROUND(MOD($J84,1)*100000,0))</f>
        <v/>
      </c>
    </row>
    <row r="85">
      <c r="A85" s="25">
        <f>IF($K85="","",IF(INDEX(People!$Q:$Q,$K85)="","no date",INDEX(People!$Q:$Q,$K85)))</f>
        <v/>
      </c>
      <c r="B85" s="26">
        <f>IF($K85="","",INDEX(People!$S:$S,$K85))</f>
        <v/>
      </c>
      <c r="C85" s="26">
        <f>IF($K85="","",INDEX(People!$A:$A,$K85)&amp;"")</f>
        <v/>
      </c>
      <c r="D85" s="26">
        <f>IF($K85="","",INDEX(People!$D:$D,$K85)&amp;"")</f>
        <v/>
      </c>
      <c r="E85" s="26">
        <f>IF($K85="","",INDEX(People!$B:$B,$K85)&amp;"")</f>
        <v/>
      </c>
      <c r="F85" s="27">
        <f>IF($K85="","",INDEX(People!$E:$E,$K85)&amp;"")</f>
        <v/>
      </c>
      <c r="G85" s="27">
        <f>IF($K85="","",INDEX(People!$L:$L,$K85)&amp;"")</f>
        <v/>
      </c>
      <c r="H85" s="27">
        <f>IF($K85="","",INDEX(People!$M:$M,$K85)&amp;"")</f>
        <v/>
      </c>
      <c r="I85" s="6">
        <f>IF($K85="","",INDEX(People!$N:$N,$K85)&amp;"")</f>
        <v/>
      </c>
      <c r="J85">
        <f>IFERROR(SMALL(People!$Y$5:$Y$604,79),"")</f>
        <v/>
      </c>
      <c r="K85">
        <f>IF($J85="","",ROUND(MOD($J85,1)*100000,0))</f>
        <v/>
      </c>
    </row>
    <row r="86">
      <c r="A86" s="25">
        <f>IF($K86="","",IF(INDEX(People!$Q:$Q,$K86)="","no date",INDEX(People!$Q:$Q,$K86)))</f>
        <v/>
      </c>
      <c r="B86" s="26">
        <f>IF($K86="","",INDEX(People!$S:$S,$K86))</f>
        <v/>
      </c>
      <c r="C86" s="26">
        <f>IF($K86="","",INDEX(People!$A:$A,$K86)&amp;"")</f>
        <v/>
      </c>
      <c r="D86" s="26">
        <f>IF($K86="","",INDEX(People!$D:$D,$K86)&amp;"")</f>
        <v/>
      </c>
      <c r="E86" s="26">
        <f>IF($K86="","",INDEX(People!$B:$B,$K86)&amp;"")</f>
        <v/>
      </c>
      <c r="F86" s="27">
        <f>IF($K86="","",INDEX(People!$E:$E,$K86)&amp;"")</f>
        <v/>
      </c>
      <c r="G86" s="27">
        <f>IF($K86="","",INDEX(People!$L:$L,$K86)&amp;"")</f>
        <v/>
      </c>
      <c r="H86" s="27">
        <f>IF($K86="","",INDEX(People!$M:$M,$K86)&amp;"")</f>
        <v/>
      </c>
      <c r="I86" s="6">
        <f>IF($K86="","",INDEX(People!$N:$N,$K86)&amp;"")</f>
        <v/>
      </c>
      <c r="J86">
        <f>IFERROR(SMALL(People!$Y$5:$Y$604,80),"")</f>
        <v/>
      </c>
      <c r="K86">
        <f>IF($J86="","",ROUND(MOD($J86,1)*100000,0))</f>
        <v/>
      </c>
    </row>
    <row r="87">
      <c r="A87" s="25">
        <f>IF($K87="","",IF(INDEX(People!$Q:$Q,$K87)="","no date",INDEX(People!$Q:$Q,$K87)))</f>
        <v/>
      </c>
      <c r="B87" s="26">
        <f>IF($K87="","",INDEX(People!$S:$S,$K87))</f>
        <v/>
      </c>
      <c r="C87" s="26">
        <f>IF($K87="","",INDEX(People!$A:$A,$K87)&amp;"")</f>
        <v/>
      </c>
      <c r="D87" s="26">
        <f>IF($K87="","",INDEX(People!$D:$D,$K87)&amp;"")</f>
        <v/>
      </c>
      <c r="E87" s="26">
        <f>IF($K87="","",INDEX(People!$B:$B,$K87)&amp;"")</f>
        <v/>
      </c>
      <c r="F87" s="27">
        <f>IF($K87="","",INDEX(People!$E:$E,$K87)&amp;"")</f>
        <v/>
      </c>
      <c r="G87" s="27">
        <f>IF($K87="","",INDEX(People!$L:$L,$K87)&amp;"")</f>
        <v/>
      </c>
      <c r="H87" s="27">
        <f>IF($K87="","",INDEX(People!$M:$M,$K87)&amp;"")</f>
        <v/>
      </c>
      <c r="I87" s="6">
        <f>IF($K87="","",INDEX(People!$N:$N,$K87)&amp;"")</f>
        <v/>
      </c>
      <c r="J87">
        <f>IFERROR(SMALL(People!$Y$5:$Y$604,81),"")</f>
        <v/>
      </c>
      <c r="K87">
        <f>IF($J87="","",ROUND(MOD($J87,1)*100000,0))</f>
        <v/>
      </c>
    </row>
    <row r="88">
      <c r="A88" s="25">
        <f>IF($K88="","",IF(INDEX(People!$Q:$Q,$K88)="","no date",INDEX(People!$Q:$Q,$K88)))</f>
        <v/>
      </c>
      <c r="B88" s="26">
        <f>IF($K88="","",INDEX(People!$S:$S,$K88))</f>
        <v/>
      </c>
      <c r="C88" s="26">
        <f>IF($K88="","",INDEX(People!$A:$A,$K88)&amp;"")</f>
        <v/>
      </c>
      <c r="D88" s="26">
        <f>IF($K88="","",INDEX(People!$D:$D,$K88)&amp;"")</f>
        <v/>
      </c>
      <c r="E88" s="26">
        <f>IF($K88="","",INDEX(People!$B:$B,$K88)&amp;"")</f>
        <v/>
      </c>
      <c r="F88" s="27">
        <f>IF($K88="","",INDEX(People!$E:$E,$K88)&amp;"")</f>
        <v/>
      </c>
      <c r="G88" s="27">
        <f>IF($K88="","",INDEX(People!$L:$L,$K88)&amp;"")</f>
        <v/>
      </c>
      <c r="H88" s="27">
        <f>IF($K88="","",INDEX(People!$M:$M,$K88)&amp;"")</f>
        <v/>
      </c>
      <c r="I88" s="6">
        <f>IF($K88="","",INDEX(People!$N:$N,$K88)&amp;"")</f>
        <v/>
      </c>
      <c r="J88">
        <f>IFERROR(SMALL(People!$Y$5:$Y$604,82),"")</f>
        <v/>
      </c>
      <c r="K88">
        <f>IF($J88="","",ROUND(MOD($J88,1)*100000,0))</f>
        <v/>
      </c>
    </row>
    <row r="89">
      <c r="A89" s="25">
        <f>IF($K89="","",IF(INDEX(People!$Q:$Q,$K89)="","no date",INDEX(People!$Q:$Q,$K89)))</f>
        <v/>
      </c>
      <c r="B89" s="26">
        <f>IF($K89="","",INDEX(People!$S:$S,$K89))</f>
        <v/>
      </c>
      <c r="C89" s="26">
        <f>IF($K89="","",INDEX(People!$A:$A,$K89)&amp;"")</f>
        <v/>
      </c>
      <c r="D89" s="26">
        <f>IF($K89="","",INDEX(People!$D:$D,$K89)&amp;"")</f>
        <v/>
      </c>
      <c r="E89" s="26">
        <f>IF($K89="","",INDEX(People!$B:$B,$K89)&amp;"")</f>
        <v/>
      </c>
      <c r="F89" s="27">
        <f>IF($K89="","",INDEX(People!$E:$E,$K89)&amp;"")</f>
        <v/>
      </c>
      <c r="G89" s="27">
        <f>IF($K89="","",INDEX(People!$L:$L,$K89)&amp;"")</f>
        <v/>
      </c>
      <c r="H89" s="27">
        <f>IF($K89="","",INDEX(People!$M:$M,$K89)&amp;"")</f>
        <v/>
      </c>
      <c r="I89" s="6">
        <f>IF($K89="","",INDEX(People!$N:$N,$K89)&amp;"")</f>
        <v/>
      </c>
      <c r="J89">
        <f>IFERROR(SMALL(People!$Y$5:$Y$604,83),"")</f>
        <v/>
      </c>
      <c r="K89">
        <f>IF($J89="","",ROUND(MOD($J89,1)*100000,0))</f>
        <v/>
      </c>
    </row>
    <row r="90">
      <c r="A90" s="25">
        <f>IF($K90="","",IF(INDEX(People!$Q:$Q,$K90)="","no date",INDEX(People!$Q:$Q,$K90)))</f>
        <v/>
      </c>
      <c r="B90" s="26">
        <f>IF($K90="","",INDEX(People!$S:$S,$K90))</f>
        <v/>
      </c>
      <c r="C90" s="26">
        <f>IF($K90="","",INDEX(People!$A:$A,$K90)&amp;"")</f>
        <v/>
      </c>
      <c r="D90" s="26">
        <f>IF($K90="","",INDEX(People!$D:$D,$K90)&amp;"")</f>
        <v/>
      </c>
      <c r="E90" s="26">
        <f>IF($K90="","",INDEX(People!$B:$B,$K90)&amp;"")</f>
        <v/>
      </c>
      <c r="F90" s="27">
        <f>IF($K90="","",INDEX(People!$E:$E,$K90)&amp;"")</f>
        <v/>
      </c>
      <c r="G90" s="27">
        <f>IF($K90="","",INDEX(People!$L:$L,$K90)&amp;"")</f>
        <v/>
      </c>
      <c r="H90" s="27">
        <f>IF($K90="","",INDEX(People!$M:$M,$K90)&amp;"")</f>
        <v/>
      </c>
      <c r="I90" s="6">
        <f>IF($K90="","",INDEX(People!$N:$N,$K90)&amp;"")</f>
        <v/>
      </c>
      <c r="J90">
        <f>IFERROR(SMALL(People!$Y$5:$Y$604,84),"")</f>
        <v/>
      </c>
      <c r="K90">
        <f>IF($J90="","",ROUND(MOD($J90,1)*100000,0))</f>
        <v/>
      </c>
    </row>
    <row r="91">
      <c r="A91" s="25">
        <f>IF($K91="","",IF(INDEX(People!$Q:$Q,$K91)="","no date",INDEX(People!$Q:$Q,$K91)))</f>
        <v/>
      </c>
      <c r="B91" s="26">
        <f>IF($K91="","",INDEX(People!$S:$S,$K91))</f>
        <v/>
      </c>
      <c r="C91" s="26">
        <f>IF($K91="","",INDEX(People!$A:$A,$K91)&amp;"")</f>
        <v/>
      </c>
      <c r="D91" s="26">
        <f>IF($K91="","",INDEX(People!$D:$D,$K91)&amp;"")</f>
        <v/>
      </c>
      <c r="E91" s="26">
        <f>IF($K91="","",INDEX(People!$B:$B,$K91)&amp;"")</f>
        <v/>
      </c>
      <c r="F91" s="27">
        <f>IF($K91="","",INDEX(People!$E:$E,$K91)&amp;"")</f>
        <v/>
      </c>
      <c r="G91" s="27">
        <f>IF($K91="","",INDEX(People!$L:$L,$K91)&amp;"")</f>
        <v/>
      </c>
      <c r="H91" s="27">
        <f>IF($K91="","",INDEX(People!$M:$M,$K91)&amp;"")</f>
        <v/>
      </c>
      <c r="I91" s="6">
        <f>IF($K91="","",INDEX(People!$N:$N,$K91)&amp;"")</f>
        <v/>
      </c>
      <c r="J91">
        <f>IFERROR(SMALL(People!$Y$5:$Y$604,85),"")</f>
        <v/>
      </c>
      <c r="K91">
        <f>IF($J91="","",ROUND(MOD($J91,1)*100000,0))</f>
        <v/>
      </c>
    </row>
    <row r="92">
      <c r="A92" s="25">
        <f>IF($K92="","",IF(INDEX(People!$Q:$Q,$K92)="","no date",INDEX(People!$Q:$Q,$K92)))</f>
        <v/>
      </c>
      <c r="B92" s="26">
        <f>IF($K92="","",INDEX(People!$S:$S,$K92))</f>
        <v/>
      </c>
      <c r="C92" s="26">
        <f>IF($K92="","",INDEX(People!$A:$A,$K92)&amp;"")</f>
        <v/>
      </c>
      <c r="D92" s="26">
        <f>IF($K92="","",INDEX(People!$D:$D,$K92)&amp;"")</f>
        <v/>
      </c>
      <c r="E92" s="26">
        <f>IF($K92="","",INDEX(People!$B:$B,$K92)&amp;"")</f>
        <v/>
      </c>
      <c r="F92" s="27">
        <f>IF($K92="","",INDEX(People!$E:$E,$K92)&amp;"")</f>
        <v/>
      </c>
      <c r="G92" s="27">
        <f>IF($K92="","",INDEX(People!$L:$L,$K92)&amp;"")</f>
        <v/>
      </c>
      <c r="H92" s="27">
        <f>IF($K92="","",INDEX(People!$M:$M,$K92)&amp;"")</f>
        <v/>
      </c>
      <c r="I92" s="6">
        <f>IF($K92="","",INDEX(People!$N:$N,$K92)&amp;"")</f>
        <v/>
      </c>
      <c r="J92">
        <f>IFERROR(SMALL(People!$Y$5:$Y$604,86),"")</f>
        <v/>
      </c>
      <c r="K92">
        <f>IF($J92="","",ROUND(MOD($J92,1)*100000,0))</f>
        <v/>
      </c>
    </row>
    <row r="93">
      <c r="A93" s="25">
        <f>IF($K93="","",IF(INDEX(People!$Q:$Q,$K93)="","no date",INDEX(People!$Q:$Q,$K93)))</f>
        <v/>
      </c>
      <c r="B93" s="26">
        <f>IF($K93="","",INDEX(People!$S:$S,$K93))</f>
        <v/>
      </c>
      <c r="C93" s="26">
        <f>IF($K93="","",INDEX(People!$A:$A,$K93)&amp;"")</f>
        <v/>
      </c>
      <c r="D93" s="26">
        <f>IF($K93="","",INDEX(People!$D:$D,$K93)&amp;"")</f>
        <v/>
      </c>
      <c r="E93" s="26">
        <f>IF($K93="","",INDEX(People!$B:$B,$K93)&amp;"")</f>
        <v/>
      </c>
      <c r="F93" s="27">
        <f>IF($K93="","",INDEX(People!$E:$E,$K93)&amp;"")</f>
        <v/>
      </c>
      <c r="G93" s="27">
        <f>IF($K93="","",INDEX(People!$L:$L,$K93)&amp;"")</f>
        <v/>
      </c>
      <c r="H93" s="27">
        <f>IF($K93="","",INDEX(People!$M:$M,$K93)&amp;"")</f>
        <v/>
      </c>
      <c r="I93" s="6">
        <f>IF($K93="","",INDEX(People!$N:$N,$K93)&amp;"")</f>
        <v/>
      </c>
      <c r="J93">
        <f>IFERROR(SMALL(People!$Y$5:$Y$604,87),"")</f>
        <v/>
      </c>
      <c r="K93">
        <f>IF($J93="","",ROUND(MOD($J93,1)*100000,0))</f>
        <v/>
      </c>
    </row>
    <row r="94">
      <c r="A94" s="25">
        <f>IF($K94="","",IF(INDEX(People!$Q:$Q,$K94)="","no date",INDEX(People!$Q:$Q,$K94)))</f>
        <v/>
      </c>
      <c r="B94" s="26">
        <f>IF($K94="","",INDEX(People!$S:$S,$K94))</f>
        <v/>
      </c>
      <c r="C94" s="26">
        <f>IF($K94="","",INDEX(People!$A:$A,$K94)&amp;"")</f>
        <v/>
      </c>
      <c r="D94" s="26">
        <f>IF($K94="","",INDEX(People!$D:$D,$K94)&amp;"")</f>
        <v/>
      </c>
      <c r="E94" s="26">
        <f>IF($K94="","",INDEX(People!$B:$B,$K94)&amp;"")</f>
        <v/>
      </c>
      <c r="F94" s="27">
        <f>IF($K94="","",INDEX(People!$E:$E,$K94)&amp;"")</f>
        <v/>
      </c>
      <c r="G94" s="27">
        <f>IF($K94="","",INDEX(People!$L:$L,$K94)&amp;"")</f>
        <v/>
      </c>
      <c r="H94" s="27">
        <f>IF($K94="","",INDEX(People!$M:$M,$K94)&amp;"")</f>
        <v/>
      </c>
      <c r="I94" s="6">
        <f>IF($K94="","",INDEX(People!$N:$N,$K94)&amp;"")</f>
        <v/>
      </c>
      <c r="J94">
        <f>IFERROR(SMALL(People!$Y$5:$Y$604,88),"")</f>
        <v/>
      </c>
      <c r="K94">
        <f>IF($J94="","",ROUND(MOD($J94,1)*100000,0))</f>
        <v/>
      </c>
    </row>
    <row r="95">
      <c r="A95" s="25">
        <f>IF($K95="","",IF(INDEX(People!$Q:$Q,$K95)="","no date",INDEX(People!$Q:$Q,$K95)))</f>
        <v/>
      </c>
      <c r="B95" s="26">
        <f>IF($K95="","",INDEX(People!$S:$S,$K95))</f>
        <v/>
      </c>
      <c r="C95" s="26">
        <f>IF($K95="","",INDEX(People!$A:$A,$K95)&amp;"")</f>
        <v/>
      </c>
      <c r="D95" s="26">
        <f>IF($K95="","",INDEX(People!$D:$D,$K95)&amp;"")</f>
        <v/>
      </c>
      <c r="E95" s="26">
        <f>IF($K95="","",INDEX(People!$B:$B,$K95)&amp;"")</f>
        <v/>
      </c>
      <c r="F95" s="27">
        <f>IF($K95="","",INDEX(People!$E:$E,$K95)&amp;"")</f>
        <v/>
      </c>
      <c r="G95" s="27">
        <f>IF($K95="","",INDEX(People!$L:$L,$K95)&amp;"")</f>
        <v/>
      </c>
      <c r="H95" s="27">
        <f>IF($K95="","",INDEX(People!$M:$M,$K95)&amp;"")</f>
        <v/>
      </c>
      <c r="I95" s="6">
        <f>IF($K95="","",INDEX(People!$N:$N,$K95)&amp;"")</f>
        <v/>
      </c>
      <c r="J95">
        <f>IFERROR(SMALL(People!$Y$5:$Y$604,89),"")</f>
        <v/>
      </c>
      <c r="K95">
        <f>IF($J95="","",ROUND(MOD($J95,1)*100000,0))</f>
        <v/>
      </c>
    </row>
    <row r="96">
      <c r="A96" s="25">
        <f>IF($K96="","",IF(INDEX(People!$Q:$Q,$K96)="","no date",INDEX(People!$Q:$Q,$K96)))</f>
        <v/>
      </c>
      <c r="B96" s="26">
        <f>IF($K96="","",INDEX(People!$S:$S,$K96))</f>
        <v/>
      </c>
      <c r="C96" s="26">
        <f>IF($K96="","",INDEX(People!$A:$A,$K96)&amp;"")</f>
        <v/>
      </c>
      <c r="D96" s="26">
        <f>IF($K96="","",INDEX(People!$D:$D,$K96)&amp;"")</f>
        <v/>
      </c>
      <c r="E96" s="26">
        <f>IF($K96="","",INDEX(People!$B:$B,$K96)&amp;"")</f>
        <v/>
      </c>
      <c r="F96" s="27">
        <f>IF($K96="","",INDEX(People!$E:$E,$K96)&amp;"")</f>
        <v/>
      </c>
      <c r="G96" s="27">
        <f>IF($K96="","",INDEX(People!$L:$L,$K96)&amp;"")</f>
        <v/>
      </c>
      <c r="H96" s="27">
        <f>IF($K96="","",INDEX(People!$M:$M,$K96)&amp;"")</f>
        <v/>
      </c>
      <c r="I96" s="6">
        <f>IF($K96="","",INDEX(People!$N:$N,$K96)&amp;"")</f>
        <v/>
      </c>
      <c r="J96">
        <f>IFERROR(SMALL(People!$Y$5:$Y$604,90),"")</f>
        <v/>
      </c>
      <c r="K96">
        <f>IF($J96="","",ROUND(MOD($J96,1)*100000,0))</f>
        <v/>
      </c>
    </row>
    <row r="97">
      <c r="A97" s="25">
        <f>IF($K97="","",IF(INDEX(People!$Q:$Q,$K97)="","no date",INDEX(People!$Q:$Q,$K97)))</f>
        <v/>
      </c>
      <c r="B97" s="26">
        <f>IF($K97="","",INDEX(People!$S:$S,$K97))</f>
        <v/>
      </c>
      <c r="C97" s="26">
        <f>IF($K97="","",INDEX(People!$A:$A,$K97)&amp;"")</f>
        <v/>
      </c>
      <c r="D97" s="26">
        <f>IF($K97="","",INDEX(People!$D:$D,$K97)&amp;"")</f>
        <v/>
      </c>
      <c r="E97" s="26">
        <f>IF($K97="","",INDEX(People!$B:$B,$K97)&amp;"")</f>
        <v/>
      </c>
      <c r="F97" s="27">
        <f>IF($K97="","",INDEX(People!$E:$E,$K97)&amp;"")</f>
        <v/>
      </c>
      <c r="G97" s="27">
        <f>IF($K97="","",INDEX(People!$L:$L,$K97)&amp;"")</f>
        <v/>
      </c>
      <c r="H97" s="27">
        <f>IF($K97="","",INDEX(People!$M:$M,$K97)&amp;"")</f>
        <v/>
      </c>
      <c r="I97" s="6">
        <f>IF($K97="","",INDEX(People!$N:$N,$K97)&amp;"")</f>
        <v/>
      </c>
      <c r="J97">
        <f>IFERROR(SMALL(People!$Y$5:$Y$604,91),"")</f>
        <v/>
      </c>
      <c r="K97">
        <f>IF($J97="","",ROUND(MOD($J97,1)*100000,0))</f>
        <v/>
      </c>
    </row>
    <row r="98">
      <c r="A98" s="25">
        <f>IF($K98="","",IF(INDEX(People!$Q:$Q,$K98)="","no date",INDEX(People!$Q:$Q,$K98)))</f>
        <v/>
      </c>
      <c r="B98" s="26">
        <f>IF($K98="","",INDEX(People!$S:$S,$K98))</f>
        <v/>
      </c>
      <c r="C98" s="26">
        <f>IF($K98="","",INDEX(People!$A:$A,$K98)&amp;"")</f>
        <v/>
      </c>
      <c r="D98" s="26">
        <f>IF($K98="","",INDEX(People!$D:$D,$K98)&amp;"")</f>
        <v/>
      </c>
      <c r="E98" s="26">
        <f>IF($K98="","",INDEX(People!$B:$B,$K98)&amp;"")</f>
        <v/>
      </c>
      <c r="F98" s="27">
        <f>IF($K98="","",INDEX(People!$E:$E,$K98)&amp;"")</f>
        <v/>
      </c>
      <c r="G98" s="27">
        <f>IF($K98="","",INDEX(People!$L:$L,$K98)&amp;"")</f>
        <v/>
      </c>
      <c r="H98" s="27">
        <f>IF($K98="","",INDEX(People!$M:$M,$K98)&amp;"")</f>
        <v/>
      </c>
      <c r="I98" s="6">
        <f>IF($K98="","",INDEX(People!$N:$N,$K98)&amp;"")</f>
        <v/>
      </c>
      <c r="J98">
        <f>IFERROR(SMALL(People!$Y$5:$Y$604,92),"")</f>
        <v/>
      </c>
      <c r="K98">
        <f>IF($J98="","",ROUND(MOD($J98,1)*100000,0))</f>
        <v/>
      </c>
    </row>
    <row r="99">
      <c r="A99" s="25">
        <f>IF($K99="","",IF(INDEX(People!$Q:$Q,$K99)="","no date",INDEX(People!$Q:$Q,$K99)))</f>
        <v/>
      </c>
      <c r="B99" s="26">
        <f>IF($K99="","",INDEX(People!$S:$S,$K99))</f>
        <v/>
      </c>
      <c r="C99" s="26">
        <f>IF($K99="","",INDEX(People!$A:$A,$K99)&amp;"")</f>
        <v/>
      </c>
      <c r="D99" s="26">
        <f>IF($K99="","",INDEX(People!$D:$D,$K99)&amp;"")</f>
        <v/>
      </c>
      <c r="E99" s="26">
        <f>IF($K99="","",INDEX(People!$B:$B,$K99)&amp;"")</f>
        <v/>
      </c>
      <c r="F99" s="27">
        <f>IF($K99="","",INDEX(People!$E:$E,$K99)&amp;"")</f>
        <v/>
      </c>
      <c r="G99" s="27">
        <f>IF($K99="","",INDEX(People!$L:$L,$K99)&amp;"")</f>
        <v/>
      </c>
      <c r="H99" s="27">
        <f>IF($K99="","",INDEX(People!$M:$M,$K99)&amp;"")</f>
        <v/>
      </c>
      <c r="I99" s="6">
        <f>IF($K99="","",INDEX(People!$N:$N,$K99)&amp;"")</f>
        <v/>
      </c>
      <c r="J99">
        <f>IFERROR(SMALL(People!$Y$5:$Y$604,93),"")</f>
        <v/>
      </c>
      <c r="K99">
        <f>IF($J99="","",ROUND(MOD($J99,1)*100000,0))</f>
        <v/>
      </c>
    </row>
    <row r="100">
      <c r="A100" s="25">
        <f>IF($K100="","",IF(INDEX(People!$Q:$Q,$K100)="","no date",INDEX(People!$Q:$Q,$K100)))</f>
        <v/>
      </c>
      <c r="B100" s="26">
        <f>IF($K100="","",INDEX(People!$S:$S,$K100))</f>
        <v/>
      </c>
      <c r="C100" s="26">
        <f>IF($K100="","",INDEX(People!$A:$A,$K100)&amp;"")</f>
        <v/>
      </c>
      <c r="D100" s="26">
        <f>IF($K100="","",INDEX(People!$D:$D,$K100)&amp;"")</f>
        <v/>
      </c>
      <c r="E100" s="26">
        <f>IF($K100="","",INDEX(People!$B:$B,$K100)&amp;"")</f>
        <v/>
      </c>
      <c r="F100" s="27">
        <f>IF($K100="","",INDEX(People!$E:$E,$K100)&amp;"")</f>
        <v/>
      </c>
      <c r="G100" s="27">
        <f>IF($K100="","",INDEX(People!$L:$L,$K100)&amp;"")</f>
        <v/>
      </c>
      <c r="H100" s="27">
        <f>IF($K100="","",INDEX(People!$M:$M,$K100)&amp;"")</f>
        <v/>
      </c>
      <c r="I100" s="6">
        <f>IF($K100="","",INDEX(People!$N:$N,$K100)&amp;"")</f>
        <v/>
      </c>
      <c r="J100">
        <f>IFERROR(SMALL(People!$Y$5:$Y$604,94),"")</f>
        <v/>
      </c>
      <c r="K100">
        <f>IF($J100="","",ROUND(MOD($J100,1)*100000,0))</f>
        <v/>
      </c>
    </row>
    <row r="101">
      <c r="A101" s="25">
        <f>IF($K101="","",IF(INDEX(People!$Q:$Q,$K101)="","no date",INDEX(People!$Q:$Q,$K101)))</f>
        <v/>
      </c>
      <c r="B101" s="26">
        <f>IF($K101="","",INDEX(People!$S:$S,$K101))</f>
        <v/>
      </c>
      <c r="C101" s="26">
        <f>IF($K101="","",INDEX(People!$A:$A,$K101)&amp;"")</f>
        <v/>
      </c>
      <c r="D101" s="26">
        <f>IF($K101="","",INDEX(People!$D:$D,$K101)&amp;"")</f>
        <v/>
      </c>
      <c r="E101" s="26">
        <f>IF($K101="","",INDEX(People!$B:$B,$K101)&amp;"")</f>
        <v/>
      </c>
      <c r="F101" s="27">
        <f>IF($K101="","",INDEX(People!$E:$E,$K101)&amp;"")</f>
        <v/>
      </c>
      <c r="G101" s="27">
        <f>IF($K101="","",INDEX(People!$L:$L,$K101)&amp;"")</f>
        <v/>
      </c>
      <c r="H101" s="27">
        <f>IF($K101="","",INDEX(People!$M:$M,$K101)&amp;"")</f>
        <v/>
      </c>
      <c r="I101" s="6">
        <f>IF($K101="","",INDEX(People!$N:$N,$K101)&amp;"")</f>
        <v/>
      </c>
      <c r="J101">
        <f>IFERROR(SMALL(People!$Y$5:$Y$604,95),"")</f>
        <v/>
      </c>
      <c r="K101">
        <f>IF($J101="","",ROUND(MOD($J101,1)*100000,0))</f>
        <v/>
      </c>
    </row>
    <row r="102">
      <c r="A102" s="25">
        <f>IF($K102="","",IF(INDEX(People!$Q:$Q,$K102)="","no date",INDEX(People!$Q:$Q,$K102)))</f>
        <v/>
      </c>
      <c r="B102" s="26">
        <f>IF($K102="","",INDEX(People!$S:$S,$K102))</f>
        <v/>
      </c>
      <c r="C102" s="26">
        <f>IF($K102="","",INDEX(People!$A:$A,$K102)&amp;"")</f>
        <v/>
      </c>
      <c r="D102" s="26">
        <f>IF($K102="","",INDEX(People!$D:$D,$K102)&amp;"")</f>
        <v/>
      </c>
      <c r="E102" s="26">
        <f>IF($K102="","",INDEX(People!$B:$B,$K102)&amp;"")</f>
        <v/>
      </c>
      <c r="F102" s="27">
        <f>IF($K102="","",INDEX(People!$E:$E,$K102)&amp;"")</f>
        <v/>
      </c>
      <c r="G102" s="27">
        <f>IF($K102="","",INDEX(People!$L:$L,$K102)&amp;"")</f>
        <v/>
      </c>
      <c r="H102" s="27">
        <f>IF($K102="","",INDEX(People!$M:$M,$K102)&amp;"")</f>
        <v/>
      </c>
      <c r="I102" s="6">
        <f>IF($K102="","",INDEX(People!$N:$N,$K102)&amp;"")</f>
        <v/>
      </c>
      <c r="J102">
        <f>IFERROR(SMALL(People!$Y$5:$Y$604,96),"")</f>
        <v/>
      </c>
      <c r="K102">
        <f>IF($J102="","",ROUND(MOD($J102,1)*100000,0))</f>
        <v/>
      </c>
    </row>
    <row r="103">
      <c r="A103" s="25">
        <f>IF($K103="","",IF(INDEX(People!$Q:$Q,$K103)="","no date",INDEX(People!$Q:$Q,$K103)))</f>
        <v/>
      </c>
      <c r="B103" s="26">
        <f>IF($K103="","",INDEX(People!$S:$S,$K103))</f>
        <v/>
      </c>
      <c r="C103" s="26">
        <f>IF($K103="","",INDEX(People!$A:$A,$K103)&amp;"")</f>
        <v/>
      </c>
      <c r="D103" s="26">
        <f>IF($K103="","",INDEX(People!$D:$D,$K103)&amp;"")</f>
        <v/>
      </c>
      <c r="E103" s="26">
        <f>IF($K103="","",INDEX(People!$B:$B,$K103)&amp;"")</f>
        <v/>
      </c>
      <c r="F103" s="27">
        <f>IF($K103="","",INDEX(People!$E:$E,$K103)&amp;"")</f>
        <v/>
      </c>
      <c r="G103" s="27">
        <f>IF($K103="","",INDEX(People!$L:$L,$K103)&amp;"")</f>
        <v/>
      </c>
      <c r="H103" s="27">
        <f>IF($K103="","",INDEX(People!$M:$M,$K103)&amp;"")</f>
        <v/>
      </c>
      <c r="I103" s="6">
        <f>IF($K103="","",INDEX(People!$N:$N,$K103)&amp;"")</f>
        <v/>
      </c>
      <c r="J103">
        <f>IFERROR(SMALL(People!$Y$5:$Y$604,97),"")</f>
        <v/>
      </c>
      <c r="K103">
        <f>IF($J103="","",ROUND(MOD($J103,1)*100000,0))</f>
        <v/>
      </c>
    </row>
    <row r="104">
      <c r="A104" s="25">
        <f>IF($K104="","",IF(INDEX(People!$Q:$Q,$K104)="","no date",INDEX(People!$Q:$Q,$K104)))</f>
        <v/>
      </c>
      <c r="B104" s="26">
        <f>IF($K104="","",INDEX(People!$S:$S,$K104))</f>
        <v/>
      </c>
      <c r="C104" s="26">
        <f>IF($K104="","",INDEX(People!$A:$A,$K104)&amp;"")</f>
        <v/>
      </c>
      <c r="D104" s="26">
        <f>IF($K104="","",INDEX(People!$D:$D,$K104)&amp;"")</f>
        <v/>
      </c>
      <c r="E104" s="26">
        <f>IF($K104="","",INDEX(People!$B:$B,$K104)&amp;"")</f>
        <v/>
      </c>
      <c r="F104" s="27">
        <f>IF($K104="","",INDEX(People!$E:$E,$K104)&amp;"")</f>
        <v/>
      </c>
      <c r="G104" s="27">
        <f>IF($K104="","",INDEX(People!$L:$L,$K104)&amp;"")</f>
        <v/>
      </c>
      <c r="H104" s="27">
        <f>IF($K104="","",INDEX(People!$M:$M,$K104)&amp;"")</f>
        <v/>
      </c>
      <c r="I104" s="6">
        <f>IF($K104="","",INDEX(People!$N:$N,$K104)&amp;"")</f>
        <v/>
      </c>
      <c r="J104">
        <f>IFERROR(SMALL(People!$Y$5:$Y$604,98),"")</f>
        <v/>
      </c>
      <c r="K104">
        <f>IF($J104="","",ROUND(MOD($J104,1)*100000,0))</f>
        <v/>
      </c>
    </row>
    <row r="105">
      <c r="A105" s="25">
        <f>IF($K105="","",IF(INDEX(People!$Q:$Q,$K105)="","no date",INDEX(People!$Q:$Q,$K105)))</f>
        <v/>
      </c>
      <c r="B105" s="26">
        <f>IF($K105="","",INDEX(People!$S:$S,$K105))</f>
        <v/>
      </c>
      <c r="C105" s="26">
        <f>IF($K105="","",INDEX(People!$A:$A,$K105)&amp;"")</f>
        <v/>
      </c>
      <c r="D105" s="26">
        <f>IF($K105="","",INDEX(People!$D:$D,$K105)&amp;"")</f>
        <v/>
      </c>
      <c r="E105" s="26">
        <f>IF($K105="","",INDEX(People!$B:$B,$K105)&amp;"")</f>
        <v/>
      </c>
      <c r="F105" s="27">
        <f>IF($K105="","",INDEX(People!$E:$E,$K105)&amp;"")</f>
        <v/>
      </c>
      <c r="G105" s="27">
        <f>IF($K105="","",INDEX(People!$L:$L,$K105)&amp;"")</f>
        <v/>
      </c>
      <c r="H105" s="27">
        <f>IF($K105="","",INDEX(People!$M:$M,$K105)&amp;"")</f>
        <v/>
      </c>
      <c r="I105" s="6">
        <f>IF($K105="","",INDEX(People!$N:$N,$K105)&amp;"")</f>
        <v/>
      </c>
      <c r="J105">
        <f>IFERROR(SMALL(People!$Y$5:$Y$604,99),"")</f>
        <v/>
      </c>
      <c r="K105">
        <f>IF($J105="","",ROUND(MOD($J105,1)*100000,0))</f>
        <v/>
      </c>
    </row>
    <row r="106">
      <c r="A106" s="25">
        <f>IF($K106="","",IF(INDEX(People!$Q:$Q,$K106)="","no date",INDEX(People!$Q:$Q,$K106)))</f>
        <v/>
      </c>
      <c r="B106" s="26">
        <f>IF($K106="","",INDEX(People!$S:$S,$K106))</f>
        <v/>
      </c>
      <c r="C106" s="26">
        <f>IF($K106="","",INDEX(People!$A:$A,$K106)&amp;"")</f>
        <v/>
      </c>
      <c r="D106" s="26">
        <f>IF($K106="","",INDEX(People!$D:$D,$K106)&amp;"")</f>
        <v/>
      </c>
      <c r="E106" s="26">
        <f>IF($K106="","",INDEX(People!$B:$B,$K106)&amp;"")</f>
        <v/>
      </c>
      <c r="F106" s="27">
        <f>IF($K106="","",INDEX(People!$E:$E,$K106)&amp;"")</f>
        <v/>
      </c>
      <c r="G106" s="27">
        <f>IF($K106="","",INDEX(People!$L:$L,$K106)&amp;"")</f>
        <v/>
      </c>
      <c r="H106" s="27">
        <f>IF($K106="","",INDEX(People!$M:$M,$K106)&amp;"")</f>
        <v/>
      </c>
      <c r="I106" s="6">
        <f>IF($K106="","",INDEX(People!$N:$N,$K106)&amp;"")</f>
        <v/>
      </c>
      <c r="J106">
        <f>IFERROR(SMALL(People!$Y$5:$Y$604,100),"")</f>
        <v/>
      </c>
      <c r="K106">
        <f>IF($J106="","",ROUND(MOD($J106,1)*100000,0))</f>
        <v/>
      </c>
    </row>
    <row r="107">
      <c r="A107" s="25">
        <f>IF($K107="","",IF(INDEX(People!$Q:$Q,$K107)="","no date",INDEX(People!$Q:$Q,$K107)))</f>
        <v/>
      </c>
      <c r="B107" s="26">
        <f>IF($K107="","",INDEX(People!$S:$S,$K107))</f>
        <v/>
      </c>
      <c r="C107" s="26">
        <f>IF($K107="","",INDEX(People!$A:$A,$K107)&amp;"")</f>
        <v/>
      </c>
      <c r="D107" s="26">
        <f>IF($K107="","",INDEX(People!$D:$D,$K107)&amp;"")</f>
        <v/>
      </c>
      <c r="E107" s="26">
        <f>IF($K107="","",INDEX(People!$B:$B,$K107)&amp;"")</f>
        <v/>
      </c>
      <c r="F107" s="27">
        <f>IF($K107="","",INDEX(People!$E:$E,$K107)&amp;"")</f>
        <v/>
      </c>
      <c r="G107" s="27">
        <f>IF($K107="","",INDEX(People!$L:$L,$K107)&amp;"")</f>
        <v/>
      </c>
      <c r="H107" s="27">
        <f>IF($K107="","",INDEX(People!$M:$M,$K107)&amp;"")</f>
        <v/>
      </c>
      <c r="I107" s="6">
        <f>IF($K107="","",INDEX(People!$N:$N,$K107)&amp;"")</f>
        <v/>
      </c>
      <c r="J107">
        <f>IFERROR(SMALL(People!$Y$5:$Y$604,101),"")</f>
        <v/>
      </c>
      <c r="K107">
        <f>IF($J107="","",ROUND(MOD($J107,1)*100000,0))</f>
        <v/>
      </c>
    </row>
    <row r="108">
      <c r="A108" s="25">
        <f>IF($K108="","",IF(INDEX(People!$Q:$Q,$K108)="","no date",INDEX(People!$Q:$Q,$K108)))</f>
        <v/>
      </c>
      <c r="B108" s="26">
        <f>IF($K108="","",INDEX(People!$S:$S,$K108))</f>
        <v/>
      </c>
      <c r="C108" s="26">
        <f>IF($K108="","",INDEX(People!$A:$A,$K108)&amp;"")</f>
        <v/>
      </c>
      <c r="D108" s="26">
        <f>IF($K108="","",INDEX(People!$D:$D,$K108)&amp;"")</f>
        <v/>
      </c>
      <c r="E108" s="26">
        <f>IF($K108="","",INDEX(People!$B:$B,$K108)&amp;"")</f>
        <v/>
      </c>
      <c r="F108" s="27">
        <f>IF($K108="","",INDEX(People!$E:$E,$K108)&amp;"")</f>
        <v/>
      </c>
      <c r="G108" s="27">
        <f>IF($K108="","",INDEX(People!$L:$L,$K108)&amp;"")</f>
        <v/>
      </c>
      <c r="H108" s="27">
        <f>IF($K108="","",INDEX(People!$M:$M,$K108)&amp;"")</f>
        <v/>
      </c>
      <c r="I108" s="6">
        <f>IF($K108="","",INDEX(People!$N:$N,$K108)&amp;"")</f>
        <v/>
      </c>
      <c r="J108">
        <f>IFERROR(SMALL(People!$Y$5:$Y$604,102),"")</f>
        <v/>
      </c>
      <c r="K108">
        <f>IF($J108="","",ROUND(MOD($J108,1)*100000,0))</f>
        <v/>
      </c>
    </row>
    <row r="109">
      <c r="A109" s="25">
        <f>IF($K109="","",IF(INDEX(People!$Q:$Q,$K109)="","no date",INDEX(People!$Q:$Q,$K109)))</f>
        <v/>
      </c>
      <c r="B109" s="26">
        <f>IF($K109="","",INDEX(People!$S:$S,$K109))</f>
        <v/>
      </c>
      <c r="C109" s="26">
        <f>IF($K109="","",INDEX(People!$A:$A,$K109)&amp;"")</f>
        <v/>
      </c>
      <c r="D109" s="26">
        <f>IF($K109="","",INDEX(People!$D:$D,$K109)&amp;"")</f>
        <v/>
      </c>
      <c r="E109" s="26">
        <f>IF($K109="","",INDEX(People!$B:$B,$K109)&amp;"")</f>
        <v/>
      </c>
      <c r="F109" s="27">
        <f>IF($K109="","",INDEX(People!$E:$E,$K109)&amp;"")</f>
        <v/>
      </c>
      <c r="G109" s="27">
        <f>IF($K109="","",INDEX(People!$L:$L,$K109)&amp;"")</f>
        <v/>
      </c>
      <c r="H109" s="27">
        <f>IF($K109="","",INDEX(People!$M:$M,$K109)&amp;"")</f>
        <v/>
      </c>
      <c r="I109" s="6">
        <f>IF($K109="","",INDEX(People!$N:$N,$K109)&amp;"")</f>
        <v/>
      </c>
      <c r="J109">
        <f>IFERROR(SMALL(People!$Y$5:$Y$604,103),"")</f>
        <v/>
      </c>
      <c r="K109">
        <f>IF($J109="","",ROUND(MOD($J109,1)*100000,0))</f>
        <v/>
      </c>
    </row>
    <row r="110">
      <c r="A110" s="25">
        <f>IF($K110="","",IF(INDEX(People!$Q:$Q,$K110)="","no date",INDEX(People!$Q:$Q,$K110)))</f>
        <v/>
      </c>
      <c r="B110" s="26">
        <f>IF($K110="","",INDEX(People!$S:$S,$K110))</f>
        <v/>
      </c>
      <c r="C110" s="26">
        <f>IF($K110="","",INDEX(People!$A:$A,$K110)&amp;"")</f>
        <v/>
      </c>
      <c r="D110" s="26">
        <f>IF($K110="","",INDEX(People!$D:$D,$K110)&amp;"")</f>
        <v/>
      </c>
      <c r="E110" s="26">
        <f>IF($K110="","",INDEX(People!$B:$B,$K110)&amp;"")</f>
        <v/>
      </c>
      <c r="F110" s="27">
        <f>IF($K110="","",INDEX(People!$E:$E,$K110)&amp;"")</f>
        <v/>
      </c>
      <c r="G110" s="27">
        <f>IF($K110="","",INDEX(People!$L:$L,$K110)&amp;"")</f>
        <v/>
      </c>
      <c r="H110" s="27">
        <f>IF($K110="","",INDEX(People!$M:$M,$K110)&amp;"")</f>
        <v/>
      </c>
      <c r="I110" s="6">
        <f>IF($K110="","",INDEX(People!$N:$N,$K110)&amp;"")</f>
        <v/>
      </c>
      <c r="J110">
        <f>IFERROR(SMALL(People!$Y$5:$Y$604,104),"")</f>
        <v/>
      </c>
      <c r="K110">
        <f>IF($J110="","",ROUND(MOD($J110,1)*100000,0))</f>
        <v/>
      </c>
    </row>
    <row r="111">
      <c r="A111" s="25">
        <f>IF($K111="","",IF(INDEX(People!$Q:$Q,$K111)="","no date",INDEX(People!$Q:$Q,$K111)))</f>
        <v/>
      </c>
      <c r="B111" s="26">
        <f>IF($K111="","",INDEX(People!$S:$S,$K111))</f>
        <v/>
      </c>
      <c r="C111" s="26">
        <f>IF($K111="","",INDEX(People!$A:$A,$K111)&amp;"")</f>
        <v/>
      </c>
      <c r="D111" s="26">
        <f>IF($K111="","",INDEX(People!$D:$D,$K111)&amp;"")</f>
        <v/>
      </c>
      <c r="E111" s="26">
        <f>IF($K111="","",INDEX(People!$B:$B,$K111)&amp;"")</f>
        <v/>
      </c>
      <c r="F111" s="27">
        <f>IF($K111="","",INDEX(People!$E:$E,$K111)&amp;"")</f>
        <v/>
      </c>
      <c r="G111" s="27">
        <f>IF($K111="","",INDEX(People!$L:$L,$K111)&amp;"")</f>
        <v/>
      </c>
      <c r="H111" s="27">
        <f>IF($K111="","",INDEX(People!$M:$M,$K111)&amp;"")</f>
        <v/>
      </c>
      <c r="I111" s="6">
        <f>IF($K111="","",INDEX(People!$N:$N,$K111)&amp;"")</f>
        <v/>
      </c>
      <c r="J111">
        <f>IFERROR(SMALL(People!$Y$5:$Y$604,105),"")</f>
        <v/>
      </c>
      <c r="K111">
        <f>IF($J111="","",ROUND(MOD($J111,1)*100000,0))</f>
        <v/>
      </c>
    </row>
    <row r="112">
      <c r="A112" s="25">
        <f>IF($K112="","",IF(INDEX(People!$Q:$Q,$K112)="","no date",INDEX(People!$Q:$Q,$K112)))</f>
        <v/>
      </c>
      <c r="B112" s="26">
        <f>IF($K112="","",INDEX(People!$S:$S,$K112))</f>
        <v/>
      </c>
      <c r="C112" s="26">
        <f>IF($K112="","",INDEX(People!$A:$A,$K112)&amp;"")</f>
        <v/>
      </c>
      <c r="D112" s="26">
        <f>IF($K112="","",INDEX(People!$D:$D,$K112)&amp;"")</f>
        <v/>
      </c>
      <c r="E112" s="26">
        <f>IF($K112="","",INDEX(People!$B:$B,$K112)&amp;"")</f>
        <v/>
      </c>
      <c r="F112" s="27">
        <f>IF($K112="","",INDEX(People!$E:$E,$K112)&amp;"")</f>
        <v/>
      </c>
      <c r="G112" s="27">
        <f>IF($K112="","",INDEX(People!$L:$L,$K112)&amp;"")</f>
        <v/>
      </c>
      <c r="H112" s="27">
        <f>IF($K112="","",INDEX(People!$M:$M,$K112)&amp;"")</f>
        <v/>
      </c>
      <c r="I112" s="6">
        <f>IF($K112="","",INDEX(People!$N:$N,$K112)&amp;"")</f>
        <v/>
      </c>
      <c r="J112">
        <f>IFERROR(SMALL(People!$Y$5:$Y$604,106),"")</f>
        <v/>
      </c>
      <c r="K112">
        <f>IF($J112="","",ROUND(MOD($J112,1)*100000,0))</f>
        <v/>
      </c>
    </row>
    <row r="113">
      <c r="A113" s="25">
        <f>IF($K113="","",IF(INDEX(People!$Q:$Q,$K113)="","no date",INDEX(People!$Q:$Q,$K113)))</f>
        <v/>
      </c>
      <c r="B113" s="26">
        <f>IF($K113="","",INDEX(People!$S:$S,$K113))</f>
        <v/>
      </c>
      <c r="C113" s="26">
        <f>IF($K113="","",INDEX(People!$A:$A,$K113)&amp;"")</f>
        <v/>
      </c>
      <c r="D113" s="26">
        <f>IF($K113="","",INDEX(People!$D:$D,$K113)&amp;"")</f>
        <v/>
      </c>
      <c r="E113" s="26">
        <f>IF($K113="","",INDEX(People!$B:$B,$K113)&amp;"")</f>
        <v/>
      </c>
      <c r="F113" s="27">
        <f>IF($K113="","",INDEX(People!$E:$E,$K113)&amp;"")</f>
        <v/>
      </c>
      <c r="G113" s="27">
        <f>IF($K113="","",INDEX(People!$L:$L,$K113)&amp;"")</f>
        <v/>
      </c>
      <c r="H113" s="27">
        <f>IF($K113="","",INDEX(People!$M:$M,$K113)&amp;"")</f>
        <v/>
      </c>
      <c r="I113" s="6">
        <f>IF($K113="","",INDEX(People!$N:$N,$K113)&amp;"")</f>
        <v/>
      </c>
      <c r="J113">
        <f>IFERROR(SMALL(People!$Y$5:$Y$604,107),"")</f>
        <v/>
      </c>
      <c r="K113">
        <f>IF($J113="","",ROUND(MOD($J113,1)*100000,0))</f>
        <v/>
      </c>
    </row>
    <row r="114">
      <c r="A114" s="25">
        <f>IF($K114="","",IF(INDEX(People!$Q:$Q,$K114)="","no date",INDEX(People!$Q:$Q,$K114)))</f>
        <v/>
      </c>
      <c r="B114" s="26">
        <f>IF($K114="","",INDEX(People!$S:$S,$K114))</f>
        <v/>
      </c>
      <c r="C114" s="26">
        <f>IF($K114="","",INDEX(People!$A:$A,$K114)&amp;"")</f>
        <v/>
      </c>
      <c r="D114" s="26">
        <f>IF($K114="","",INDEX(People!$D:$D,$K114)&amp;"")</f>
        <v/>
      </c>
      <c r="E114" s="26">
        <f>IF($K114="","",INDEX(People!$B:$B,$K114)&amp;"")</f>
        <v/>
      </c>
      <c r="F114" s="27">
        <f>IF($K114="","",INDEX(People!$E:$E,$K114)&amp;"")</f>
        <v/>
      </c>
      <c r="G114" s="27">
        <f>IF($K114="","",INDEX(People!$L:$L,$K114)&amp;"")</f>
        <v/>
      </c>
      <c r="H114" s="27">
        <f>IF($K114="","",INDEX(People!$M:$M,$K114)&amp;"")</f>
        <v/>
      </c>
      <c r="I114" s="6">
        <f>IF($K114="","",INDEX(People!$N:$N,$K114)&amp;"")</f>
        <v/>
      </c>
      <c r="J114">
        <f>IFERROR(SMALL(People!$Y$5:$Y$604,108),"")</f>
        <v/>
      </c>
      <c r="K114">
        <f>IF($J114="","",ROUND(MOD($J114,1)*100000,0))</f>
        <v/>
      </c>
    </row>
    <row r="115">
      <c r="A115" s="25">
        <f>IF($K115="","",IF(INDEX(People!$Q:$Q,$K115)="","no date",INDEX(People!$Q:$Q,$K115)))</f>
        <v/>
      </c>
      <c r="B115" s="26">
        <f>IF($K115="","",INDEX(People!$S:$S,$K115))</f>
        <v/>
      </c>
      <c r="C115" s="26">
        <f>IF($K115="","",INDEX(People!$A:$A,$K115)&amp;"")</f>
        <v/>
      </c>
      <c r="D115" s="26">
        <f>IF($K115="","",INDEX(People!$D:$D,$K115)&amp;"")</f>
        <v/>
      </c>
      <c r="E115" s="26">
        <f>IF($K115="","",INDEX(People!$B:$B,$K115)&amp;"")</f>
        <v/>
      </c>
      <c r="F115" s="27">
        <f>IF($K115="","",INDEX(People!$E:$E,$K115)&amp;"")</f>
        <v/>
      </c>
      <c r="G115" s="27">
        <f>IF($K115="","",INDEX(People!$L:$L,$K115)&amp;"")</f>
        <v/>
      </c>
      <c r="H115" s="27">
        <f>IF($K115="","",INDEX(People!$M:$M,$K115)&amp;"")</f>
        <v/>
      </c>
      <c r="I115" s="6">
        <f>IF($K115="","",INDEX(People!$N:$N,$K115)&amp;"")</f>
        <v/>
      </c>
      <c r="J115">
        <f>IFERROR(SMALL(People!$Y$5:$Y$604,109),"")</f>
        <v/>
      </c>
      <c r="K115">
        <f>IF($J115="","",ROUND(MOD($J115,1)*100000,0))</f>
        <v/>
      </c>
    </row>
    <row r="116">
      <c r="A116" s="25">
        <f>IF($K116="","",IF(INDEX(People!$Q:$Q,$K116)="","no date",INDEX(People!$Q:$Q,$K116)))</f>
        <v/>
      </c>
      <c r="B116" s="26">
        <f>IF($K116="","",INDEX(People!$S:$S,$K116))</f>
        <v/>
      </c>
      <c r="C116" s="26">
        <f>IF($K116="","",INDEX(People!$A:$A,$K116)&amp;"")</f>
        <v/>
      </c>
      <c r="D116" s="26">
        <f>IF($K116="","",INDEX(People!$D:$D,$K116)&amp;"")</f>
        <v/>
      </c>
      <c r="E116" s="26">
        <f>IF($K116="","",INDEX(People!$B:$B,$K116)&amp;"")</f>
        <v/>
      </c>
      <c r="F116" s="27">
        <f>IF($K116="","",INDEX(People!$E:$E,$K116)&amp;"")</f>
        <v/>
      </c>
      <c r="G116" s="27">
        <f>IF($K116="","",INDEX(People!$L:$L,$K116)&amp;"")</f>
        <v/>
      </c>
      <c r="H116" s="27">
        <f>IF($K116="","",INDEX(People!$M:$M,$K116)&amp;"")</f>
        <v/>
      </c>
      <c r="I116" s="6">
        <f>IF($K116="","",INDEX(People!$N:$N,$K116)&amp;"")</f>
        <v/>
      </c>
      <c r="J116">
        <f>IFERROR(SMALL(People!$Y$5:$Y$604,110),"")</f>
        <v/>
      </c>
      <c r="K116">
        <f>IF($J116="","",ROUND(MOD($J116,1)*100000,0))</f>
        <v/>
      </c>
    </row>
    <row r="117">
      <c r="A117" s="25">
        <f>IF($K117="","",IF(INDEX(People!$Q:$Q,$K117)="","no date",INDEX(People!$Q:$Q,$K117)))</f>
        <v/>
      </c>
      <c r="B117" s="26">
        <f>IF($K117="","",INDEX(People!$S:$S,$K117))</f>
        <v/>
      </c>
      <c r="C117" s="26">
        <f>IF($K117="","",INDEX(People!$A:$A,$K117)&amp;"")</f>
        <v/>
      </c>
      <c r="D117" s="26">
        <f>IF($K117="","",INDEX(People!$D:$D,$K117)&amp;"")</f>
        <v/>
      </c>
      <c r="E117" s="26">
        <f>IF($K117="","",INDEX(People!$B:$B,$K117)&amp;"")</f>
        <v/>
      </c>
      <c r="F117" s="27">
        <f>IF($K117="","",INDEX(People!$E:$E,$K117)&amp;"")</f>
        <v/>
      </c>
      <c r="G117" s="27">
        <f>IF($K117="","",INDEX(People!$L:$L,$K117)&amp;"")</f>
        <v/>
      </c>
      <c r="H117" s="27">
        <f>IF($K117="","",INDEX(People!$M:$M,$K117)&amp;"")</f>
        <v/>
      </c>
      <c r="I117" s="6">
        <f>IF($K117="","",INDEX(People!$N:$N,$K117)&amp;"")</f>
        <v/>
      </c>
      <c r="J117">
        <f>IFERROR(SMALL(People!$Y$5:$Y$604,111),"")</f>
        <v/>
      </c>
      <c r="K117">
        <f>IF($J117="","",ROUND(MOD($J117,1)*100000,0))</f>
        <v/>
      </c>
    </row>
    <row r="118">
      <c r="A118" s="25">
        <f>IF($K118="","",IF(INDEX(People!$Q:$Q,$K118)="","no date",INDEX(People!$Q:$Q,$K118)))</f>
        <v/>
      </c>
      <c r="B118" s="26">
        <f>IF($K118="","",INDEX(People!$S:$S,$K118))</f>
        <v/>
      </c>
      <c r="C118" s="26">
        <f>IF($K118="","",INDEX(People!$A:$A,$K118)&amp;"")</f>
        <v/>
      </c>
      <c r="D118" s="26">
        <f>IF($K118="","",INDEX(People!$D:$D,$K118)&amp;"")</f>
        <v/>
      </c>
      <c r="E118" s="26">
        <f>IF($K118="","",INDEX(People!$B:$B,$K118)&amp;"")</f>
        <v/>
      </c>
      <c r="F118" s="27">
        <f>IF($K118="","",INDEX(People!$E:$E,$K118)&amp;"")</f>
        <v/>
      </c>
      <c r="G118" s="27">
        <f>IF($K118="","",INDEX(People!$L:$L,$K118)&amp;"")</f>
        <v/>
      </c>
      <c r="H118" s="27">
        <f>IF($K118="","",INDEX(People!$M:$M,$K118)&amp;"")</f>
        <v/>
      </c>
      <c r="I118" s="6">
        <f>IF($K118="","",INDEX(People!$N:$N,$K118)&amp;"")</f>
        <v/>
      </c>
      <c r="J118">
        <f>IFERROR(SMALL(People!$Y$5:$Y$604,112),"")</f>
        <v/>
      </c>
      <c r="K118">
        <f>IF($J118="","",ROUND(MOD($J118,1)*100000,0))</f>
        <v/>
      </c>
    </row>
    <row r="119">
      <c r="A119" s="25">
        <f>IF($K119="","",IF(INDEX(People!$Q:$Q,$K119)="","no date",INDEX(People!$Q:$Q,$K119)))</f>
        <v/>
      </c>
      <c r="B119" s="26">
        <f>IF($K119="","",INDEX(People!$S:$S,$K119))</f>
        <v/>
      </c>
      <c r="C119" s="26">
        <f>IF($K119="","",INDEX(People!$A:$A,$K119)&amp;"")</f>
        <v/>
      </c>
      <c r="D119" s="26">
        <f>IF($K119="","",INDEX(People!$D:$D,$K119)&amp;"")</f>
        <v/>
      </c>
      <c r="E119" s="26">
        <f>IF($K119="","",INDEX(People!$B:$B,$K119)&amp;"")</f>
        <v/>
      </c>
      <c r="F119" s="27">
        <f>IF($K119="","",INDEX(People!$E:$E,$K119)&amp;"")</f>
        <v/>
      </c>
      <c r="G119" s="27">
        <f>IF($K119="","",INDEX(People!$L:$L,$K119)&amp;"")</f>
        <v/>
      </c>
      <c r="H119" s="27">
        <f>IF($K119="","",INDEX(People!$M:$M,$K119)&amp;"")</f>
        <v/>
      </c>
      <c r="I119" s="6">
        <f>IF($K119="","",INDEX(People!$N:$N,$K119)&amp;"")</f>
        <v/>
      </c>
      <c r="J119">
        <f>IFERROR(SMALL(People!$Y$5:$Y$604,113),"")</f>
        <v/>
      </c>
      <c r="K119">
        <f>IF($J119="","",ROUND(MOD($J119,1)*100000,0))</f>
        <v/>
      </c>
    </row>
    <row r="120">
      <c r="A120" s="25">
        <f>IF($K120="","",IF(INDEX(People!$Q:$Q,$K120)="","no date",INDEX(People!$Q:$Q,$K120)))</f>
        <v/>
      </c>
      <c r="B120" s="26">
        <f>IF($K120="","",INDEX(People!$S:$S,$K120))</f>
        <v/>
      </c>
      <c r="C120" s="26">
        <f>IF($K120="","",INDEX(People!$A:$A,$K120)&amp;"")</f>
        <v/>
      </c>
      <c r="D120" s="26">
        <f>IF($K120="","",INDEX(People!$D:$D,$K120)&amp;"")</f>
        <v/>
      </c>
      <c r="E120" s="26">
        <f>IF($K120="","",INDEX(People!$B:$B,$K120)&amp;"")</f>
        <v/>
      </c>
      <c r="F120" s="27">
        <f>IF($K120="","",INDEX(People!$E:$E,$K120)&amp;"")</f>
        <v/>
      </c>
      <c r="G120" s="27">
        <f>IF($K120="","",INDEX(People!$L:$L,$K120)&amp;"")</f>
        <v/>
      </c>
      <c r="H120" s="27">
        <f>IF($K120="","",INDEX(People!$M:$M,$K120)&amp;"")</f>
        <v/>
      </c>
      <c r="I120" s="6">
        <f>IF($K120="","",INDEX(People!$N:$N,$K120)&amp;"")</f>
        <v/>
      </c>
      <c r="J120">
        <f>IFERROR(SMALL(People!$Y$5:$Y$604,114),"")</f>
        <v/>
      </c>
      <c r="K120">
        <f>IF($J120="","",ROUND(MOD($J120,1)*100000,0))</f>
        <v/>
      </c>
    </row>
    <row r="121">
      <c r="A121" s="25">
        <f>IF($K121="","",IF(INDEX(People!$Q:$Q,$K121)="","no date",INDEX(People!$Q:$Q,$K121)))</f>
        <v/>
      </c>
      <c r="B121" s="26">
        <f>IF($K121="","",INDEX(People!$S:$S,$K121))</f>
        <v/>
      </c>
      <c r="C121" s="26">
        <f>IF($K121="","",INDEX(People!$A:$A,$K121)&amp;"")</f>
        <v/>
      </c>
      <c r="D121" s="26">
        <f>IF($K121="","",INDEX(People!$D:$D,$K121)&amp;"")</f>
        <v/>
      </c>
      <c r="E121" s="26">
        <f>IF($K121="","",INDEX(People!$B:$B,$K121)&amp;"")</f>
        <v/>
      </c>
      <c r="F121" s="27">
        <f>IF($K121="","",INDEX(People!$E:$E,$K121)&amp;"")</f>
        <v/>
      </c>
      <c r="G121" s="27">
        <f>IF($K121="","",INDEX(People!$L:$L,$K121)&amp;"")</f>
        <v/>
      </c>
      <c r="H121" s="27">
        <f>IF($K121="","",INDEX(People!$M:$M,$K121)&amp;"")</f>
        <v/>
      </c>
      <c r="I121" s="6">
        <f>IF($K121="","",INDEX(People!$N:$N,$K121)&amp;"")</f>
        <v/>
      </c>
      <c r="J121">
        <f>IFERROR(SMALL(People!$Y$5:$Y$604,115),"")</f>
        <v/>
      </c>
      <c r="K121">
        <f>IF($J121="","",ROUND(MOD($J121,1)*100000,0))</f>
        <v/>
      </c>
    </row>
    <row r="122">
      <c r="A122" s="25">
        <f>IF($K122="","",IF(INDEX(People!$Q:$Q,$K122)="","no date",INDEX(People!$Q:$Q,$K122)))</f>
        <v/>
      </c>
      <c r="B122" s="26">
        <f>IF($K122="","",INDEX(People!$S:$S,$K122))</f>
        <v/>
      </c>
      <c r="C122" s="26">
        <f>IF($K122="","",INDEX(People!$A:$A,$K122)&amp;"")</f>
        <v/>
      </c>
      <c r="D122" s="26">
        <f>IF($K122="","",INDEX(People!$D:$D,$K122)&amp;"")</f>
        <v/>
      </c>
      <c r="E122" s="26">
        <f>IF($K122="","",INDEX(People!$B:$B,$K122)&amp;"")</f>
        <v/>
      </c>
      <c r="F122" s="27">
        <f>IF($K122="","",INDEX(People!$E:$E,$K122)&amp;"")</f>
        <v/>
      </c>
      <c r="G122" s="27">
        <f>IF($K122="","",INDEX(People!$L:$L,$K122)&amp;"")</f>
        <v/>
      </c>
      <c r="H122" s="27">
        <f>IF($K122="","",INDEX(People!$M:$M,$K122)&amp;"")</f>
        <v/>
      </c>
      <c r="I122" s="6">
        <f>IF($K122="","",INDEX(People!$N:$N,$K122)&amp;"")</f>
        <v/>
      </c>
      <c r="J122">
        <f>IFERROR(SMALL(People!$Y$5:$Y$604,116),"")</f>
        <v/>
      </c>
      <c r="K122">
        <f>IF($J122="","",ROUND(MOD($J122,1)*100000,0))</f>
        <v/>
      </c>
    </row>
    <row r="123">
      <c r="A123" s="25">
        <f>IF($K123="","",IF(INDEX(People!$Q:$Q,$K123)="","no date",INDEX(People!$Q:$Q,$K123)))</f>
        <v/>
      </c>
      <c r="B123" s="26">
        <f>IF($K123="","",INDEX(People!$S:$S,$K123))</f>
        <v/>
      </c>
      <c r="C123" s="26">
        <f>IF($K123="","",INDEX(People!$A:$A,$K123)&amp;"")</f>
        <v/>
      </c>
      <c r="D123" s="26">
        <f>IF($K123="","",INDEX(People!$D:$D,$K123)&amp;"")</f>
        <v/>
      </c>
      <c r="E123" s="26">
        <f>IF($K123="","",INDEX(People!$B:$B,$K123)&amp;"")</f>
        <v/>
      </c>
      <c r="F123" s="27">
        <f>IF($K123="","",INDEX(People!$E:$E,$K123)&amp;"")</f>
        <v/>
      </c>
      <c r="G123" s="27">
        <f>IF($K123="","",INDEX(People!$L:$L,$K123)&amp;"")</f>
        <v/>
      </c>
      <c r="H123" s="27">
        <f>IF($K123="","",INDEX(People!$M:$M,$K123)&amp;"")</f>
        <v/>
      </c>
      <c r="I123" s="6">
        <f>IF($K123="","",INDEX(People!$N:$N,$K123)&amp;"")</f>
        <v/>
      </c>
      <c r="J123">
        <f>IFERROR(SMALL(People!$Y$5:$Y$604,117),"")</f>
        <v/>
      </c>
      <c r="K123">
        <f>IF($J123="","",ROUND(MOD($J123,1)*100000,0))</f>
        <v/>
      </c>
    </row>
    <row r="124">
      <c r="A124" s="25">
        <f>IF($K124="","",IF(INDEX(People!$Q:$Q,$K124)="","no date",INDEX(People!$Q:$Q,$K124)))</f>
        <v/>
      </c>
      <c r="B124" s="26">
        <f>IF($K124="","",INDEX(People!$S:$S,$K124))</f>
        <v/>
      </c>
      <c r="C124" s="26">
        <f>IF($K124="","",INDEX(People!$A:$A,$K124)&amp;"")</f>
        <v/>
      </c>
      <c r="D124" s="26">
        <f>IF($K124="","",INDEX(People!$D:$D,$K124)&amp;"")</f>
        <v/>
      </c>
      <c r="E124" s="26">
        <f>IF($K124="","",INDEX(People!$B:$B,$K124)&amp;"")</f>
        <v/>
      </c>
      <c r="F124" s="27">
        <f>IF($K124="","",INDEX(People!$E:$E,$K124)&amp;"")</f>
        <v/>
      </c>
      <c r="G124" s="27">
        <f>IF($K124="","",INDEX(People!$L:$L,$K124)&amp;"")</f>
        <v/>
      </c>
      <c r="H124" s="27">
        <f>IF($K124="","",INDEX(People!$M:$M,$K124)&amp;"")</f>
        <v/>
      </c>
      <c r="I124" s="6">
        <f>IF($K124="","",INDEX(People!$N:$N,$K124)&amp;"")</f>
        <v/>
      </c>
      <c r="J124">
        <f>IFERROR(SMALL(People!$Y$5:$Y$604,118),"")</f>
        <v/>
      </c>
      <c r="K124">
        <f>IF($J124="","",ROUND(MOD($J124,1)*100000,0))</f>
        <v/>
      </c>
    </row>
    <row r="125">
      <c r="A125" s="25">
        <f>IF($K125="","",IF(INDEX(People!$Q:$Q,$K125)="","no date",INDEX(People!$Q:$Q,$K125)))</f>
        <v/>
      </c>
      <c r="B125" s="26">
        <f>IF($K125="","",INDEX(People!$S:$S,$K125))</f>
        <v/>
      </c>
      <c r="C125" s="26">
        <f>IF($K125="","",INDEX(People!$A:$A,$K125)&amp;"")</f>
        <v/>
      </c>
      <c r="D125" s="26">
        <f>IF($K125="","",INDEX(People!$D:$D,$K125)&amp;"")</f>
        <v/>
      </c>
      <c r="E125" s="26">
        <f>IF($K125="","",INDEX(People!$B:$B,$K125)&amp;"")</f>
        <v/>
      </c>
      <c r="F125" s="27">
        <f>IF($K125="","",INDEX(People!$E:$E,$K125)&amp;"")</f>
        <v/>
      </c>
      <c r="G125" s="27">
        <f>IF($K125="","",INDEX(People!$L:$L,$K125)&amp;"")</f>
        <v/>
      </c>
      <c r="H125" s="27">
        <f>IF($K125="","",INDEX(People!$M:$M,$K125)&amp;"")</f>
        <v/>
      </c>
      <c r="I125" s="6">
        <f>IF($K125="","",INDEX(People!$N:$N,$K125)&amp;"")</f>
        <v/>
      </c>
      <c r="J125">
        <f>IFERROR(SMALL(People!$Y$5:$Y$604,119),"")</f>
        <v/>
      </c>
      <c r="K125">
        <f>IF($J125="","",ROUND(MOD($J125,1)*100000,0))</f>
        <v/>
      </c>
    </row>
    <row r="126">
      <c r="A126" s="25">
        <f>IF($K126="","",IF(INDEX(People!$Q:$Q,$K126)="","no date",INDEX(People!$Q:$Q,$K126)))</f>
        <v/>
      </c>
      <c r="B126" s="26">
        <f>IF($K126="","",INDEX(People!$S:$S,$K126))</f>
        <v/>
      </c>
      <c r="C126" s="26">
        <f>IF($K126="","",INDEX(People!$A:$A,$K126)&amp;"")</f>
        <v/>
      </c>
      <c r="D126" s="26">
        <f>IF($K126="","",INDEX(People!$D:$D,$K126)&amp;"")</f>
        <v/>
      </c>
      <c r="E126" s="26">
        <f>IF($K126="","",INDEX(People!$B:$B,$K126)&amp;"")</f>
        <v/>
      </c>
      <c r="F126" s="27">
        <f>IF($K126="","",INDEX(People!$E:$E,$K126)&amp;"")</f>
        <v/>
      </c>
      <c r="G126" s="27">
        <f>IF($K126="","",INDEX(People!$L:$L,$K126)&amp;"")</f>
        <v/>
      </c>
      <c r="H126" s="27">
        <f>IF($K126="","",INDEX(People!$M:$M,$K126)&amp;"")</f>
        <v/>
      </c>
      <c r="I126" s="6">
        <f>IF($K126="","",INDEX(People!$N:$N,$K126)&amp;"")</f>
        <v/>
      </c>
      <c r="J126">
        <f>IFERROR(SMALL(People!$Y$5:$Y$604,120),"")</f>
        <v/>
      </c>
      <c r="K126">
        <f>IF($J126="","",ROUND(MOD($J126,1)*100000,0))</f>
        <v/>
      </c>
    </row>
    <row r="127">
      <c r="A127" s="25">
        <f>IF($K127="","",IF(INDEX(People!$Q:$Q,$K127)="","no date",INDEX(People!$Q:$Q,$K127)))</f>
        <v/>
      </c>
      <c r="B127" s="26">
        <f>IF($K127="","",INDEX(People!$S:$S,$K127))</f>
        <v/>
      </c>
      <c r="C127" s="26">
        <f>IF($K127="","",INDEX(People!$A:$A,$K127)&amp;"")</f>
        <v/>
      </c>
      <c r="D127" s="26">
        <f>IF($K127="","",INDEX(People!$D:$D,$K127)&amp;"")</f>
        <v/>
      </c>
      <c r="E127" s="26">
        <f>IF($K127="","",INDEX(People!$B:$B,$K127)&amp;"")</f>
        <v/>
      </c>
      <c r="F127" s="27">
        <f>IF($K127="","",INDEX(People!$E:$E,$K127)&amp;"")</f>
        <v/>
      </c>
      <c r="G127" s="27">
        <f>IF($K127="","",INDEX(People!$L:$L,$K127)&amp;"")</f>
        <v/>
      </c>
      <c r="H127" s="27">
        <f>IF($K127="","",INDEX(People!$M:$M,$K127)&amp;"")</f>
        <v/>
      </c>
      <c r="I127" s="6">
        <f>IF($K127="","",INDEX(People!$N:$N,$K127)&amp;"")</f>
        <v/>
      </c>
      <c r="J127">
        <f>IFERROR(SMALL(People!$Y$5:$Y$604,121),"")</f>
        <v/>
      </c>
      <c r="K127">
        <f>IF($J127="","",ROUND(MOD($J127,1)*100000,0))</f>
        <v/>
      </c>
    </row>
    <row r="128">
      <c r="A128" s="25">
        <f>IF($K128="","",IF(INDEX(People!$Q:$Q,$K128)="","no date",INDEX(People!$Q:$Q,$K128)))</f>
        <v/>
      </c>
      <c r="B128" s="26">
        <f>IF($K128="","",INDEX(People!$S:$S,$K128))</f>
        <v/>
      </c>
      <c r="C128" s="26">
        <f>IF($K128="","",INDEX(People!$A:$A,$K128)&amp;"")</f>
        <v/>
      </c>
      <c r="D128" s="26">
        <f>IF($K128="","",INDEX(People!$D:$D,$K128)&amp;"")</f>
        <v/>
      </c>
      <c r="E128" s="26">
        <f>IF($K128="","",INDEX(People!$B:$B,$K128)&amp;"")</f>
        <v/>
      </c>
      <c r="F128" s="27">
        <f>IF($K128="","",INDEX(People!$E:$E,$K128)&amp;"")</f>
        <v/>
      </c>
      <c r="G128" s="27">
        <f>IF($K128="","",INDEX(People!$L:$L,$K128)&amp;"")</f>
        <v/>
      </c>
      <c r="H128" s="27">
        <f>IF($K128="","",INDEX(People!$M:$M,$K128)&amp;"")</f>
        <v/>
      </c>
      <c r="I128" s="6">
        <f>IF($K128="","",INDEX(People!$N:$N,$K128)&amp;"")</f>
        <v/>
      </c>
      <c r="J128">
        <f>IFERROR(SMALL(People!$Y$5:$Y$604,122),"")</f>
        <v/>
      </c>
      <c r="K128">
        <f>IF($J128="","",ROUND(MOD($J128,1)*100000,0))</f>
        <v/>
      </c>
    </row>
    <row r="129">
      <c r="A129" s="25">
        <f>IF($K129="","",IF(INDEX(People!$Q:$Q,$K129)="","no date",INDEX(People!$Q:$Q,$K129)))</f>
        <v/>
      </c>
      <c r="B129" s="26">
        <f>IF($K129="","",INDEX(People!$S:$S,$K129))</f>
        <v/>
      </c>
      <c r="C129" s="26">
        <f>IF($K129="","",INDEX(People!$A:$A,$K129)&amp;"")</f>
        <v/>
      </c>
      <c r="D129" s="26">
        <f>IF($K129="","",INDEX(People!$D:$D,$K129)&amp;"")</f>
        <v/>
      </c>
      <c r="E129" s="26">
        <f>IF($K129="","",INDEX(People!$B:$B,$K129)&amp;"")</f>
        <v/>
      </c>
      <c r="F129" s="27">
        <f>IF($K129="","",INDEX(People!$E:$E,$K129)&amp;"")</f>
        <v/>
      </c>
      <c r="G129" s="27">
        <f>IF($K129="","",INDEX(People!$L:$L,$K129)&amp;"")</f>
        <v/>
      </c>
      <c r="H129" s="27">
        <f>IF($K129="","",INDEX(People!$M:$M,$K129)&amp;"")</f>
        <v/>
      </c>
      <c r="I129" s="6">
        <f>IF($K129="","",INDEX(People!$N:$N,$K129)&amp;"")</f>
        <v/>
      </c>
      <c r="J129">
        <f>IFERROR(SMALL(People!$Y$5:$Y$604,123),"")</f>
        <v/>
      </c>
      <c r="K129">
        <f>IF($J129="","",ROUND(MOD($J129,1)*100000,0))</f>
        <v/>
      </c>
    </row>
    <row r="130">
      <c r="A130" s="25">
        <f>IF($K130="","",IF(INDEX(People!$Q:$Q,$K130)="","no date",INDEX(People!$Q:$Q,$K130)))</f>
        <v/>
      </c>
      <c r="B130" s="26">
        <f>IF($K130="","",INDEX(People!$S:$S,$K130))</f>
        <v/>
      </c>
      <c r="C130" s="26">
        <f>IF($K130="","",INDEX(People!$A:$A,$K130)&amp;"")</f>
        <v/>
      </c>
      <c r="D130" s="26">
        <f>IF($K130="","",INDEX(People!$D:$D,$K130)&amp;"")</f>
        <v/>
      </c>
      <c r="E130" s="26">
        <f>IF($K130="","",INDEX(People!$B:$B,$K130)&amp;"")</f>
        <v/>
      </c>
      <c r="F130" s="27">
        <f>IF($K130="","",INDEX(People!$E:$E,$K130)&amp;"")</f>
        <v/>
      </c>
      <c r="G130" s="27">
        <f>IF($K130="","",INDEX(People!$L:$L,$K130)&amp;"")</f>
        <v/>
      </c>
      <c r="H130" s="27">
        <f>IF($K130="","",INDEX(People!$M:$M,$K130)&amp;"")</f>
        <v/>
      </c>
      <c r="I130" s="6">
        <f>IF($K130="","",INDEX(People!$N:$N,$K130)&amp;"")</f>
        <v/>
      </c>
      <c r="J130">
        <f>IFERROR(SMALL(People!$Y$5:$Y$604,124),"")</f>
        <v/>
      </c>
      <c r="K130">
        <f>IF($J130="","",ROUND(MOD($J130,1)*100000,0))</f>
        <v/>
      </c>
    </row>
    <row r="131">
      <c r="A131" s="25">
        <f>IF($K131="","",IF(INDEX(People!$Q:$Q,$K131)="","no date",INDEX(People!$Q:$Q,$K131)))</f>
        <v/>
      </c>
      <c r="B131" s="26">
        <f>IF($K131="","",INDEX(People!$S:$S,$K131))</f>
        <v/>
      </c>
      <c r="C131" s="26">
        <f>IF($K131="","",INDEX(People!$A:$A,$K131)&amp;"")</f>
        <v/>
      </c>
      <c r="D131" s="26">
        <f>IF($K131="","",INDEX(People!$D:$D,$K131)&amp;"")</f>
        <v/>
      </c>
      <c r="E131" s="26">
        <f>IF($K131="","",INDEX(People!$B:$B,$K131)&amp;"")</f>
        <v/>
      </c>
      <c r="F131" s="27">
        <f>IF($K131="","",INDEX(People!$E:$E,$K131)&amp;"")</f>
        <v/>
      </c>
      <c r="G131" s="27">
        <f>IF($K131="","",INDEX(People!$L:$L,$K131)&amp;"")</f>
        <v/>
      </c>
      <c r="H131" s="27">
        <f>IF($K131="","",INDEX(People!$M:$M,$K131)&amp;"")</f>
        <v/>
      </c>
      <c r="I131" s="6">
        <f>IF($K131="","",INDEX(People!$N:$N,$K131)&amp;"")</f>
        <v/>
      </c>
      <c r="J131">
        <f>IFERROR(SMALL(People!$Y$5:$Y$604,125),"")</f>
        <v/>
      </c>
      <c r="K131">
        <f>IF($J131="","",ROUND(MOD($J131,1)*100000,0))</f>
        <v/>
      </c>
    </row>
    <row r="132">
      <c r="A132" s="25">
        <f>IF($K132="","",IF(INDEX(People!$Q:$Q,$K132)="","no date",INDEX(People!$Q:$Q,$K132)))</f>
        <v/>
      </c>
      <c r="B132" s="26">
        <f>IF($K132="","",INDEX(People!$S:$S,$K132))</f>
        <v/>
      </c>
      <c r="C132" s="26">
        <f>IF($K132="","",INDEX(People!$A:$A,$K132)&amp;"")</f>
        <v/>
      </c>
      <c r="D132" s="26">
        <f>IF($K132="","",INDEX(People!$D:$D,$K132)&amp;"")</f>
        <v/>
      </c>
      <c r="E132" s="26">
        <f>IF($K132="","",INDEX(People!$B:$B,$K132)&amp;"")</f>
        <v/>
      </c>
      <c r="F132" s="27">
        <f>IF($K132="","",INDEX(People!$E:$E,$K132)&amp;"")</f>
        <v/>
      </c>
      <c r="G132" s="27">
        <f>IF($K132="","",INDEX(People!$L:$L,$K132)&amp;"")</f>
        <v/>
      </c>
      <c r="H132" s="27">
        <f>IF($K132="","",INDEX(People!$M:$M,$K132)&amp;"")</f>
        <v/>
      </c>
      <c r="I132" s="6">
        <f>IF($K132="","",INDEX(People!$N:$N,$K132)&amp;"")</f>
        <v/>
      </c>
      <c r="J132">
        <f>IFERROR(SMALL(People!$Y$5:$Y$604,126),"")</f>
        <v/>
      </c>
      <c r="K132">
        <f>IF($J132="","",ROUND(MOD($J132,1)*100000,0))</f>
        <v/>
      </c>
    </row>
    <row r="133">
      <c r="A133" s="25">
        <f>IF($K133="","",IF(INDEX(People!$Q:$Q,$K133)="","no date",INDEX(People!$Q:$Q,$K133)))</f>
        <v/>
      </c>
      <c r="B133" s="26">
        <f>IF($K133="","",INDEX(People!$S:$S,$K133))</f>
        <v/>
      </c>
      <c r="C133" s="26">
        <f>IF($K133="","",INDEX(People!$A:$A,$K133)&amp;"")</f>
        <v/>
      </c>
      <c r="D133" s="26">
        <f>IF($K133="","",INDEX(People!$D:$D,$K133)&amp;"")</f>
        <v/>
      </c>
      <c r="E133" s="26">
        <f>IF($K133="","",INDEX(People!$B:$B,$K133)&amp;"")</f>
        <v/>
      </c>
      <c r="F133" s="27">
        <f>IF($K133="","",INDEX(People!$E:$E,$K133)&amp;"")</f>
        <v/>
      </c>
      <c r="G133" s="27">
        <f>IF($K133="","",INDEX(People!$L:$L,$K133)&amp;"")</f>
        <v/>
      </c>
      <c r="H133" s="27">
        <f>IF($K133="","",INDEX(People!$M:$M,$K133)&amp;"")</f>
        <v/>
      </c>
      <c r="I133" s="6">
        <f>IF($K133="","",INDEX(People!$N:$N,$K133)&amp;"")</f>
        <v/>
      </c>
      <c r="J133">
        <f>IFERROR(SMALL(People!$Y$5:$Y$604,127),"")</f>
        <v/>
      </c>
      <c r="K133">
        <f>IF($J133="","",ROUND(MOD($J133,1)*100000,0))</f>
        <v/>
      </c>
    </row>
    <row r="134">
      <c r="A134" s="25">
        <f>IF($K134="","",IF(INDEX(People!$Q:$Q,$K134)="","no date",INDEX(People!$Q:$Q,$K134)))</f>
        <v/>
      </c>
      <c r="B134" s="26">
        <f>IF($K134="","",INDEX(People!$S:$S,$K134))</f>
        <v/>
      </c>
      <c r="C134" s="26">
        <f>IF($K134="","",INDEX(People!$A:$A,$K134)&amp;"")</f>
        <v/>
      </c>
      <c r="D134" s="26">
        <f>IF($K134="","",INDEX(People!$D:$D,$K134)&amp;"")</f>
        <v/>
      </c>
      <c r="E134" s="26">
        <f>IF($K134="","",INDEX(People!$B:$B,$K134)&amp;"")</f>
        <v/>
      </c>
      <c r="F134" s="27">
        <f>IF($K134="","",INDEX(People!$E:$E,$K134)&amp;"")</f>
        <v/>
      </c>
      <c r="G134" s="27">
        <f>IF($K134="","",INDEX(People!$L:$L,$K134)&amp;"")</f>
        <v/>
      </c>
      <c r="H134" s="27">
        <f>IF($K134="","",INDEX(People!$M:$M,$K134)&amp;"")</f>
        <v/>
      </c>
      <c r="I134" s="6">
        <f>IF($K134="","",INDEX(People!$N:$N,$K134)&amp;"")</f>
        <v/>
      </c>
      <c r="J134">
        <f>IFERROR(SMALL(People!$Y$5:$Y$604,128),"")</f>
        <v/>
      </c>
      <c r="K134">
        <f>IF($J134="","",ROUND(MOD($J134,1)*100000,0))</f>
        <v/>
      </c>
    </row>
    <row r="135">
      <c r="A135" s="25">
        <f>IF($K135="","",IF(INDEX(People!$Q:$Q,$K135)="","no date",INDEX(People!$Q:$Q,$K135)))</f>
        <v/>
      </c>
      <c r="B135" s="26">
        <f>IF($K135="","",INDEX(People!$S:$S,$K135))</f>
        <v/>
      </c>
      <c r="C135" s="26">
        <f>IF($K135="","",INDEX(People!$A:$A,$K135)&amp;"")</f>
        <v/>
      </c>
      <c r="D135" s="26">
        <f>IF($K135="","",INDEX(People!$D:$D,$K135)&amp;"")</f>
        <v/>
      </c>
      <c r="E135" s="26">
        <f>IF($K135="","",INDEX(People!$B:$B,$K135)&amp;"")</f>
        <v/>
      </c>
      <c r="F135" s="27">
        <f>IF($K135="","",INDEX(People!$E:$E,$K135)&amp;"")</f>
        <v/>
      </c>
      <c r="G135" s="27">
        <f>IF($K135="","",INDEX(People!$L:$L,$K135)&amp;"")</f>
        <v/>
      </c>
      <c r="H135" s="27">
        <f>IF($K135="","",INDEX(People!$M:$M,$K135)&amp;"")</f>
        <v/>
      </c>
      <c r="I135" s="6">
        <f>IF($K135="","",INDEX(People!$N:$N,$K135)&amp;"")</f>
        <v/>
      </c>
      <c r="J135">
        <f>IFERROR(SMALL(People!$Y$5:$Y$604,129),"")</f>
        <v/>
      </c>
      <c r="K135">
        <f>IF($J135="","",ROUND(MOD($J135,1)*100000,0))</f>
        <v/>
      </c>
    </row>
    <row r="136">
      <c r="A136" s="25">
        <f>IF($K136="","",IF(INDEX(People!$Q:$Q,$K136)="","no date",INDEX(People!$Q:$Q,$K136)))</f>
        <v/>
      </c>
      <c r="B136" s="26">
        <f>IF($K136="","",INDEX(People!$S:$S,$K136))</f>
        <v/>
      </c>
      <c r="C136" s="26">
        <f>IF($K136="","",INDEX(People!$A:$A,$K136)&amp;"")</f>
        <v/>
      </c>
      <c r="D136" s="26">
        <f>IF($K136="","",INDEX(People!$D:$D,$K136)&amp;"")</f>
        <v/>
      </c>
      <c r="E136" s="26">
        <f>IF($K136="","",INDEX(People!$B:$B,$K136)&amp;"")</f>
        <v/>
      </c>
      <c r="F136" s="27">
        <f>IF($K136="","",INDEX(People!$E:$E,$K136)&amp;"")</f>
        <v/>
      </c>
      <c r="G136" s="27">
        <f>IF($K136="","",INDEX(People!$L:$L,$K136)&amp;"")</f>
        <v/>
      </c>
      <c r="H136" s="27">
        <f>IF($K136="","",INDEX(People!$M:$M,$K136)&amp;"")</f>
        <v/>
      </c>
      <c r="I136" s="6">
        <f>IF($K136="","",INDEX(People!$N:$N,$K136)&amp;"")</f>
        <v/>
      </c>
      <c r="J136">
        <f>IFERROR(SMALL(People!$Y$5:$Y$604,130),"")</f>
        <v/>
      </c>
      <c r="K136">
        <f>IF($J136="","",ROUND(MOD($J136,1)*100000,0))</f>
        <v/>
      </c>
    </row>
    <row r="137">
      <c r="A137" s="25">
        <f>IF($K137="","",IF(INDEX(People!$Q:$Q,$K137)="","no date",INDEX(People!$Q:$Q,$K137)))</f>
        <v/>
      </c>
      <c r="B137" s="26">
        <f>IF($K137="","",INDEX(People!$S:$S,$K137))</f>
        <v/>
      </c>
      <c r="C137" s="26">
        <f>IF($K137="","",INDEX(People!$A:$A,$K137)&amp;"")</f>
        <v/>
      </c>
      <c r="D137" s="26">
        <f>IF($K137="","",INDEX(People!$D:$D,$K137)&amp;"")</f>
        <v/>
      </c>
      <c r="E137" s="26">
        <f>IF($K137="","",INDEX(People!$B:$B,$K137)&amp;"")</f>
        <v/>
      </c>
      <c r="F137" s="27">
        <f>IF($K137="","",INDEX(People!$E:$E,$K137)&amp;"")</f>
        <v/>
      </c>
      <c r="G137" s="27">
        <f>IF($K137="","",INDEX(People!$L:$L,$K137)&amp;"")</f>
        <v/>
      </c>
      <c r="H137" s="27">
        <f>IF($K137="","",INDEX(People!$M:$M,$K137)&amp;"")</f>
        <v/>
      </c>
      <c r="I137" s="6">
        <f>IF($K137="","",INDEX(People!$N:$N,$K137)&amp;"")</f>
        <v/>
      </c>
      <c r="J137">
        <f>IFERROR(SMALL(People!$Y$5:$Y$604,131),"")</f>
        <v/>
      </c>
      <c r="K137">
        <f>IF($J137="","",ROUND(MOD($J137,1)*100000,0))</f>
        <v/>
      </c>
    </row>
    <row r="138">
      <c r="A138" s="25">
        <f>IF($K138="","",IF(INDEX(People!$Q:$Q,$K138)="","no date",INDEX(People!$Q:$Q,$K138)))</f>
        <v/>
      </c>
      <c r="B138" s="26">
        <f>IF($K138="","",INDEX(People!$S:$S,$K138))</f>
        <v/>
      </c>
      <c r="C138" s="26">
        <f>IF($K138="","",INDEX(People!$A:$A,$K138)&amp;"")</f>
        <v/>
      </c>
      <c r="D138" s="26">
        <f>IF($K138="","",INDEX(People!$D:$D,$K138)&amp;"")</f>
        <v/>
      </c>
      <c r="E138" s="26">
        <f>IF($K138="","",INDEX(People!$B:$B,$K138)&amp;"")</f>
        <v/>
      </c>
      <c r="F138" s="27">
        <f>IF($K138="","",INDEX(People!$E:$E,$K138)&amp;"")</f>
        <v/>
      </c>
      <c r="G138" s="27">
        <f>IF($K138="","",INDEX(People!$L:$L,$K138)&amp;"")</f>
        <v/>
      </c>
      <c r="H138" s="27">
        <f>IF($K138="","",INDEX(People!$M:$M,$K138)&amp;"")</f>
        <v/>
      </c>
      <c r="I138" s="6">
        <f>IF($K138="","",INDEX(People!$N:$N,$K138)&amp;"")</f>
        <v/>
      </c>
      <c r="J138">
        <f>IFERROR(SMALL(People!$Y$5:$Y$604,132),"")</f>
        <v/>
      </c>
      <c r="K138">
        <f>IF($J138="","",ROUND(MOD($J138,1)*100000,0))</f>
        <v/>
      </c>
    </row>
    <row r="139">
      <c r="A139" s="25">
        <f>IF($K139="","",IF(INDEX(People!$Q:$Q,$K139)="","no date",INDEX(People!$Q:$Q,$K139)))</f>
        <v/>
      </c>
      <c r="B139" s="26">
        <f>IF($K139="","",INDEX(People!$S:$S,$K139))</f>
        <v/>
      </c>
      <c r="C139" s="26">
        <f>IF($K139="","",INDEX(People!$A:$A,$K139)&amp;"")</f>
        <v/>
      </c>
      <c r="D139" s="26">
        <f>IF($K139="","",INDEX(People!$D:$D,$K139)&amp;"")</f>
        <v/>
      </c>
      <c r="E139" s="26">
        <f>IF($K139="","",INDEX(People!$B:$B,$K139)&amp;"")</f>
        <v/>
      </c>
      <c r="F139" s="27">
        <f>IF($K139="","",INDEX(People!$E:$E,$K139)&amp;"")</f>
        <v/>
      </c>
      <c r="G139" s="27">
        <f>IF($K139="","",INDEX(People!$L:$L,$K139)&amp;"")</f>
        <v/>
      </c>
      <c r="H139" s="27">
        <f>IF($K139="","",INDEX(People!$M:$M,$K139)&amp;"")</f>
        <v/>
      </c>
      <c r="I139" s="6">
        <f>IF($K139="","",INDEX(People!$N:$N,$K139)&amp;"")</f>
        <v/>
      </c>
      <c r="J139">
        <f>IFERROR(SMALL(People!$Y$5:$Y$604,133),"")</f>
        <v/>
      </c>
      <c r="K139">
        <f>IF($J139="","",ROUND(MOD($J139,1)*100000,0))</f>
        <v/>
      </c>
    </row>
    <row r="140">
      <c r="A140" s="25">
        <f>IF($K140="","",IF(INDEX(People!$Q:$Q,$K140)="","no date",INDEX(People!$Q:$Q,$K140)))</f>
        <v/>
      </c>
      <c r="B140" s="26">
        <f>IF($K140="","",INDEX(People!$S:$S,$K140))</f>
        <v/>
      </c>
      <c r="C140" s="26">
        <f>IF($K140="","",INDEX(People!$A:$A,$K140)&amp;"")</f>
        <v/>
      </c>
      <c r="D140" s="26">
        <f>IF($K140="","",INDEX(People!$D:$D,$K140)&amp;"")</f>
        <v/>
      </c>
      <c r="E140" s="26">
        <f>IF($K140="","",INDEX(People!$B:$B,$K140)&amp;"")</f>
        <v/>
      </c>
      <c r="F140" s="27">
        <f>IF($K140="","",INDEX(People!$E:$E,$K140)&amp;"")</f>
        <v/>
      </c>
      <c r="G140" s="27">
        <f>IF($K140="","",INDEX(People!$L:$L,$K140)&amp;"")</f>
        <v/>
      </c>
      <c r="H140" s="27">
        <f>IF($K140="","",INDEX(People!$M:$M,$K140)&amp;"")</f>
        <v/>
      </c>
      <c r="I140" s="6">
        <f>IF($K140="","",INDEX(People!$N:$N,$K140)&amp;"")</f>
        <v/>
      </c>
      <c r="J140">
        <f>IFERROR(SMALL(People!$Y$5:$Y$604,134),"")</f>
        <v/>
      </c>
      <c r="K140">
        <f>IF($J140="","",ROUND(MOD($J140,1)*100000,0))</f>
        <v/>
      </c>
    </row>
    <row r="141">
      <c r="A141" s="25">
        <f>IF($K141="","",IF(INDEX(People!$Q:$Q,$K141)="","no date",INDEX(People!$Q:$Q,$K141)))</f>
        <v/>
      </c>
      <c r="B141" s="26">
        <f>IF($K141="","",INDEX(People!$S:$S,$K141))</f>
        <v/>
      </c>
      <c r="C141" s="26">
        <f>IF($K141="","",INDEX(People!$A:$A,$K141)&amp;"")</f>
        <v/>
      </c>
      <c r="D141" s="26">
        <f>IF($K141="","",INDEX(People!$D:$D,$K141)&amp;"")</f>
        <v/>
      </c>
      <c r="E141" s="26">
        <f>IF($K141="","",INDEX(People!$B:$B,$K141)&amp;"")</f>
        <v/>
      </c>
      <c r="F141" s="27">
        <f>IF($K141="","",INDEX(People!$E:$E,$K141)&amp;"")</f>
        <v/>
      </c>
      <c r="G141" s="27">
        <f>IF($K141="","",INDEX(People!$L:$L,$K141)&amp;"")</f>
        <v/>
      </c>
      <c r="H141" s="27">
        <f>IF($K141="","",INDEX(People!$M:$M,$K141)&amp;"")</f>
        <v/>
      </c>
      <c r="I141" s="6">
        <f>IF($K141="","",INDEX(People!$N:$N,$K141)&amp;"")</f>
        <v/>
      </c>
      <c r="J141">
        <f>IFERROR(SMALL(People!$Y$5:$Y$604,135),"")</f>
        <v/>
      </c>
      <c r="K141">
        <f>IF($J141="","",ROUND(MOD($J141,1)*100000,0))</f>
        <v/>
      </c>
    </row>
    <row r="142">
      <c r="A142" s="25">
        <f>IF($K142="","",IF(INDEX(People!$Q:$Q,$K142)="","no date",INDEX(People!$Q:$Q,$K142)))</f>
        <v/>
      </c>
      <c r="B142" s="26">
        <f>IF($K142="","",INDEX(People!$S:$S,$K142))</f>
        <v/>
      </c>
      <c r="C142" s="26">
        <f>IF($K142="","",INDEX(People!$A:$A,$K142)&amp;"")</f>
        <v/>
      </c>
      <c r="D142" s="26">
        <f>IF($K142="","",INDEX(People!$D:$D,$K142)&amp;"")</f>
        <v/>
      </c>
      <c r="E142" s="26">
        <f>IF($K142="","",INDEX(People!$B:$B,$K142)&amp;"")</f>
        <v/>
      </c>
      <c r="F142" s="27">
        <f>IF($K142="","",INDEX(People!$E:$E,$K142)&amp;"")</f>
        <v/>
      </c>
      <c r="G142" s="27">
        <f>IF($K142="","",INDEX(People!$L:$L,$K142)&amp;"")</f>
        <v/>
      </c>
      <c r="H142" s="27">
        <f>IF($K142="","",INDEX(People!$M:$M,$K142)&amp;"")</f>
        <v/>
      </c>
      <c r="I142" s="6">
        <f>IF($K142="","",INDEX(People!$N:$N,$K142)&amp;"")</f>
        <v/>
      </c>
      <c r="J142">
        <f>IFERROR(SMALL(People!$Y$5:$Y$604,136),"")</f>
        <v/>
      </c>
      <c r="K142">
        <f>IF($J142="","",ROUND(MOD($J142,1)*100000,0))</f>
        <v/>
      </c>
    </row>
    <row r="143">
      <c r="A143" s="25">
        <f>IF($K143="","",IF(INDEX(People!$Q:$Q,$K143)="","no date",INDEX(People!$Q:$Q,$K143)))</f>
        <v/>
      </c>
      <c r="B143" s="26">
        <f>IF($K143="","",INDEX(People!$S:$S,$K143))</f>
        <v/>
      </c>
      <c r="C143" s="26">
        <f>IF($K143="","",INDEX(People!$A:$A,$K143)&amp;"")</f>
        <v/>
      </c>
      <c r="D143" s="26">
        <f>IF($K143="","",INDEX(People!$D:$D,$K143)&amp;"")</f>
        <v/>
      </c>
      <c r="E143" s="26">
        <f>IF($K143="","",INDEX(People!$B:$B,$K143)&amp;"")</f>
        <v/>
      </c>
      <c r="F143" s="27">
        <f>IF($K143="","",INDEX(People!$E:$E,$K143)&amp;"")</f>
        <v/>
      </c>
      <c r="G143" s="27">
        <f>IF($K143="","",INDEX(People!$L:$L,$K143)&amp;"")</f>
        <v/>
      </c>
      <c r="H143" s="27">
        <f>IF($K143="","",INDEX(People!$M:$M,$K143)&amp;"")</f>
        <v/>
      </c>
      <c r="I143" s="6">
        <f>IF($K143="","",INDEX(People!$N:$N,$K143)&amp;"")</f>
        <v/>
      </c>
      <c r="J143">
        <f>IFERROR(SMALL(People!$Y$5:$Y$604,137),"")</f>
        <v/>
      </c>
      <c r="K143">
        <f>IF($J143="","",ROUND(MOD($J143,1)*100000,0))</f>
        <v/>
      </c>
    </row>
    <row r="144">
      <c r="A144" s="25">
        <f>IF($K144="","",IF(INDEX(People!$Q:$Q,$K144)="","no date",INDEX(People!$Q:$Q,$K144)))</f>
        <v/>
      </c>
      <c r="B144" s="26">
        <f>IF($K144="","",INDEX(People!$S:$S,$K144))</f>
        <v/>
      </c>
      <c r="C144" s="26">
        <f>IF($K144="","",INDEX(People!$A:$A,$K144)&amp;"")</f>
        <v/>
      </c>
      <c r="D144" s="26">
        <f>IF($K144="","",INDEX(People!$D:$D,$K144)&amp;"")</f>
        <v/>
      </c>
      <c r="E144" s="26">
        <f>IF($K144="","",INDEX(People!$B:$B,$K144)&amp;"")</f>
        <v/>
      </c>
      <c r="F144" s="27">
        <f>IF($K144="","",INDEX(People!$E:$E,$K144)&amp;"")</f>
        <v/>
      </c>
      <c r="G144" s="27">
        <f>IF($K144="","",INDEX(People!$L:$L,$K144)&amp;"")</f>
        <v/>
      </c>
      <c r="H144" s="27">
        <f>IF($K144="","",INDEX(People!$M:$M,$K144)&amp;"")</f>
        <v/>
      </c>
      <c r="I144" s="6">
        <f>IF($K144="","",INDEX(People!$N:$N,$K144)&amp;"")</f>
        <v/>
      </c>
      <c r="J144">
        <f>IFERROR(SMALL(People!$Y$5:$Y$604,138),"")</f>
        <v/>
      </c>
      <c r="K144">
        <f>IF($J144="","",ROUND(MOD($J144,1)*100000,0))</f>
        <v/>
      </c>
    </row>
    <row r="145">
      <c r="A145" s="25">
        <f>IF($K145="","",IF(INDEX(People!$Q:$Q,$K145)="","no date",INDEX(People!$Q:$Q,$K145)))</f>
        <v/>
      </c>
      <c r="B145" s="26">
        <f>IF($K145="","",INDEX(People!$S:$S,$K145))</f>
        <v/>
      </c>
      <c r="C145" s="26">
        <f>IF($K145="","",INDEX(People!$A:$A,$K145)&amp;"")</f>
        <v/>
      </c>
      <c r="D145" s="26">
        <f>IF($K145="","",INDEX(People!$D:$D,$K145)&amp;"")</f>
        <v/>
      </c>
      <c r="E145" s="26">
        <f>IF($K145="","",INDEX(People!$B:$B,$K145)&amp;"")</f>
        <v/>
      </c>
      <c r="F145" s="27">
        <f>IF($K145="","",INDEX(People!$E:$E,$K145)&amp;"")</f>
        <v/>
      </c>
      <c r="G145" s="27">
        <f>IF($K145="","",INDEX(People!$L:$L,$K145)&amp;"")</f>
        <v/>
      </c>
      <c r="H145" s="27">
        <f>IF($K145="","",INDEX(People!$M:$M,$K145)&amp;"")</f>
        <v/>
      </c>
      <c r="I145" s="6">
        <f>IF($K145="","",INDEX(People!$N:$N,$K145)&amp;"")</f>
        <v/>
      </c>
      <c r="J145">
        <f>IFERROR(SMALL(People!$Y$5:$Y$604,139),"")</f>
        <v/>
      </c>
      <c r="K145">
        <f>IF($J145="","",ROUND(MOD($J145,1)*100000,0))</f>
        <v/>
      </c>
    </row>
    <row r="146">
      <c r="A146" s="25">
        <f>IF($K146="","",IF(INDEX(People!$Q:$Q,$K146)="","no date",INDEX(People!$Q:$Q,$K146)))</f>
        <v/>
      </c>
      <c r="B146" s="26">
        <f>IF($K146="","",INDEX(People!$S:$S,$K146))</f>
        <v/>
      </c>
      <c r="C146" s="26">
        <f>IF($K146="","",INDEX(People!$A:$A,$K146)&amp;"")</f>
        <v/>
      </c>
      <c r="D146" s="26">
        <f>IF($K146="","",INDEX(People!$D:$D,$K146)&amp;"")</f>
        <v/>
      </c>
      <c r="E146" s="26">
        <f>IF($K146="","",INDEX(People!$B:$B,$K146)&amp;"")</f>
        <v/>
      </c>
      <c r="F146" s="27">
        <f>IF($K146="","",INDEX(People!$E:$E,$K146)&amp;"")</f>
        <v/>
      </c>
      <c r="G146" s="27">
        <f>IF($K146="","",INDEX(People!$L:$L,$K146)&amp;"")</f>
        <v/>
      </c>
      <c r="H146" s="27">
        <f>IF($K146="","",INDEX(People!$M:$M,$K146)&amp;"")</f>
        <v/>
      </c>
      <c r="I146" s="6">
        <f>IF($K146="","",INDEX(People!$N:$N,$K146)&amp;"")</f>
        <v/>
      </c>
      <c r="J146">
        <f>IFERROR(SMALL(People!$Y$5:$Y$604,140),"")</f>
        <v/>
      </c>
      <c r="K146">
        <f>IF($J146="","",ROUND(MOD($J146,1)*100000,0))</f>
        <v/>
      </c>
    </row>
    <row r="147">
      <c r="A147" s="25">
        <f>IF($K147="","",IF(INDEX(People!$Q:$Q,$K147)="","no date",INDEX(People!$Q:$Q,$K147)))</f>
        <v/>
      </c>
      <c r="B147" s="26">
        <f>IF($K147="","",INDEX(People!$S:$S,$K147))</f>
        <v/>
      </c>
      <c r="C147" s="26">
        <f>IF($K147="","",INDEX(People!$A:$A,$K147)&amp;"")</f>
        <v/>
      </c>
      <c r="D147" s="26">
        <f>IF($K147="","",INDEX(People!$D:$D,$K147)&amp;"")</f>
        <v/>
      </c>
      <c r="E147" s="26">
        <f>IF($K147="","",INDEX(People!$B:$B,$K147)&amp;"")</f>
        <v/>
      </c>
      <c r="F147" s="27">
        <f>IF($K147="","",INDEX(People!$E:$E,$K147)&amp;"")</f>
        <v/>
      </c>
      <c r="G147" s="27">
        <f>IF($K147="","",INDEX(People!$L:$L,$K147)&amp;"")</f>
        <v/>
      </c>
      <c r="H147" s="27">
        <f>IF($K147="","",INDEX(People!$M:$M,$K147)&amp;"")</f>
        <v/>
      </c>
      <c r="I147" s="6">
        <f>IF($K147="","",INDEX(People!$N:$N,$K147)&amp;"")</f>
        <v/>
      </c>
      <c r="J147">
        <f>IFERROR(SMALL(People!$Y$5:$Y$604,141),"")</f>
        <v/>
      </c>
      <c r="K147">
        <f>IF($J147="","",ROUND(MOD($J147,1)*100000,0))</f>
        <v/>
      </c>
    </row>
    <row r="148">
      <c r="A148" s="25">
        <f>IF($K148="","",IF(INDEX(People!$Q:$Q,$K148)="","no date",INDEX(People!$Q:$Q,$K148)))</f>
        <v/>
      </c>
      <c r="B148" s="26">
        <f>IF($K148="","",INDEX(People!$S:$S,$K148))</f>
        <v/>
      </c>
      <c r="C148" s="26">
        <f>IF($K148="","",INDEX(People!$A:$A,$K148)&amp;"")</f>
        <v/>
      </c>
      <c r="D148" s="26">
        <f>IF($K148="","",INDEX(People!$D:$D,$K148)&amp;"")</f>
        <v/>
      </c>
      <c r="E148" s="26">
        <f>IF($K148="","",INDEX(People!$B:$B,$K148)&amp;"")</f>
        <v/>
      </c>
      <c r="F148" s="27">
        <f>IF($K148="","",INDEX(People!$E:$E,$K148)&amp;"")</f>
        <v/>
      </c>
      <c r="G148" s="27">
        <f>IF($K148="","",INDEX(People!$L:$L,$K148)&amp;"")</f>
        <v/>
      </c>
      <c r="H148" s="27">
        <f>IF($K148="","",INDEX(People!$M:$M,$K148)&amp;"")</f>
        <v/>
      </c>
      <c r="I148" s="6">
        <f>IF($K148="","",INDEX(People!$N:$N,$K148)&amp;"")</f>
        <v/>
      </c>
      <c r="J148">
        <f>IFERROR(SMALL(People!$Y$5:$Y$604,142),"")</f>
        <v/>
      </c>
      <c r="K148">
        <f>IF($J148="","",ROUND(MOD($J148,1)*100000,0))</f>
        <v/>
      </c>
    </row>
    <row r="149">
      <c r="A149" s="25">
        <f>IF($K149="","",IF(INDEX(People!$Q:$Q,$K149)="","no date",INDEX(People!$Q:$Q,$K149)))</f>
        <v/>
      </c>
      <c r="B149" s="26">
        <f>IF($K149="","",INDEX(People!$S:$S,$K149))</f>
        <v/>
      </c>
      <c r="C149" s="26">
        <f>IF($K149="","",INDEX(People!$A:$A,$K149)&amp;"")</f>
        <v/>
      </c>
      <c r="D149" s="26">
        <f>IF($K149="","",INDEX(People!$D:$D,$K149)&amp;"")</f>
        <v/>
      </c>
      <c r="E149" s="26">
        <f>IF($K149="","",INDEX(People!$B:$B,$K149)&amp;"")</f>
        <v/>
      </c>
      <c r="F149" s="27">
        <f>IF($K149="","",INDEX(People!$E:$E,$K149)&amp;"")</f>
        <v/>
      </c>
      <c r="G149" s="27">
        <f>IF($K149="","",INDEX(People!$L:$L,$K149)&amp;"")</f>
        <v/>
      </c>
      <c r="H149" s="27">
        <f>IF($K149="","",INDEX(People!$M:$M,$K149)&amp;"")</f>
        <v/>
      </c>
      <c r="I149" s="6">
        <f>IF($K149="","",INDEX(People!$N:$N,$K149)&amp;"")</f>
        <v/>
      </c>
      <c r="J149">
        <f>IFERROR(SMALL(People!$Y$5:$Y$604,143),"")</f>
        <v/>
      </c>
      <c r="K149">
        <f>IF($J149="","",ROUND(MOD($J149,1)*100000,0))</f>
        <v/>
      </c>
    </row>
    <row r="150">
      <c r="A150" s="25">
        <f>IF($K150="","",IF(INDEX(People!$Q:$Q,$K150)="","no date",INDEX(People!$Q:$Q,$K150)))</f>
        <v/>
      </c>
      <c r="B150" s="26">
        <f>IF($K150="","",INDEX(People!$S:$S,$K150))</f>
        <v/>
      </c>
      <c r="C150" s="26">
        <f>IF($K150="","",INDEX(People!$A:$A,$K150)&amp;"")</f>
        <v/>
      </c>
      <c r="D150" s="26">
        <f>IF($K150="","",INDEX(People!$D:$D,$K150)&amp;"")</f>
        <v/>
      </c>
      <c r="E150" s="26">
        <f>IF($K150="","",INDEX(People!$B:$B,$K150)&amp;"")</f>
        <v/>
      </c>
      <c r="F150" s="27">
        <f>IF($K150="","",INDEX(People!$E:$E,$K150)&amp;"")</f>
        <v/>
      </c>
      <c r="G150" s="27">
        <f>IF($K150="","",INDEX(People!$L:$L,$K150)&amp;"")</f>
        <v/>
      </c>
      <c r="H150" s="27">
        <f>IF($K150="","",INDEX(People!$M:$M,$K150)&amp;"")</f>
        <v/>
      </c>
      <c r="I150" s="6">
        <f>IF($K150="","",INDEX(People!$N:$N,$K150)&amp;"")</f>
        <v/>
      </c>
      <c r="J150">
        <f>IFERROR(SMALL(People!$Y$5:$Y$604,144),"")</f>
        <v/>
      </c>
      <c r="K150">
        <f>IF($J150="","",ROUND(MOD($J150,1)*100000,0))</f>
        <v/>
      </c>
    </row>
    <row r="151">
      <c r="A151" s="25">
        <f>IF($K151="","",IF(INDEX(People!$Q:$Q,$K151)="","no date",INDEX(People!$Q:$Q,$K151)))</f>
        <v/>
      </c>
      <c r="B151" s="26">
        <f>IF($K151="","",INDEX(People!$S:$S,$K151))</f>
        <v/>
      </c>
      <c r="C151" s="26">
        <f>IF($K151="","",INDEX(People!$A:$A,$K151)&amp;"")</f>
        <v/>
      </c>
      <c r="D151" s="26">
        <f>IF($K151="","",INDEX(People!$D:$D,$K151)&amp;"")</f>
        <v/>
      </c>
      <c r="E151" s="26">
        <f>IF($K151="","",INDEX(People!$B:$B,$K151)&amp;"")</f>
        <v/>
      </c>
      <c r="F151" s="27">
        <f>IF($K151="","",INDEX(People!$E:$E,$K151)&amp;"")</f>
        <v/>
      </c>
      <c r="G151" s="27">
        <f>IF($K151="","",INDEX(People!$L:$L,$K151)&amp;"")</f>
        <v/>
      </c>
      <c r="H151" s="27">
        <f>IF($K151="","",INDEX(People!$M:$M,$K151)&amp;"")</f>
        <v/>
      </c>
      <c r="I151" s="6">
        <f>IF($K151="","",INDEX(People!$N:$N,$K151)&amp;"")</f>
        <v/>
      </c>
      <c r="J151">
        <f>IFERROR(SMALL(People!$Y$5:$Y$604,145),"")</f>
        <v/>
      </c>
      <c r="K151">
        <f>IF($J151="","",ROUND(MOD($J151,1)*100000,0))</f>
        <v/>
      </c>
    </row>
    <row r="152">
      <c r="A152" s="25">
        <f>IF($K152="","",IF(INDEX(People!$Q:$Q,$K152)="","no date",INDEX(People!$Q:$Q,$K152)))</f>
        <v/>
      </c>
      <c r="B152" s="26">
        <f>IF($K152="","",INDEX(People!$S:$S,$K152))</f>
        <v/>
      </c>
      <c r="C152" s="26">
        <f>IF($K152="","",INDEX(People!$A:$A,$K152)&amp;"")</f>
        <v/>
      </c>
      <c r="D152" s="26">
        <f>IF($K152="","",INDEX(People!$D:$D,$K152)&amp;"")</f>
        <v/>
      </c>
      <c r="E152" s="26">
        <f>IF($K152="","",INDEX(People!$B:$B,$K152)&amp;"")</f>
        <v/>
      </c>
      <c r="F152" s="27">
        <f>IF($K152="","",INDEX(People!$E:$E,$K152)&amp;"")</f>
        <v/>
      </c>
      <c r="G152" s="27">
        <f>IF($K152="","",INDEX(People!$L:$L,$K152)&amp;"")</f>
        <v/>
      </c>
      <c r="H152" s="27">
        <f>IF($K152="","",INDEX(People!$M:$M,$K152)&amp;"")</f>
        <v/>
      </c>
      <c r="I152" s="6">
        <f>IF($K152="","",INDEX(People!$N:$N,$K152)&amp;"")</f>
        <v/>
      </c>
      <c r="J152">
        <f>IFERROR(SMALL(People!$Y$5:$Y$604,146),"")</f>
        <v/>
      </c>
      <c r="K152">
        <f>IF($J152="","",ROUND(MOD($J152,1)*100000,0))</f>
        <v/>
      </c>
    </row>
    <row r="153">
      <c r="A153" s="25">
        <f>IF($K153="","",IF(INDEX(People!$Q:$Q,$K153)="","no date",INDEX(People!$Q:$Q,$K153)))</f>
        <v/>
      </c>
      <c r="B153" s="26">
        <f>IF($K153="","",INDEX(People!$S:$S,$K153))</f>
        <v/>
      </c>
      <c r="C153" s="26">
        <f>IF($K153="","",INDEX(People!$A:$A,$K153)&amp;"")</f>
        <v/>
      </c>
      <c r="D153" s="26">
        <f>IF($K153="","",INDEX(People!$D:$D,$K153)&amp;"")</f>
        <v/>
      </c>
      <c r="E153" s="26">
        <f>IF($K153="","",INDEX(People!$B:$B,$K153)&amp;"")</f>
        <v/>
      </c>
      <c r="F153" s="27">
        <f>IF($K153="","",INDEX(People!$E:$E,$K153)&amp;"")</f>
        <v/>
      </c>
      <c r="G153" s="27">
        <f>IF($K153="","",INDEX(People!$L:$L,$K153)&amp;"")</f>
        <v/>
      </c>
      <c r="H153" s="27">
        <f>IF($K153="","",INDEX(People!$M:$M,$K153)&amp;"")</f>
        <v/>
      </c>
      <c r="I153" s="6">
        <f>IF($K153="","",INDEX(People!$N:$N,$K153)&amp;"")</f>
        <v/>
      </c>
      <c r="J153">
        <f>IFERROR(SMALL(People!$Y$5:$Y$604,147),"")</f>
        <v/>
      </c>
      <c r="K153">
        <f>IF($J153="","",ROUND(MOD($J153,1)*100000,0))</f>
        <v/>
      </c>
    </row>
    <row r="154">
      <c r="A154" s="25">
        <f>IF($K154="","",IF(INDEX(People!$Q:$Q,$K154)="","no date",INDEX(People!$Q:$Q,$K154)))</f>
        <v/>
      </c>
      <c r="B154" s="26">
        <f>IF($K154="","",INDEX(People!$S:$S,$K154))</f>
        <v/>
      </c>
      <c r="C154" s="26">
        <f>IF($K154="","",INDEX(People!$A:$A,$K154)&amp;"")</f>
        <v/>
      </c>
      <c r="D154" s="26">
        <f>IF($K154="","",INDEX(People!$D:$D,$K154)&amp;"")</f>
        <v/>
      </c>
      <c r="E154" s="26">
        <f>IF($K154="","",INDEX(People!$B:$B,$K154)&amp;"")</f>
        <v/>
      </c>
      <c r="F154" s="27">
        <f>IF($K154="","",INDEX(People!$E:$E,$K154)&amp;"")</f>
        <v/>
      </c>
      <c r="G154" s="27">
        <f>IF($K154="","",INDEX(People!$L:$L,$K154)&amp;"")</f>
        <v/>
      </c>
      <c r="H154" s="27">
        <f>IF($K154="","",INDEX(People!$M:$M,$K154)&amp;"")</f>
        <v/>
      </c>
      <c r="I154" s="6">
        <f>IF($K154="","",INDEX(People!$N:$N,$K154)&amp;"")</f>
        <v/>
      </c>
      <c r="J154">
        <f>IFERROR(SMALL(People!$Y$5:$Y$604,148),"")</f>
        <v/>
      </c>
      <c r="K154">
        <f>IF($J154="","",ROUND(MOD($J154,1)*100000,0))</f>
        <v/>
      </c>
    </row>
    <row r="155">
      <c r="A155" s="25">
        <f>IF($K155="","",IF(INDEX(People!$Q:$Q,$K155)="","no date",INDEX(People!$Q:$Q,$K155)))</f>
        <v/>
      </c>
      <c r="B155" s="26">
        <f>IF($K155="","",INDEX(People!$S:$S,$K155))</f>
        <v/>
      </c>
      <c r="C155" s="26">
        <f>IF($K155="","",INDEX(People!$A:$A,$K155)&amp;"")</f>
        <v/>
      </c>
      <c r="D155" s="26">
        <f>IF($K155="","",INDEX(People!$D:$D,$K155)&amp;"")</f>
        <v/>
      </c>
      <c r="E155" s="26">
        <f>IF($K155="","",INDEX(People!$B:$B,$K155)&amp;"")</f>
        <v/>
      </c>
      <c r="F155" s="27">
        <f>IF($K155="","",INDEX(People!$E:$E,$K155)&amp;"")</f>
        <v/>
      </c>
      <c r="G155" s="27">
        <f>IF($K155="","",INDEX(People!$L:$L,$K155)&amp;"")</f>
        <v/>
      </c>
      <c r="H155" s="27">
        <f>IF($K155="","",INDEX(People!$M:$M,$K155)&amp;"")</f>
        <v/>
      </c>
      <c r="I155" s="6">
        <f>IF($K155="","",INDEX(People!$N:$N,$K155)&amp;"")</f>
        <v/>
      </c>
      <c r="J155">
        <f>IFERROR(SMALL(People!$Y$5:$Y$604,149),"")</f>
        <v/>
      </c>
      <c r="K155">
        <f>IF($J155="","",ROUND(MOD($J155,1)*100000,0))</f>
        <v/>
      </c>
    </row>
    <row r="156">
      <c r="A156" s="25">
        <f>IF($K156="","",IF(INDEX(People!$Q:$Q,$K156)="","no date",INDEX(People!$Q:$Q,$K156)))</f>
        <v/>
      </c>
      <c r="B156" s="26">
        <f>IF($K156="","",INDEX(People!$S:$S,$K156))</f>
        <v/>
      </c>
      <c r="C156" s="26">
        <f>IF($K156="","",INDEX(People!$A:$A,$K156)&amp;"")</f>
        <v/>
      </c>
      <c r="D156" s="26">
        <f>IF($K156="","",INDEX(People!$D:$D,$K156)&amp;"")</f>
        <v/>
      </c>
      <c r="E156" s="26">
        <f>IF($K156="","",INDEX(People!$B:$B,$K156)&amp;"")</f>
        <v/>
      </c>
      <c r="F156" s="27">
        <f>IF($K156="","",INDEX(People!$E:$E,$K156)&amp;"")</f>
        <v/>
      </c>
      <c r="G156" s="27">
        <f>IF($K156="","",INDEX(People!$L:$L,$K156)&amp;"")</f>
        <v/>
      </c>
      <c r="H156" s="27">
        <f>IF($K156="","",INDEX(People!$M:$M,$K156)&amp;"")</f>
        <v/>
      </c>
      <c r="I156" s="6">
        <f>IF($K156="","",INDEX(People!$N:$N,$K156)&amp;"")</f>
        <v/>
      </c>
      <c r="J156">
        <f>IFERROR(SMALL(People!$Y$5:$Y$604,150),"")</f>
        <v/>
      </c>
      <c r="K156">
        <f>IF($J156="","",ROUND(MOD($J156,1)*100000,0))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A7:B156">
    <cfRule type="expression" priority="1" dxfId="2">
      <formula>$B7="Overdue"</formula>
    </cfRule>
    <cfRule type="expression" priority="2" dxfId="3">
      <formula>$B7="Due soon"</formula>
    </cfRule>
  </conditionalFormatting>
  <conditionalFormatting sqref="A7:I156">
    <cfRule type="expression" priority="3" dxfId="11">
      <formula>$K7&lt;&gt;""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B6E7A"/>
    <outlinePr summaryBelow="1" summaryRight="1"/>
    <pageSetUpPr/>
  </sheetPr>
  <dimension ref="A1:N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8" customWidth="1" min="4" max="4"/>
    <col width="24" customWidth="1" min="5" max="5"/>
    <col width="14" customWidth="1" min="6" max="6"/>
    <col width="20" customWidth="1" min="7" max="7"/>
    <col width="14" customWidth="1" min="8" max="8"/>
    <col width="10" customWidth="1" min="9" max="9"/>
    <col width="10" customWidth="1" min="10" max="10"/>
    <col width="12" customWidth="1" min="11" max="11"/>
    <col width="10" customWidth="1" min="12" max="12"/>
    <col width="11" customWidth="1" min="13" max="13"/>
    <col width="50" customWidth="1" min="14" max="14"/>
  </cols>
  <sheetData>
    <row r="1" ht="26" customHeight="1">
      <c r="A1" s="7" t="inlineStr">
        <is>
          <t>Events</t>
        </is>
      </c>
    </row>
    <row r="2">
      <c r="A2" s="2" t="inlineStr">
        <is>
          <t>One row per event. Give it an ID and a DATE before the day — sign-ups find their event by the date.</t>
        </is>
      </c>
    </row>
    <row r="3" ht="36" customHeight="1">
      <c r="A3" s="2" t="inlineStr">
        <is>
          <t>Yellow = yours to fill.  Grey = counts itself.</t>
        </is>
      </c>
      <c r="N3" s="28" t="inlineStr">
        <is>
          <t>Filled in from your Event Report filenames. Add each DATE (red until you do). EV-003, EV-005 and EV-007 had no report, so add them if they happened.</t>
        </is>
      </c>
    </row>
    <row r="4" ht="32" customHeight="1">
      <c r="A4" s="11" t="inlineStr">
        <is>
          <t>Event ID</t>
        </is>
      </c>
      <c r="B4" s="11" t="inlineStr">
        <is>
          <t>Date</t>
        </is>
      </c>
      <c r="C4" s="11" t="inlineStr">
        <is>
          <t>Event Name</t>
        </is>
      </c>
      <c r="D4" s="11" t="inlineStr">
        <is>
          <t>Event Type</t>
        </is>
      </c>
      <c r="E4" s="11" t="inlineStr">
        <is>
          <t>Host / Partner</t>
        </is>
      </c>
      <c r="F4" s="11" t="inlineStr">
        <is>
          <t>City</t>
        </is>
      </c>
      <c r="G4" s="11" t="inlineStr">
        <is>
          <t>Region</t>
        </is>
      </c>
      <c r="H4" s="11" t="inlineStr">
        <is>
          <t>Staff</t>
        </is>
      </c>
      <c r="I4" s="9" t="inlineStr">
        <is>
          <t>Form Sign-Ups</t>
        </is>
      </c>
      <c r="J4" s="9" t="inlineStr">
        <is>
          <t>People Logged</t>
        </is>
      </c>
      <c r="K4" s="9" t="inlineStr">
        <is>
          <t>Sign-Ups Not Yet Logged</t>
        </is>
      </c>
      <c r="L4" s="9" t="inlineStr">
        <is>
          <t>Follow-Ups Open</t>
        </is>
      </c>
      <c r="M4" s="11" t="inlineStr">
        <is>
          <t>Report Sent</t>
        </is>
      </c>
      <c r="N4" s="11" t="inlineStr">
        <is>
          <t>What Worked / Notes</t>
        </is>
      </c>
    </row>
    <row r="5">
      <c r="A5" s="14" t="inlineStr">
        <is>
          <t>EV-001</t>
        </is>
      </c>
      <c r="B5" s="18" t="n"/>
      <c r="C5" s="17" t="inlineStr">
        <is>
          <t>SOY Boot Camp — Ottawa</t>
        </is>
      </c>
      <c r="D5" s="16" t="inlineStr">
        <is>
          <t>SOY Boot Camp</t>
        </is>
      </c>
      <c r="E5" s="17" t="n"/>
      <c r="F5" s="16" t="inlineStr">
        <is>
          <t>Ottawa</t>
        </is>
      </c>
      <c r="G5" s="16" t="inlineStr">
        <is>
          <t>Eastern Ontario</t>
        </is>
      </c>
      <c r="H5" s="16" t="n"/>
      <c r="I5" s="13">
        <f>IF($A5="","",COUNTIF('New Sign-Ups'!$E$5:$E$1004,$A5))</f>
        <v/>
      </c>
      <c r="J5" s="13">
        <f>IF($A5="","",COUNTIFS(People!$B$5:$B$604,$A5,People!$Z$5:$Z$604,1))</f>
        <v/>
      </c>
      <c r="K5" s="13">
        <f>IF($A5="","",COUNTIFS('New Sign-Ups'!$E$5:$E$1004,$A5,'New Sign-Ups'!$G$5:$G$1004,"→ add"))</f>
        <v/>
      </c>
      <c r="L5" s="13">
        <f>IF($A5="","",COUNTIFS(People!$B$5:$B$604,$A5,People!$P$5:$P$604,"✓",People!$R$5:$R$604,""))</f>
        <v/>
      </c>
      <c r="M5" s="18" t="n"/>
      <c r="N5" s="17" t="n"/>
    </row>
    <row r="6">
      <c r="A6" s="14" t="inlineStr">
        <is>
          <t>EV-002</t>
        </is>
      </c>
      <c r="B6" s="18" t="n"/>
      <c r="C6" s="17" t="inlineStr">
        <is>
          <t>SOY Boot Camp — Markham</t>
        </is>
      </c>
      <c r="D6" s="16" t="inlineStr">
        <is>
          <t>SOY Boot Camp</t>
        </is>
      </c>
      <c r="E6" s="17" t="n"/>
      <c r="F6" s="16" t="inlineStr">
        <is>
          <t>Markham</t>
        </is>
      </c>
      <c r="G6" s="16" t="inlineStr">
        <is>
          <t>Greater Toronto Area</t>
        </is>
      </c>
      <c r="H6" s="16" t="n"/>
      <c r="I6" s="13">
        <f>IF($A6="","",COUNTIF('New Sign-Ups'!$E$5:$E$1004,$A6))</f>
        <v/>
      </c>
      <c r="J6" s="13">
        <f>IF($A6="","",COUNTIFS(People!$B$5:$B$604,$A6,People!$Z$5:$Z$604,1))</f>
        <v/>
      </c>
      <c r="K6" s="13">
        <f>IF($A6="","",COUNTIFS('New Sign-Ups'!$E$5:$E$1004,$A6,'New Sign-Ups'!$G$5:$G$1004,"→ add"))</f>
        <v/>
      </c>
      <c r="L6" s="13">
        <f>IF($A6="","",COUNTIFS(People!$B$5:$B$604,$A6,People!$P$5:$P$604,"✓",People!$R$5:$R$604,""))</f>
        <v/>
      </c>
      <c r="M6" s="18" t="n"/>
      <c r="N6" s="17" t="n"/>
    </row>
    <row r="7">
      <c r="A7" s="14" t="inlineStr">
        <is>
          <t>EV-004</t>
        </is>
      </c>
      <c r="B7" s="18" t="n"/>
      <c r="C7" s="17" t="inlineStr">
        <is>
          <t>SOY Boot Camp — Brampton</t>
        </is>
      </c>
      <c r="D7" s="16" t="inlineStr">
        <is>
          <t>SOY Boot Camp</t>
        </is>
      </c>
      <c r="E7" s="17" t="n"/>
      <c r="F7" s="16" t="inlineStr">
        <is>
          <t>Brampton</t>
        </is>
      </c>
      <c r="G7" s="16" t="inlineStr">
        <is>
          <t>Greater Toronto Area</t>
        </is>
      </c>
      <c r="H7" s="16" t="n"/>
      <c r="I7" s="13">
        <f>IF($A7="","",COUNTIF('New Sign-Ups'!$E$5:$E$1004,$A7))</f>
        <v/>
      </c>
      <c r="J7" s="13">
        <f>IF($A7="","",COUNTIFS(People!$B$5:$B$604,$A7,People!$Z$5:$Z$604,1))</f>
        <v/>
      </c>
      <c r="K7" s="13">
        <f>IF($A7="","",COUNTIFS('New Sign-Ups'!$E$5:$E$1004,$A7,'New Sign-Ups'!$G$5:$G$1004,"→ add"))</f>
        <v/>
      </c>
      <c r="L7" s="13">
        <f>IF($A7="","",COUNTIFS(People!$B$5:$B$604,$A7,People!$P$5:$P$604,"✓",People!$R$5:$R$604,""))</f>
        <v/>
      </c>
      <c r="M7" s="18" t="n"/>
      <c r="N7" s="17" t="n"/>
    </row>
    <row r="8">
      <c r="A8" s="14" t="inlineStr">
        <is>
          <t>EV-006</t>
        </is>
      </c>
      <c r="B8" s="18" t="n"/>
      <c r="C8" s="17" t="inlineStr">
        <is>
          <t>SOY Boot Camp — Alliston</t>
        </is>
      </c>
      <c r="D8" s="16" t="inlineStr">
        <is>
          <t>SOY Boot Camp</t>
        </is>
      </c>
      <c r="E8" s="17" t="n"/>
      <c r="F8" s="16" t="inlineStr">
        <is>
          <t>Alliston</t>
        </is>
      </c>
      <c r="G8" s="16" t="inlineStr">
        <is>
          <t>Central Ontario</t>
        </is>
      </c>
      <c r="H8" s="16" t="n"/>
      <c r="I8" s="13">
        <f>IF($A8="","",COUNTIF('New Sign-Ups'!$E$5:$E$1004,$A8))</f>
        <v/>
      </c>
      <c r="J8" s="13">
        <f>IF($A8="","",COUNTIFS(People!$B$5:$B$604,$A8,People!$Z$5:$Z$604,1))</f>
        <v/>
      </c>
      <c r="K8" s="13">
        <f>IF($A8="","",COUNTIFS('New Sign-Ups'!$E$5:$E$1004,$A8,'New Sign-Ups'!$G$5:$G$1004,"→ add"))</f>
        <v/>
      </c>
      <c r="L8" s="13">
        <f>IF($A8="","",COUNTIFS(People!$B$5:$B$604,$A8,People!$P$5:$P$604,"✓",People!$R$5:$R$604,""))</f>
        <v/>
      </c>
      <c r="M8" s="18" t="n"/>
      <c r="N8" s="17" t="n"/>
    </row>
    <row r="9">
      <c r="A9" s="14" t="inlineStr">
        <is>
          <t>EV-008</t>
        </is>
      </c>
      <c r="B9" s="18" t="n"/>
      <c r="C9" s="17" t="inlineStr">
        <is>
          <t>SOY Boot Camp — Cobourg</t>
        </is>
      </c>
      <c r="D9" s="16" t="inlineStr">
        <is>
          <t>SOY Boot Camp</t>
        </is>
      </c>
      <c r="E9" s="17" t="n"/>
      <c r="F9" s="16" t="inlineStr">
        <is>
          <t>Cobourg</t>
        </is>
      </c>
      <c r="G9" s="16" t="inlineStr">
        <is>
          <t>Eastern Ontario</t>
        </is>
      </c>
      <c r="H9" s="16" t="n"/>
      <c r="I9" s="13">
        <f>IF($A9="","",COUNTIF('New Sign-Ups'!$E$5:$E$1004,$A9))</f>
        <v/>
      </c>
      <c r="J9" s="13">
        <f>IF($A9="","",COUNTIFS(People!$B$5:$B$604,$A9,People!$Z$5:$Z$604,1))</f>
        <v/>
      </c>
      <c r="K9" s="13">
        <f>IF($A9="","",COUNTIFS('New Sign-Ups'!$E$5:$E$1004,$A9,'New Sign-Ups'!$G$5:$G$1004,"→ add"))</f>
        <v/>
      </c>
      <c r="L9" s="13">
        <f>IF($A9="","",COUNTIFS(People!$B$5:$B$604,$A9,People!$P$5:$P$604,"✓",People!$R$5:$R$604,""))</f>
        <v/>
      </c>
      <c r="M9" s="18" t="n"/>
      <c r="N9" s="17" t="n"/>
    </row>
    <row r="10">
      <c r="A10" s="14" t="inlineStr">
        <is>
          <t>EV-009</t>
        </is>
      </c>
      <c r="B10" s="18" t="n"/>
      <c r="C10" s="17" t="inlineStr">
        <is>
          <t>Level Up — Cobourg</t>
        </is>
      </c>
      <c r="D10" s="16" t="inlineStr">
        <is>
          <t>Level Up</t>
        </is>
      </c>
      <c r="E10" s="17" t="n"/>
      <c r="F10" s="16" t="inlineStr">
        <is>
          <t>Cobourg</t>
        </is>
      </c>
      <c r="G10" s="16" t="inlineStr">
        <is>
          <t>Eastern Ontario</t>
        </is>
      </c>
      <c r="H10" s="16" t="n"/>
      <c r="I10" s="13">
        <f>IF($A10="","",COUNTIF('New Sign-Ups'!$E$5:$E$1004,$A10))</f>
        <v/>
      </c>
      <c r="J10" s="13">
        <f>IF($A10="","",COUNTIFS(People!$B$5:$B$604,$A10,People!$Z$5:$Z$604,1))</f>
        <v/>
      </c>
      <c r="K10" s="13">
        <f>IF($A10="","",COUNTIFS('New Sign-Ups'!$E$5:$E$1004,$A10,'New Sign-Ups'!$G$5:$G$1004,"→ add"))</f>
        <v/>
      </c>
      <c r="L10" s="13">
        <f>IF($A10="","",COUNTIFS(People!$B$5:$B$604,$A10,People!$P$5:$P$604,"✓",People!$R$5:$R$604,""))</f>
        <v/>
      </c>
      <c r="M10" s="18" t="n"/>
      <c r="N10" s="17" t="n"/>
    </row>
    <row r="11">
      <c r="A11" s="14" t="inlineStr">
        <is>
          <t>EV-010</t>
        </is>
      </c>
      <c r="B11" s="18" t="n"/>
      <c r="C11" s="17" t="inlineStr">
        <is>
          <t>SOY Boot Camp — Oshawa</t>
        </is>
      </c>
      <c r="D11" s="16" t="inlineStr">
        <is>
          <t>SOY Boot Camp</t>
        </is>
      </c>
      <c r="E11" s="17" t="n"/>
      <c r="F11" s="16" t="inlineStr">
        <is>
          <t>Oshawa</t>
        </is>
      </c>
      <c r="G11" s="16" t="inlineStr">
        <is>
          <t>Greater Toronto Area</t>
        </is>
      </c>
      <c r="H11" s="16" t="n"/>
      <c r="I11" s="13">
        <f>IF($A11="","",COUNTIF('New Sign-Ups'!$E$5:$E$1004,$A11))</f>
        <v/>
      </c>
      <c r="J11" s="13">
        <f>IF($A11="","",COUNTIFS(People!$B$5:$B$604,$A11,People!$Z$5:$Z$604,1))</f>
        <v/>
      </c>
      <c r="K11" s="13">
        <f>IF($A11="","",COUNTIFS('New Sign-Ups'!$E$5:$E$1004,$A11,'New Sign-Ups'!$G$5:$G$1004,"→ add"))</f>
        <v/>
      </c>
      <c r="L11" s="13">
        <f>IF($A11="","",COUNTIFS(People!$B$5:$B$604,$A11,People!$P$5:$P$604,"✓",People!$R$5:$R$604,""))</f>
        <v/>
      </c>
      <c r="M11" s="18" t="n"/>
      <c r="N11" s="17" t="n"/>
    </row>
    <row r="12">
      <c r="A12" s="14" t="inlineStr">
        <is>
          <t>EV-011</t>
        </is>
      </c>
      <c r="B12" s="18" t="n"/>
      <c r="C12" s="17" t="inlineStr">
        <is>
          <t>Level Up — Kingston</t>
        </is>
      </c>
      <c r="D12" s="16" t="inlineStr">
        <is>
          <t>Level Up</t>
        </is>
      </c>
      <c r="E12" s="17" t="n"/>
      <c r="F12" s="16" t="inlineStr">
        <is>
          <t>Kingston</t>
        </is>
      </c>
      <c r="G12" s="16" t="inlineStr">
        <is>
          <t>Eastern Ontario</t>
        </is>
      </c>
      <c r="H12" s="16" t="n"/>
      <c r="I12" s="13">
        <f>IF($A12="","",COUNTIF('New Sign-Ups'!$E$5:$E$1004,$A12))</f>
        <v/>
      </c>
      <c r="J12" s="13">
        <f>IF($A12="","",COUNTIFS(People!$B$5:$B$604,$A12,People!$Z$5:$Z$604,1))</f>
        <v/>
      </c>
      <c r="K12" s="13">
        <f>IF($A12="","",COUNTIFS('New Sign-Ups'!$E$5:$E$1004,$A12,'New Sign-Ups'!$G$5:$G$1004,"→ add"))</f>
        <v/>
      </c>
      <c r="L12" s="13">
        <f>IF($A12="","",COUNTIFS(People!$B$5:$B$604,$A12,People!$P$5:$P$604,"✓",People!$R$5:$R$604,""))</f>
        <v/>
      </c>
      <c r="M12" s="18" t="n"/>
      <c r="N12" s="17" t="n"/>
    </row>
    <row r="13">
      <c r="A13" s="14" t="inlineStr">
        <is>
          <t>EV-012</t>
        </is>
      </c>
      <c r="B13" s="18" t="n"/>
      <c r="C13" s="17" t="inlineStr">
        <is>
          <t>SOY Boot Camp — Acton</t>
        </is>
      </c>
      <c r="D13" s="16" t="inlineStr">
        <is>
          <t>SOY Boot Camp</t>
        </is>
      </c>
      <c r="E13" s="17" t="n"/>
      <c r="F13" s="16" t="inlineStr">
        <is>
          <t>Acton</t>
        </is>
      </c>
      <c r="G13" s="16" t="inlineStr">
        <is>
          <t>Central Ontario</t>
        </is>
      </c>
      <c r="H13" s="16" t="n"/>
      <c r="I13" s="13">
        <f>IF($A13="","",COUNTIF('New Sign-Ups'!$E$5:$E$1004,$A13))</f>
        <v/>
      </c>
      <c r="J13" s="13">
        <f>IF($A13="","",COUNTIFS(People!$B$5:$B$604,$A13,People!$Z$5:$Z$604,1))</f>
        <v/>
      </c>
      <c r="K13" s="13">
        <f>IF($A13="","",COUNTIFS('New Sign-Ups'!$E$5:$E$1004,$A13,'New Sign-Ups'!$G$5:$G$1004,"→ add"))</f>
        <v/>
      </c>
      <c r="L13" s="13">
        <f>IF($A13="","",COUNTIFS(People!$B$5:$B$604,$A13,People!$P$5:$P$604,"✓",People!$R$5:$R$604,""))</f>
        <v/>
      </c>
      <c r="M13" s="18" t="n"/>
      <c r="N13" s="17" t="n"/>
    </row>
    <row r="14">
      <c r="A14" s="14" t="n"/>
      <c r="B14" s="18" t="n"/>
      <c r="C14" s="17" t="n"/>
      <c r="D14" s="16" t="n"/>
      <c r="E14" s="17" t="n"/>
      <c r="F14" s="16" t="n"/>
      <c r="G14" s="16" t="n"/>
      <c r="H14" s="16" t="n"/>
      <c r="I14" s="13">
        <f>IF($A14="","",COUNTIF('New Sign-Ups'!$E$5:$E$1004,$A14))</f>
        <v/>
      </c>
      <c r="J14" s="13">
        <f>IF($A14="","",COUNTIFS(People!$B$5:$B$604,$A14,People!$Z$5:$Z$604,1))</f>
        <v/>
      </c>
      <c r="K14" s="13">
        <f>IF($A14="","",COUNTIFS('New Sign-Ups'!$E$5:$E$1004,$A14,'New Sign-Ups'!$G$5:$G$1004,"→ add"))</f>
        <v/>
      </c>
      <c r="L14" s="13">
        <f>IF($A14="","",COUNTIFS(People!$B$5:$B$604,$A14,People!$P$5:$P$604,"✓",People!$R$5:$R$604,""))</f>
        <v/>
      </c>
      <c r="M14" s="18" t="n"/>
      <c r="N14" s="17" t="n"/>
    </row>
    <row r="15">
      <c r="A15" s="14" t="n"/>
      <c r="B15" s="18" t="n"/>
      <c r="C15" s="17" t="n"/>
      <c r="D15" s="16" t="n"/>
      <c r="E15" s="17" t="n"/>
      <c r="F15" s="16" t="n"/>
      <c r="G15" s="16" t="n"/>
      <c r="H15" s="16" t="n"/>
      <c r="I15" s="13">
        <f>IF($A15="","",COUNTIF('New Sign-Ups'!$E$5:$E$1004,$A15))</f>
        <v/>
      </c>
      <c r="J15" s="13">
        <f>IF($A15="","",COUNTIFS(People!$B$5:$B$604,$A15,People!$Z$5:$Z$604,1))</f>
        <v/>
      </c>
      <c r="K15" s="13">
        <f>IF($A15="","",COUNTIFS('New Sign-Ups'!$E$5:$E$1004,$A15,'New Sign-Ups'!$G$5:$G$1004,"→ add"))</f>
        <v/>
      </c>
      <c r="L15" s="13">
        <f>IF($A15="","",COUNTIFS(People!$B$5:$B$604,$A15,People!$P$5:$P$604,"✓",People!$R$5:$R$604,""))</f>
        <v/>
      </c>
      <c r="M15" s="18" t="n"/>
      <c r="N15" s="17" t="n"/>
    </row>
    <row r="16">
      <c r="A16" s="14" t="n"/>
      <c r="B16" s="18" t="n"/>
      <c r="C16" s="17" t="n"/>
      <c r="D16" s="16" t="n"/>
      <c r="E16" s="17" t="n"/>
      <c r="F16" s="16" t="n"/>
      <c r="G16" s="16" t="n"/>
      <c r="H16" s="16" t="n"/>
      <c r="I16" s="13">
        <f>IF($A16="","",COUNTIF('New Sign-Ups'!$E$5:$E$1004,$A16))</f>
        <v/>
      </c>
      <c r="J16" s="13">
        <f>IF($A16="","",COUNTIFS(People!$B$5:$B$604,$A16,People!$Z$5:$Z$604,1))</f>
        <v/>
      </c>
      <c r="K16" s="13">
        <f>IF($A16="","",COUNTIFS('New Sign-Ups'!$E$5:$E$1004,$A16,'New Sign-Ups'!$G$5:$G$1004,"→ add"))</f>
        <v/>
      </c>
      <c r="L16" s="13">
        <f>IF($A16="","",COUNTIFS(People!$B$5:$B$604,$A16,People!$P$5:$P$604,"✓",People!$R$5:$R$604,""))</f>
        <v/>
      </c>
      <c r="M16" s="18" t="n"/>
      <c r="N16" s="17" t="n"/>
    </row>
    <row r="17">
      <c r="A17" s="14" t="n"/>
      <c r="B17" s="18" t="n"/>
      <c r="C17" s="17" t="n"/>
      <c r="D17" s="16" t="n"/>
      <c r="E17" s="17" t="n"/>
      <c r="F17" s="16" t="n"/>
      <c r="G17" s="16" t="n"/>
      <c r="H17" s="16" t="n"/>
      <c r="I17" s="13">
        <f>IF($A17="","",COUNTIF('New Sign-Ups'!$E$5:$E$1004,$A17))</f>
        <v/>
      </c>
      <c r="J17" s="13">
        <f>IF($A17="","",COUNTIFS(People!$B$5:$B$604,$A17,People!$Z$5:$Z$604,1))</f>
        <v/>
      </c>
      <c r="K17" s="13">
        <f>IF($A17="","",COUNTIFS('New Sign-Ups'!$E$5:$E$1004,$A17,'New Sign-Ups'!$G$5:$G$1004,"→ add"))</f>
        <v/>
      </c>
      <c r="L17" s="13">
        <f>IF($A17="","",COUNTIFS(People!$B$5:$B$604,$A17,People!$P$5:$P$604,"✓",People!$R$5:$R$604,""))</f>
        <v/>
      </c>
      <c r="M17" s="18" t="n"/>
      <c r="N17" s="17" t="n"/>
    </row>
    <row r="18">
      <c r="A18" s="14" t="n"/>
      <c r="B18" s="18" t="n"/>
      <c r="C18" s="17" t="n"/>
      <c r="D18" s="16" t="n"/>
      <c r="E18" s="17" t="n"/>
      <c r="F18" s="16" t="n"/>
      <c r="G18" s="16" t="n"/>
      <c r="H18" s="16" t="n"/>
      <c r="I18" s="13">
        <f>IF($A18="","",COUNTIF('New Sign-Ups'!$E$5:$E$1004,$A18))</f>
        <v/>
      </c>
      <c r="J18" s="13">
        <f>IF($A18="","",COUNTIFS(People!$B$5:$B$604,$A18,People!$Z$5:$Z$604,1))</f>
        <v/>
      </c>
      <c r="K18" s="13">
        <f>IF($A18="","",COUNTIFS('New Sign-Ups'!$E$5:$E$1004,$A18,'New Sign-Ups'!$G$5:$G$1004,"→ add"))</f>
        <v/>
      </c>
      <c r="L18" s="13">
        <f>IF($A18="","",COUNTIFS(People!$B$5:$B$604,$A18,People!$P$5:$P$604,"✓",People!$R$5:$R$604,""))</f>
        <v/>
      </c>
      <c r="M18" s="18" t="n"/>
      <c r="N18" s="17" t="n"/>
    </row>
    <row r="19">
      <c r="A19" s="14" t="n"/>
      <c r="B19" s="18" t="n"/>
      <c r="C19" s="17" t="n"/>
      <c r="D19" s="16" t="n"/>
      <c r="E19" s="17" t="n"/>
      <c r="F19" s="16" t="n"/>
      <c r="G19" s="16" t="n"/>
      <c r="H19" s="16" t="n"/>
      <c r="I19" s="13">
        <f>IF($A19="","",COUNTIF('New Sign-Ups'!$E$5:$E$1004,$A19))</f>
        <v/>
      </c>
      <c r="J19" s="13">
        <f>IF($A19="","",COUNTIFS(People!$B$5:$B$604,$A19,People!$Z$5:$Z$604,1))</f>
        <v/>
      </c>
      <c r="K19" s="13">
        <f>IF($A19="","",COUNTIFS('New Sign-Ups'!$E$5:$E$1004,$A19,'New Sign-Ups'!$G$5:$G$1004,"→ add"))</f>
        <v/>
      </c>
      <c r="L19" s="13">
        <f>IF($A19="","",COUNTIFS(People!$B$5:$B$604,$A19,People!$P$5:$P$604,"✓",People!$R$5:$R$604,""))</f>
        <v/>
      </c>
      <c r="M19" s="18" t="n"/>
      <c r="N19" s="17" t="n"/>
    </row>
    <row r="20">
      <c r="A20" s="14" t="n"/>
      <c r="B20" s="18" t="n"/>
      <c r="C20" s="17" t="n"/>
      <c r="D20" s="16" t="n"/>
      <c r="E20" s="17" t="n"/>
      <c r="F20" s="16" t="n"/>
      <c r="G20" s="16" t="n"/>
      <c r="H20" s="16" t="n"/>
      <c r="I20" s="13">
        <f>IF($A20="","",COUNTIF('New Sign-Ups'!$E$5:$E$1004,$A20))</f>
        <v/>
      </c>
      <c r="J20" s="13">
        <f>IF($A20="","",COUNTIFS(People!$B$5:$B$604,$A20,People!$Z$5:$Z$604,1))</f>
        <v/>
      </c>
      <c r="K20" s="13">
        <f>IF($A20="","",COUNTIFS('New Sign-Ups'!$E$5:$E$1004,$A20,'New Sign-Ups'!$G$5:$G$1004,"→ add"))</f>
        <v/>
      </c>
      <c r="L20" s="13">
        <f>IF($A20="","",COUNTIFS(People!$B$5:$B$604,$A20,People!$P$5:$P$604,"✓",People!$R$5:$R$604,""))</f>
        <v/>
      </c>
      <c r="M20" s="18" t="n"/>
      <c r="N20" s="17" t="n"/>
    </row>
    <row r="21">
      <c r="A21" s="14" t="n"/>
      <c r="B21" s="18" t="n"/>
      <c r="C21" s="17" t="n"/>
      <c r="D21" s="16" t="n"/>
      <c r="E21" s="17" t="n"/>
      <c r="F21" s="16" t="n"/>
      <c r="G21" s="16" t="n"/>
      <c r="H21" s="16" t="n"/>
      <c r="I21" s="13">
        <f>IF($A21="","",COUNTIF('New Sign-Ups'!$E$5:$E$1004,$A21))</f>
        <v/>
      </c>
      <c r="J21" s="13">
        <f>IF($A21="","",COUNTIFS(People!$B$5:$B$604,$A21,People!$Z$5:$Z$604,1))</f>
        <v/>
      </c>
      <c r="K21" s="13">
        <f>IF($A21="","",COUNTIFS('New Sign-Ups'!$E$5:$E$1004,$A21,'New Sign-Ups'!$G$5:$G$1004,"→ add"))</f>
        <v/>
      </c>
      <c r="L21" s="13">
        <f>IF($A21="","",COUNTIFS(People!$B$5:$B$604,$A21,People!$P$5:$P$604,"✓",People!$R$5:$R$604,""))</f>
        <v/>
      </c>
      <c r="M21" s="18" t="n"/>
      <c r="N21" s="17" t="n"/>
    </row>
    <row r="22">
      <c r="A22" s="14" t="n"/>
      <c r="B22" s="18" t="n"/>
      <c r="C22" s="17" t="n"/>
      <c r="D22" s="16" t="n"/>
      <c r="E22" s="17" t="n"/>
      <c r="F22" s="16" t="n"/>
      <c r="G22" s="16" t="n"/>
      <c r="H22" s="16" t="n"/>
      <c r="I22" s="13">
        <f>IF($A22="","",COUNTIF('New Sign-Ups'!$E$5:$E$1004,$A22))</f>
        <v/>
      </c>
      <c r="J22" s="13">
        <f>IF($A22="","",COUNTIFS(People!$B$5:$B$604,$A22,People!$Z$5:$Z$604,1))</f>
        <v/>
      </c>
      <c r="K22" s="13">
        <f>IF($A22="","",COUNTIFS('New Sign-Ups'!$E$5:$E$1004,$A22,'New Sign-Ups'!$G$5:$G$1004,"→ add"))</f>
        <v/>
      </c>
      <c r="L22" s="13">
        <f>IF($A22="","",COUNTIFS(People!$B$5:$B$604,$A22,People!$P$5:$P$604,"✓",People!$R$5:$R$604,""))</f>
        <v/>
      </c>
      <c r="M22" s="18" t="n"/>
      <c r="N22" s="17" t="n"/>
    </row>
    <row r="23">
      <c r="A23" s="14" t="n"/>
      <c r="B23" s="18" t="n"/>
      <c r="C23" s="17" t="n"/>
      <c r="D23" s="16" t="n"/>
      <c r="E23" s="17" t="n"/>
      <c r="F23" s="16" t="n"/>
      <c r="G23" s="16" t="n"/>
      <c r="H23" s="16" t="n"/>
      <c r="I23" s="13">
        <f>IF($A23="","",COUNTIF('New Sign-Ups'!$E$5:$E$1004,$A23))</f>
        <v/>
      </c>
      <c r="J23" s="13">
        <f>IF($A23="","",COUNTIFS(People!$B$5:$B$604,$A23,People!$Z$5:$Z$604,1))</f>
        <v/>
      </c>
      <c r="K23" s="13">
        <f>IF($A23="","",COUNTIFS('New Sign-Ups'!$E$5:$E$1004,$A23,'New Sign-Ups'!$G$5:$G$1004,"→ add"))</f>
        <v/>
      </c>
      <c r="L23" s="13">
        <f>IF($A23="","",COUNTIFS(People!$B$5:$B$604,$A23,People!$P$5:$P$604,"✓",People!$R$5:$R$604,""))</f>
        <v/>
      </c>
      <c r="M23" s="18" t="n"/>
      <c r="N23" s="17" t="n"/>
    </row>
    <row r="24">
      <c r="A24" s="14" t="n"/>
      <c r="B24" s="18" t="n"/>
      <c r="C24" s="17" t="n"/>
      <c r="D24" s="16" t="n"/>
      <c r="E24" s="17" t="n"/>
      <c r="F24" s="16" t="n"/>
      <c r="G24" s="16" t="n"/>
      <c r="H24" s="16" t="n"/>
      <c r="I24" s="13">
        <f>IF($A24="","",COUNTIF('New Sign-Ups'!$E$5:$E$1004,$A24))</f>
        <v/>
      </c>
      <c r="J24" s="13">
        <f>IF($A24="","",COUNTIFS(People!$B$5:$B$604,$A24,People!$Z$5:$Z$604,1))</f>
        <v/>
      </c>
      <c r="K24" s="13">
        <f>IF($A24="","",COUNTIFS('New Sign-Ups'!$E$5:$E$1004,$A24,'New Sign-Ups'!$G$5:$G$1004,"→ add"))</f>
        <v/>
      </c>
      <c r="L24" s="13">
        <f>IF($A24="","",COUNTIFS(People!$B$5:$B$604,$A24,People!$P$5:$P$604,"✓",People!$R$5:$R$604,""))</f>
        <v/>
      </c>
      <c r="M24" s="18" t="n"/>
      <c r="N24" s="17" t="n"/>
    </row>
    <row r="25">
      <c r="A25" s="14" t="n"/>
      <c r="B25" s="18" t="n"/>
      <c r="C25" s="17" t="n"/>
      <c r="D25" s="16" t="n"/>
      <c r="E25" s="17" t="n"/>
      <c r="F25" s="16" t="n"/>
      <c r="G25" s="16" t="n"/>
      <c r="H25" s="16" t="n"/>
      <c r="I25" s="13">
        <f>IF($A25="","",COUNTIF('New Sign-Ups'!$E$5:$E$1004,$A25))</f>
        <v/>
      </c>
      <c r="J25" s="13">
        <f>IF($A25="","",COUNTIFS(People!$B$5:$B$604,$A25,People!$Z$5:$Z$604,1))</f>
        <v/>
      </c>
      <c r="K25" s="13">
        <f>IF($A25="","",COUNTIFS('New Sign-Ups'!$E$5:$E$1004,$A25,'New Sign-Ups'!$G$5:$G$1004,"→ add"))</f>
        <v/>
      </c>
      <c r="L25" s="13">
        <f>IF($A25="","",COUNTIFS(People!$B$5:$B$604,$A25,People!$P$5:$P$604,"✓",People!$R$5:$R$604,""))</f>
        <v/>
      </c>
      <c r="M25" s="18" t="n"/>
      <c r="N25" s="17" t="n"/>
    </row>
    <row r="26">
      <c r="A26" s="14" t="n"/>
      <c r="B26" s="18" t="n"/>
      <c r="C26" s="17" t="n"/>
      <c r="D26" s="16" t="n"/>
      <c r="E26" s="17" t="n"/>
      <c r="F26" s="16" t="n"/>
      <c r="G26" s="16" t="n"/>
      <c r="H26" s="16" t="n"/>
      <c r="I26" s="13">
        <f>IF($A26="","",COUNTIF('New Sign-Ups'!$E$5:$E$1004,$A26))</f>
        <v/>
      </c>
      <c r="J26" s="13">
        <f>IF($A26="","",COUNTIFS(People!$B$5:$B$604,$A26,People!$Z$5:$Z$604,1))</f>
        <v/>
      </c>
      <c r="K26" s="13">
        <f>IF($A26="","",COUNTIFS('New Sign-Ups'!$E$5:$E$1004,$A26,'New Sign-Ups'!$G$5:$G$1004,"→ add"))</f>
        <v/>
      </c>
      <c r="L26" s="13">
        <f>IF($A26="","",COUNTIFS(People!$B$5:$B$604,$A26,People!$P$5:$P$604,"✓",People!$R$5:$R$604,""))</f>
        <v/>
      </c>
      <c r="M26" s="18" t="n"/>
      <c r="N26" s="17" t="n"/>
    </row>
    <row r="27">
      <c r="A27" s="14" t="n"/>
      <c r="B27" s="18" t="n"/>
      <c r="C27" s="17" t="n"/>
      <c r="D27" s="16" t="n"/>
      <c r="E27" s="17" t="n"/>
      <c r="F27" s="16" t="n"/>
      <c r="G27" s="16" t="n"/>
      <c r="H27" s="16" t="n"/>
      <c r="I27" s="13">
        <f>IF($A27="","",COUNTIF('New Sign-Ups'!$E$5:$E$1004,$A27))</f>
        <v/>
      </c>
      <c r="J27" s="13">
        <f>IF($A27="","",COUNTIFS(People!$B$5:$B$604,$A27,People!$Z$5:$Z$604,1))</f>
        <v/>
      </c>
      <c r="K27" s="13">
        <f>IF($A27="","",COUNTIFS('New Sign-Ups'!$E$5:$E$1004,$A27,'New Sign-Ups'!$G$5:$G$1004,"→ add"))</f>
        <v/>
      </c>
      <c r="L27" s="13">
        <f>IF($A27="","",COUNTIFS(People!$B$5:$B$604,$A27,People!$P$5:$P$604,"✓",People!$R$5:$R$604,""))</f>
        <v/>
      </c>
      <c r="M27" s="18" t="n"/>
      <c r="N27" s="17" t="n"/>
    </row>
    <row r="28">
      <c r="A28" s="14" t="n"/>
      <c r="B28" s="18" t="n"/>
      <c r="C28" s="17" t="n"/>
      <c r="D28" s="16" t="n"/>
      <c r="E28" s="17" t="n"/>
      <c r="F28" s="16" t="n"/>
      <c r="G28" s="16" t="n"/>
      <c r="H28" s="16" t="n"/>
      <c r="I28" s="13">
        <f>IF($A28="","",COUNTIF('New Sign-Ups'!$E$5:$E$1004,$A28))</f>
        <v/>
      </c>
      <c r="J28" s="13">
        <f>IF($A28="","",COUNTIFS(People!$B$5:$B$604,$A28,People!$Z$5:$Z$604,1))</f>
        <v/>
      </c>
      <c r="K28" s="13">
        <f>IF($A28="","",COUNTIFS('New Sign-Ups'!$E$5:$E$1004,$A28,'New Sign-Ups'!$G$5:$G$1004,"→ add"))</f>
        <v/>
      </c>
      <c r="L28" s="13">
        <f>IF($A28="","",COUNTIFS(People!$B$5:$B$604,$A28,People!$P$5:$P$604,"✓",People!$R$5:$R$604,""))</f>
        <v/>
      </c>
      <c r="M28" s="18" t="n"/>
      <c r="N28" s="17" t="n"/>
    </row>
    <row r="29">
      <c r="A29" s="14" t="n"/>
      <c r="B29" s="18" t="n"/>
      <c r="C29" s="17" t="n"/>
      <c r="D29" s="16" t="n"/>
      <c r="E29" s="17" t="n"/>
      <c r="F29" s="16" t="n"/>
      <c r="G29" s="16" t="n"/>
      <c r="H29" s="16" t="n"/>
      <c r="I29" s="13">
        <f>IF($A29="","",COUNTIF('New Sign-Ups'!$E$5:$E$1004,$A29))</f>
        <v/>
      </c>
      <c r="J29" s="13">
        <f>IF($A29="","",COUNTIFS(People!$B$5:$B$604,$A29,People!$Z$5:$Z$604,1))</f>
        <v/>
      </c>
      <c r="K29" s="13">
        <f>IF($A29="","",COUNTIFS('New Sign-Ups'!$E$5:$E$1004,$A29,'New Sign-Ups'!$G$5:$G$1004,"→ add"))</f>
        <v/>
      </c>
      <c r="L29" s="13">
        <f>IF($A29="","",COUNTIFS(People!$B$5:$B$604,$A29,People!$P$5:$P$604,"✓",People!$R$5:$R$604,""))</f>
        <v/>
      </c>
      <c r="M29" s="18" t="n"/>
      <c r="N29" s="17" t="n"/>
    </row>
    <row r="30">
      <c r="A30" s="14" t="n"/>
      <c r="B30" s="18" t="n"/>
      <c r="C30" s="17" t="n"/>
      <c r="D30" s="16" t="n"/>
      <c r="E30" s="17" t="n"/>
      <c r="F30" s="16" t="n"/>
      <c r="G30" s="16" t="n"/>
      <c r="H30" s="16" t="n"/>
      <c r="I30" s="13">
        <f>IF($A30="","",COUNTIF('New Sign-Ups'!$E$5:$E$1004,$A30))</f>
        <v/>
      </c>
      <c r="J30" s="13">
        <f>IF($A30="","",COUNTIFS(People!$B$5:$B$604,$A30,People!$Z$5:$Z$604,1))</f>
        <v/>
      </c>
      <c r="K30" s="13">
        <f>IF($A30="","",COUNTIFS('New Sign-Ups'!$E$5:$E$1004,$A30,'New Sign-Ups'!$G$5:$G$1004,"→ add"))</f>
        <v/>
      </c>
      <c r="L30" s="13">
        <f>IF($A30="","",COUNTIFS(People!$B$5:$B$604,$A30,People!$P$5:$P$604,"✓",People!$R$5:$R$604,""))</f>
        <v/>
      </c>
      <c r="M30" s="18" t="n"/>
      <c r="N30" s="17" t="n"/>
    </row>
    <row r="31">
      <c r="A31" s="14" t="n"/>
      <c r="B31" s="18" t="n"/>
      <c r="C31" s="17" t="n"/>
      <c r="D31" s="16" t="n"/>
      <c r="E31" s="17" t="n"/>
      <c r="F31" s="16" t="n"/>
      <c r="G31" s="16" t="n"/>
      <c r="H31" s="16" t="n"/>
      <c r="I31" s="13">
        <f>IF($A31="","",COUNTIF('New Sign-Ups'!$E$5:$E$1004,$A31))</f>
        <v/>
      </c>
      <c r="J31" s="13">
        <f>IF($A31="","",COUNTIFS(People!$B$5:$B$604,$A31,People!$Z$5:$Z$604,1))</f>
        <v/>
      </c>
      <c r="K31" s="13">
        <f>IF($A31="","",COUNTIFS('New Sign-Ups'!$E$5:$E$1004,$A31,'New Sign-Ups'!$G$5:$G$1004,"→ add"))</f>
        <v/>
      </c>
      <c r="L31" s="13">
        <f>IF($A31="","",COUNTIFS(People!$B$5:$B$604,$A31,People!$P$5:$P$604,"✓",People!$R$5:$R$604,""))</f>
        <v/>
      </c>
      <c r="M31" s="18" t="n"/>
      <c r="N31" s="17" t="n"/>
    </row>
    <row r="32">
      <c r="A32" s="14" t="n"/>
      <c r="B32" s="18" t="n"/>
      <c r="C32" s="17" t="n"/>
      <c r="D32" s="16" t="n"/>
      <c r="E32" s="17" t="n"/>
      <c r="F32" s="16" t="n"/>
      <c r="G32" s="16" t="n"/>
      <c r="H32" s="16" t="n"/>
      <c r="I32" s="13">
        <f>IF($A32="","",COUNTIF('New Sign-Ups'!$E$5:$E$1004,$A32))</f>
        <v/>
      </c>
      <c r="J32" s="13">
        <f>IF($A32="","",COUNTIFS(People!$B$5:$B$604,$A32,People!$Z$5:$Z$604,1))</f>
        <v/>
      </c>
      <c r="K32" s="13">
        <f>IF($A32="","",COUNTIFS('New Sign-Ups'!$E$5:$E$1004,$A32,'New Sign-Ups'!$G$5:$G$1004,"→ add"))</f>
        <v/>
      </c>
      <c r="L32" s="13">
        <f>IF($A32="","",COUNTIFS(People!$B$5:$B$604,$A32,People!$P$5:$P$604,"✓",People!$R$5:$R$604,""))</f>
        <v/>
      </c>
      <c r="M32" s="18" t="n"/>
      <c r="N32" s="17" t="n"/>
    </row>
    <row r="33">
      <c r="A33" s="14" t="n"/>
      <c r="B33" s="18" t="n"/>
      <c r="C33" s="17" t="n"/>
      <c r="D33" s="16" t="n"/>
      <c r="E33" s="17" t="n"/>
      <c r="F33" s="16" t="n"/>
      <c r="G33" s="16" t="n"/>
      <c r="H33" s="16" t="n"/>
      <c r="I33" s="13">
        <f>IF($A33="","",COUNTIF('New Sign-Ups'!$E$5:$E$1004,$A33))</f>
        <v/>
      </c>
      <c r="J33" s="13">
        <f>IF($A33="","",COUNTIFS(People!$B$5:$B$604,$A33,People!$Z$5:$Z$604,1))</f>
        <v/>
      </c>
      <c r="K33" s="13">
        <f>IF($A33="","",COUNTIFS('New Sign-Ups'!$E$5:$E$1004,$A33,'New Sign-Ups'!$G$5:$G$1004,"→ add"))</f>
        <v/>
      </c>
      <c r="L33" s="13">
        <f>IF($A33="","",COUNTIFS(People!$B$5:$B$604,$A33,People!$P$5:$P$604,"✓",People!$R$5:$R$604,""))</f>
        <v/>
      </c>
      <c r="M33" s="18" t="n"/>
      <c r="N33" s="17" t="n"/>
    </row>
    <row r="34">
      <c r="A34" s="14" t="n"/>
      <c r="B34" s="18" t="n"/>
      <c r="C34" s="17" t="n"/>
      <c r="D34" s="16" t="n"/>
      <c r="E34" s="17" t="n"/>
      <c r="F34" s="16" t="n"/>
      <c r="G34" s="16" t="n"/>
      <c r="H34" s="16" t="n"/>
      <c r="I34" s="13">
        <f>IF($A34="","",COUNTIF('New Sign-Ups'!$E$5:$E$1004,$A34))</f>
        <v/>
      </c>
      <c r="J34" s="13">
        <f>IF($A34="","",COUNTIFS(People!$B$5:$B$604,$A34,People!$Z$5:$Z$604,1))</f>
        <v/>
      </c>
      <c r="K34" s="13">
        <f>IF($A34="","",COUNTIFS('New Sign-Ups'!$E$5:$E$1004,$A34,'New Sign-Ups'!$G$5:$G$1004,"→ add"))</f>
        <v/>
      </c>
      <c r="L34" s="13">
        <f>IF($A34="","",COUNTIFS(People!$B$5:$B$604,$A34,People!$P$5:$P$604,"✓",People!$R$5:$R$604,""))</f>
        <v/>
      </c>
      <c r="M34" s="18" t="n"/>
      <c r="N34" s="17" t="n"/>
    </row>
    <row r="35">
      <c r="A35" s="14" t="n"/>
      <c r="B35" s="18" t="n"/>
      <c r="C35" s="17" t="n"/>
      <c r="D35" s="16" t="n"/>
      <c r="E35" s="17" t="n"/>
      <c r="F35" s="16" t="n"/>
      <c r="G35" s="16" t="n"/>
      <c r="H35" s="16" t="n"/>
      <c r="I35" s="13">
        <f>IF($A35="","",COUNTIF('New Sign-Ups'!$E$5:$E$1004,$A35))</f>
        <v/>
      </c>
      <c r="J35" s="13">
        <f>IF($A35="","",COUNTIFS(People!$B$5:$B$604,$A35,People!$Z$5:$Z$604,1))</f>
        <v/>
      </c>
      <c r="K35" s="13">
        <f>IF($A35="","",COUNTIFS('New Sign-Ups'!$E$5:$E$1004,$A35,'New Sign-Ups'!$G$5:$G$1004,"→ add"))</f>
        <v/>
      </c>
      <c r="L35" s="13">
        <f>IF($A35="","",COUNTIFS(People!$B$5:$B$604,$A35,People!$P$5:$P$604,"✓",People!$R$5:$R$604,""))</f>
        <v/>
      </c>
      <c r="M35" s="18" t="n"/>
      <c r="N35" s="17" t="n"/>
    </row>
    <row r="36">
      <c r="A36" s="14" t="n"/>
      <c r="B36" s="18" t="n"/>
      <c r="C36" s="17" t="n"/>
      <c r="D36" s="16" t="n"/>
      <c r="E36" s="17" t="n"/>
      <c r="F36" s="16" t="n"/>
      <c r="G36" s="16" t="n"/>
      <c r="H36" s="16" t="n"/>
      <c r="I36" s="13">
        <f>IF($A36="","",COUNTIF('New Sign-Ups'!$E$5:$E$1004,$A36))</f>
        <v/>
      </c>
      <c r="J36" s="13">
        <f>IF($A36="","",COUNTIFS(People!$B$5:$B$604,$A36,People!$Z$5:$Z$604,1))</f>
        <v/>
      </c>
      <c r="K36" s="13">
        <f>IF($A36="","",COUNTIFS('New Sign-Ups'!$E$5:$E$1004,$A36,'New Sign-Ups'!$G$5:$G$1004,"→ add"))</f>
        <v/>
      </c>
      <c r="L36" s="13">
        <f>IF($A36="","",COUNTIFS(People!$B$5:$B$604,$A36,People!$P$5:$P$604,"✓",People!$R$5:$R$604,""))</f>
        <v/>
      </c>
      <c r="M36" s="18" t="n"/>
      <c r="N36" s="17" t="n"/>
    </row>
    <row r="37">
      <c r="A37" s="14" t="n"/>
      <c r="B37" s="18" t="n"/>
      <c r="C37" s="17" t="n"/>
      <c r="D37" s="16" t="n"/>
      <c r="E37" s="17" t="n"/>
      <c r="F37" s="16" t="n"/>
      <c r="G37" s="16" t="n"/>
      <c r="H37" s="16" t="n"/>
      <c r="I37" s="13">
        <f>IF($A37="","",COUNTIF('New Sign-Ups'!$E$5:$E$1004,$A37))</f>
        <v/>
      </c>
      <c r="J37" s="13">
        <f>IF($A37="","",COUNTIFS(People!$B$5:$B$604,$A37,People!$Z$5:$Z$604,1))</f>
        <v/>
      </c>
      <c r="K37" s="13">
        <f>IF($A37="","",COUNTIFS('New Sign-Ups'!$E$5:$E$1004,$A37,'New Sign-Ups'!$G$5:$G$1004,"→ add"))</f>
        <v/>
      </c>
      <c r="L37" s="13">
        <f>IF($A37="","",COUNTIFS(People!$B$5:$B$604,$A37,People!$P$5:$P$604,"✓",People!$R$5:$R$604,""))</f>
        <v/>
      </c>
      <c r="M37" s="18" t="n"/>
      <c r="N37" s="17" t="n"/>
    </row>
    <row r="38">
      <c r="A38" s="14" t="n"/>
      <c r="B38" s="18" t="n"/>
      <c r="C38" s="17" t="n"/>
      <c r="D38" s="16" t="n"/>
      <c r="E38" s="17" t="n"/>
      <c r="F38" s="16" t="n"/>
      <c r="G38" s="16" t="n"/>
      <c r="H38" s="16" t="n"/>
      <c r="I38" s="13">
        <f>IF($A38="","",COUNTIF('New Sign-Ups'!$E$5:$E$1004,$A38))</f>
        <v/>
      </c>
      <c r="J38" s="13">
        <f>IF($A38="","",COUNTIFS(People!$B$5:$B$604,$A38,People!$Z$5:$Z$604,1))</f>
        <v/>
      </c>
      <c r="K38" s="13">
        <f>IF($A38="","",COUNTIFS('New Sign-Ups'!$E$5:$E$1004,$A38,'New Sign-Ups'!$G$5:$G$1004,"→ add"))</f>
        <v/>
      </c>
      <c r="L38" s="13">
        <f>IF($A38="","",COUNTIFS(People!$B$5:$B$604,$A38,People!$P$5:$P$604,"✓",People!$R$5:$R$604,""))</f>
        <v/>
      </c>
      <c r="M38" s="18" t="n"/>
      <c r="N38" s="17" t="n"/>
    </row>
    <row r="39">
      <c r="A39" s="14" t="n"/>
      <c r="B39" s="18" t="n"/>
      <c r="C39" s="17" t="n"/>
      <c r="D39" s="16" t="n"/>
      <c r="E39" s="17" t="n"/>
      <c r="F39" s="16" t="n"/>
      <c r="G39" s="16" t="n"/>
      <c r="H39" s="16" t="n"/>
      <c r="I39" s="13">
        <f>IF($A39="","",COUNTIF('New Sign-Ups'!$E$5:$E$1004,$A39))</f>
        <v/>
      </c>
      <c r="J39" s="13">
        <f>IF($A39="","",COUNTIFS(People!$B$5:$B$604,$A39,People!$Z$5:$Z$604,1))</f>
        <v/>
      </c>
      <c r="K39" s="13">
        <f>IF($A39="","",COUNTIFS('New Sign-Ups'!$E$5:$E$1004,$A39,'New Sign-Ups'!$G$5:$G$1004,"→ add"))</f>
        <v/>
      </c>
      <c r="L39" s="13">
        <f>IF($A39="","",COUNTIFS(People!$B$5:$B$604,$A39,People!$P$5:$P$604,"✓",People!$R$5:$R$604,""))</f>
        <v/>
      </c>
      <c r="M39" s="18" t="n"/>
      <c r="N39" s="17" t="n"/>
    </row>
    <row r="40">
      <c r="A40" s="14" t="n"/>
      <c r="B40" s="18" t="n"/>
      <c r="C40" s="17" t="n"/>
      <c r="D40" s="16" t="n"/>
      <c r="E40" s="17" t="n"/>
      <c r="F40" s="16" t="n"/>
      <c r="G40" s="16" t="n"/>
      <c r="H40" s="16" t="n"/>
      <c r="I40" s="13">
        <f>IF($A40="","",COUNTIF('New Sign-Ups'!$E$5:$E$1004,$A40))</f>
        <v/>
      </c>
      <c r="J40" s="13">
        <f>IF($A40="","",COUNTIFS(People!$B$5:$B$604,$A40,People!$Z$5:$Z$604,1))</f>
        <v/>
      </c>
      <c r="K40" s="13">
        <f>IF($A40="","",COUNTIFS('New Sign-Ups'!$E$5:$E$1004,$A40,'New Sign-Ups'!$G$5:$G$1004,"→ add"))</f>
        <v/>
      </c>
      <c r="L40" s="13">
        <f>IF($A40="","",COUNTIFS(People!$B$5:$B$604,$A40,People!$P$5:$P$604,"✓",People!$R$5:$R$604,""))</f>
        <v/>
      </c>
      <c r="M40" s="18" t="n"/>
      <c r="N40" s="17" t="n"/>
    </row>
    <row r="41">
      <c r="A41" s="14" t="n"/>
      <c r="B41" s="18" t="n"/>
      <c r="C41" s="17" t="n"/>
      <c r="D41" s="16" t="n"/>
      <c r="E41" s="17" t="n"/>
      <c r="F41" s="16" t="n"/>
      <c r="G41" s="16" t="n"/>
      <c r="H41" s="16" t="n"/>
      <c r="I41" s="13">
        <f>IF($A41="","",COUNTIF('New Sign-Ups'!$E$5:$E$1004,$A41))</f>
        <v/>
      </c>
      <c r="J41" s="13">
        <f>IF($A41="","",COUNTIFS(People!$B$5:$B$604,$A41,People!$Z$5:$Z$604,1))</f>
        <v/>
      </c>
      <c r="K41" s="13">
        <f>IF($A41="","",COUNTIFS('New Sign-Ups'!$E$5:$E$1004,$A41,'New Sign-Ups'!$G$5:$G$1004,"→ add"))</f>
        <v/>
      </c>
      <c r="L41" s="13">
        <f>IF($A41="","",COUNTIFS(People!$B$5:$B$604,$A41,People!$P$5:$P$604,"✓",People!$R$5:$R$604,""))</f>
        <v/>
      </c>
      <c r="M41" s="18" t="n"/>
      <c r="N41" s="17" t="n"/>
    </row>
    <row r="42">
      <c r="A42" s="14" t="n"/>
      <c r="B42" s="18" t="n"/>
      <c r="C42" s="17" t="n"/>
      <c r="D42" s="16" t="n"/>
      <c r="E42" s="17" t="n"/>
      <c r="F42" s="16" t="n"/>
      <c r="G42" s="16" t="n"/>
      <c r="H42" s="16" t="n"/>
      <c r="I42" s="13">
        <f>IF($A42="","",COUNTIF('New Sign-Ups'!$E$5:$E$1004,$A42))</f>
        <v/>
      </c>
      <c r="J42" s="13">
        <f>IF($A42="","",COUNTIFS(People!$B$5:$B$604,$A42,People!$Z$5:$Z$604,1))</f>
        <v/>
      </c>
      <c r="K42" s="13">
        <f>IF($A42="","",COUNTIFS('New Sign-Ups'!$E$5:$E$1004,$A42,'New Sign-Ups'!$G$5:$G$1004,"→ add"))</f>
        <v/>
      </c>
      <c r="L42" s="13">
        <f>IF($A42="","",COUNTIFS(People!$B$5:$B$604,$A42,People!$P$5:$P$604,"✓",People!$R$5:$R$604,""))</f>
        <v/>
      </c>
      <c r="M42" s="18" t="n"/>
      <c r="N42" s="17" t="n"/>
    </row>
    <row r="43">
      <c r="A43" s="14" t="n"/>
      <c r="B43" s="18" t="n"/>
      <c r="C43" s="17" t="n"/>
      <c r="D43" s="16" t="n"/>
      <c r="E43" s="17" t="n"/>
      <c r="F43" s="16" t="n"/>
      <c r="G43" s="16" t="n"/>
      <c r="H43" s="16" t="n"/>
      <c r="I43" s="13">
        <f>IF($A43="","",COUNTIF('New Sign-Ups'!$E$5:$E$1004,$A43))</f>
        <v/>
      </c>
      <c r="J43" s="13">
        <f>IF($A43="","",COUNTIFS(People!$B$5:$B$604,$A43,People!$Z$5:$Z$604,1))</f>
        <v/>
      </c>
      <c r="K43" s="13">
        <f>IF($A43="","",COUNTIFS('New Sign-Ups'!$E$5:$E$1004,$A43,'New Sign-Ups'!$G$5:$G$1004,"→ add"))</f>
        <v/>
      </c>
      <c r="L43" s="13">
        <f>IF($A43="","",COUNTIFS(People!$B$5:$B$604,$A43,People!$P$5:$P$604,"✓",People!$R$5:$R$604,""))</f>
        <v/>
      </c>
      <c r="M43" s="18" t="n"/>
      <c r="N43" s="17" t="n"/>
    </row>
    <row r="44">
      <c r="A44" s="14" t="n"/>
      <c r="B44" s="18" t="n"/>
      <c r="C44" s="17" t="n"/>
      <c r="D44" s="16" t="n"/>
      <c r="E44" s="17" t="n"/>
      <c r="F44" s="16" t="n"/>
      <c r="G44" s="16" t="n"/>
      <c r="H44" s="16" t="n"/>
      <c r="I44" s="13">
        <f>IF($A44="","",COUNTIF('New Sign-Ups'!$E$5:$E$1004,$A44))</f>
        <v/>
      </c>
      <c r="J44" s="13">
        <f>IF($A44="","",COUNTIFS(People!$B$5:$B$604,$A44,People!$Z$5:$Z$604,1))</f>
        <v/>
      </c>
      <c r="K44" s="13">
        <f>IF($A44="","",COUNTIFS('New Sign-Ups'!$E$5:$E$1004,$A44,'New Sign-Ups'!$G$5:$G$1004,"→ add"))</f>
        <v/>
      </c>
      <c r="L44" s="13">
        <f>IF($A44="","",COUNTIFS(People!$B$5:$B$604,$A44,People!$P$5:$P$604,"✓",People!$R$5:$R$604,""))</f>
        <v/>
      </c>
      <c r="M44" s="18" t="n"/>
      <c r="N44" s="17" t="n"/>
    </row>
    <row r="45">
      <c r="A45" s="14" t="n"/>
      <c r="B45" s="18" t="n"/>
      <c r="C45" s="17" t="n"/>
      <c r="D45" s="16" t="n"/>
      <c r="E45" s="17" t="n"/>
      <c r="F45" s="16" t="n"/>
      <c r="G45" s="16" t="n"/>
      <c r="H45" s="16" t="n"/>
      <c r="I45" s="13">
        <f>IF($A45="","",COUNTIF('New Sign-Ups'!$E$5:$E$1004,$A45))</f>
        <v/>
      </c>
      <c r="J45" s="13">
        <f>IF($A45="","",COUNTIFS(People!$B$5:$B$604,$A45,People!$Z$5:$Z$604,1))</f>
        <v/>
      </c>
      <c r="K45" s="13">
        <f>IF($A45="","",COUNTIFS('New Sign-Ups'!$E$5:$E$1004,$A45,'New Sign-Ups'!$G$5:$G$1004,"→ add"))</f>
        <v/>
      </c>
      <c r="L45" s="13">
        <f>IF($A45="","",COUNTIFS(People!$B$5:$B$604,$A45,People!$P$5:$P$604,"✓",People!$R$5:$R$604,""))</f>
        <v/>
      </c>
      <c r="M45" s="18" t="n"/>
      <c r="N45" s="17" t="n"/>
    </row>
    <row r="46">
      <c r="A46" s="14" t="n"/>
      <c r="B46" s="18" t="n"/>
      <c r="C46" s="17" t="n"/>
      <c r="D46" s="16" t="n"/>
      <c r="E46" s="17" t="n"/>
      <c r="F46" s="16" t="n"/>
      <c r="G46" s="16" t="n"/>
      <c r="H46" s="16" t="n"/>
      <c r="I46" s="13">
        <f>IF($A46="","",COUNTIF('New Sign-Ups'!$E$5:$E$1004,$A46))</f>
        <v/>
      </c>
      <c r="J46" s="13">
        <f>IF($A46="","",COUNTIFS(People!$B$5:$B$604,$A46,People!$Z$5:$Z$604,1))</f>
        <v/>
      </c>
      <c r="K46" s="13">
        <f>IF($A46="","",COUNTIFS('New Sign-Ups'!$E$5:$E$1004,$A46,'New Sign-Ups'!$G$5:$G$1004,"→ add"))</f>
        <v/>
      </c>
      <c r="L46" s="13">
        <f>IF($A46="","",COUNTIFS(People!$B$5:$B$604,$A46,People!$P$5:$P$604,"✓",People!$R$5:$R$604,""))</f>
        <v/>
      </c>
      <c r="M46" s="18" t="n"/>
      <c r="N46" s="17" t="n"/>
    </row>
    <row r="47">
      <c r="A47" s="14" t="n"/>
      <c r="B47" s="18" t="n"/>
      <c r="C47" s="17" t="n"/>
      <c r="D47" s="16" t="n"/>
      <c r="E47" s="17" t="n"/>
      <c r="F47" s="16" t="n"/>
      <c r="G47" s="16" t="n"/>
      <c r="H47" s="16" t="n"/>
      <c r="I47" s="13">
        <f>IF($A47="","",COUNTIF('New Sign-Ups'!$E$5:$E$1004,$A47))</f>
        <v/>
      </c>
      <c r="J47" s="13">
        <f>IF($A47="","",COUNTIFS(People!$B$5:$B$604,$A47,People!$Z$5:$Z$604,1))</f>
        <v/>
      </c>
      <c r="K47" s="13">
        <f>IF($A47="","",COUNTIFS('New Sign-Ups'!$E$5:$E$1004,$A47,'New Sign-Ups'!$G$5:$G$1004,"→ add"))</f>
        <v/>
      </c>
      <c r="L47" s="13">
        <f>IF($A47="","",COUNTIFS(People!$B$5:$B$604,$A47,People!$P$5:$P$604,"✓",People!$R$5:$R$604,""))</f>
        <v/>
      </c>
      <c r="M47" s="18" t="n"/>
      <c r="N47" s="17" t="n"/>
    </row>
    <row r="48">
      <c r="A48" s="14" t="n"/>
      <c r="B48" s="18" t="n"/>
      <c r="C48" s="17" t="n"/>
      <c r="D48" s="16" t="n"/>
      <c r="E48" s="17" t="n"/>
      <c r="F48" s="16" t="n"/>
      <c r="G48" s="16" t="n"/>
      <c r="H48" s="16" t="n"/>
      <c r="I48" s="13">
        <f>IF($A48="","",COUNTIF('New Sign-Ups'!$E$5:$E$1004,$A48))</f>
        <v/>
      </c>
      <c r="J48" s="13">
        <f>IF($A48="","",COUNTIFS(People!$B$5:$B$604,$A48,People!$Z$5:$Z$604,1))</f>
        <v/>
      </c>
      <c r="K48" s="13">
        <f>IF($A48="","",COUNTIFS('New Sign-Ups'!$E$5:$E$1004,$A48,'New Sign-Ups'!$G$5:$G$1004,"→ add"))</f>
        <v/>
      </c>
      <c r="L48" s="13">
        <f>IF($A48="","",COUNTIFS(People!$B$5:$B$604,$A48,People!$P$5:$P$604,"✓",People!$R$5:$R$604,""))</f>
        <v/>
      </c>
      <c r="M48" s="18" t="n"/>
      <c r="N48" s="17" t="n"/>
    </row>
    <row r="49">
      <c r="A49" s="14" t="n"/>
      <c r="B49" s="18" t="n"/>
      <c r="C49" s="17" t="n"/>
      <c r="D49" s="16" t="n"/>
      <c r="E49" s="17" t="n"/>
      <c r="F49" s="16" t="n"/>
      <c r="G49" s="16" t="n"/>
      <c r="H49" s="16" t="n"/>
      <c r="I49" s="13">
        <f>IF($A49="","",COUNTIF('New Sign-Ups'!$E$5:$E$1004,$A49))</f>
        <v/>
      </c>
      <c r="J49" s="13">
        <f>IF($A49="","",COUNTIFS(People!$B$5:$B$604,$A49,People!$Z$5:$Z$604,1))</f>
        <v/>
      </c>
      <c r="K49" s="13">
        <f>IF($A49="","",COUNTIFS('New Sign-Ups'!$E$5:$E$1004,$A49,'New Sign-Ups'!$G$5:$G$1004,"→ add"))</f>
        <v/>
      </c>
      <c r="L49" s="13">
        <f>IF($A49="","",COUNTIFS(People!$B$5:$B$604,$A49,People!$P$5:$P$604,"✓",People!$R$5:$R$604,""))</f>
        <v/>
      </c>
      <c r="M49" s="18" t="n"/>
      <c r="N49" s="17" t="n"/>
    </row>
    <row r="50">
      <c r="A50" s="14" t="n"/>
      <c r="B50" s="18" t="n"/>
      <c r="C50" s="17" t="n"/>
      <c r="D50" s="16" t="n"/>
      <c r="E50" s="17" t="n"/>
      <c r="F50" s="16" t="n"/>
      <c r="G50" s="16" t="n"/>
      <c r="H50" s="16" t="n"/>
      <c r="I50" s="13">
        <f>IF($A50="","",COUNTIF('New Sign-Ups'!$E$5:$E$1004,$A50))</f>
        <v/>
      </c>
      <c r="J50" s="13">
        <f>IF($A50="","",COUNTIFS(People!$B$5:$B$604,$A50,People!$Z$5:$Z$604,1))</f>
        <v/>
      </c>
      <c r="K50" s="13">
        <f>IF($A50="","",COUNTIFS('New Sign-Ups'!$E$5:$E$1004,$A50,'New Sign-Ups'!$G$5:$G$1004,"→ add"))</f>
        <v/>
      </c>
      <c r="L50" s="13">
        <f>IF($A50="","",COUNTIFS(People!$B$5:$B$604,$A50,People!$P$5:$P$604,"✓",People!$R$5:$R$604,""))</f>
        <v/>
      </c>
      <c r="M50" s="18" t="n"/>
      <c r="N50" s="17" t="n"/>
    </row>
    <row r="51">
      <c r="A51" s="14" t="n"/>
      <c r="B51" s="18" t="n"/>
      <c r="C51" s="17" t="n"/>
      <c r="D51" s="16" t="n"/>
      <c r="E51" s="17" t="n"/>
      <c r="F51" s="16" t="n"/>
      <c r="G51" s="16" t="n"/>
      <c r="H51" s="16" t="n"/>
      <c r="I51" s="13">
        <f>IF($A51="","",COUNTIF('New Sign-Ups'!$E$5:$E$1004,$A51))</f>
        <v/>
      </c>
      <c r="J51" s="13">
        <f>IF($A51="","",COUNTIFS(People!$B$5:$B$604,$A51,People!$Z$5:$Z$604,1))</f>
        <v/>
      </c>
      <c r="K51" s="13">
        <f>IF($A51="","",COUNTIFS('New Sign-Ups'!$E$5:$E$1004,$A51,'New Sign-Ups'!$G$5:$G$1004,"→ add"))</f>
        <v/>
      </c>
      <c r="L51" s="13">
        <f>IF($A51="","",COUNTIFS(People!$B$5:$B$604,$A51,People!$P$5:$P$604,"✓",People!$R$5:$R$604,""))</f>
        <v/>
      </c>
      <c r="M51" s="18" t="n"/>
      <c r="N51" s="17" t="n"/>
    </row>
    <row r="52">
      <c r="A52" s="14" t="n"/>
      <c r="B52" s="18" t="n"/>
      <c r="C52" s="17" t="n"/>
      <c r="D52" s="16" t="n"/>
      <c r="E52" s="17" t="n"/>
      <c r="F52" s="16" t="n"/>
      <c r="G52" s="16" t="n"/>
      <c r="H52" s="16" t="n"/>
      <c r="I52" s="13">
        <f>IF($A52="","",COUNTIF('New Sign-Ups'!$E$5:$E$1004,$A52))</f>
        <v/>
      </c>
      <c r="J52" s="13">
        <f>IF($A52="","",COUNTIFS(People!$B$5:$B$604,$A52,People!$Z$5:$Z$604,1))</f>
        <v/>
      </c>
      <c r="K52" s="13">
        <f>IF($A52="","",COUNTIFS('New Sign-Ups'!$E$5:$E$1004,$A52,'New Sign-Ups'!$G$5:$G$1004,"→ add"))</f>
        <v/>
      </c>
      <c r="L52" s="13">
        <f>IF($A52="","",COUNTIFS(People!$B$5:$B$604,$A52,People!$P$5:$P$604,"✓",People!$R$5:$R$604,""))</f>
        <v/>
      </c>
      <c r="M52" s="18" t="n"/>
      <c r="N52" s="17" t="n"/>
    </row>
    <row r="53">
      <c r="A53" s="14" t="n"/>
      <c r="B53" s="18" t="n"/>
      <c r="C53" s="17" t="n"/>
      <c r="D53" s="16" t="n"/>
      <c r="E53" s="17" t="n"/>
      <c r="F53" s="16" t="n"/>
      <c r="G53" s="16" t="n"/>
      <c r="H53" s="16" t="n"/>
      <c r="I53" s="13">
        <f>IF($A53="","",COUNTIF('New Sign-Ups'!$E$5:$E$1004,$A53))</f>
        <v/>
      </c>
      <c r="J53" s="13">
        <f>IF($A53="","",COUNTIFS(People!$B$5:$B$604,$A53,People!$Z$5:$Z$604,1))</f>
        <v/>
      </c>
      <c r="K53" s="13">
        <f>IF($A53="","",COUNTIFS('New Sign-Ups'!$E$5:$E$1004,$A53,'New Sign-Ups'!$G$5:$G$1004,"→ add"))</f>
        <v/>
      </c>
      <c r="L53" s="13">
        <f>IF($A53="","",COUNTIFS(People!$B$5:$B$604,$A53,People!$P$5:$P$604,"✓",People!$R$5:$R$604,""))</f>
        <v/>
      </c>
      <c r="M53" s="18" t="n"/>
      <c r="N53" s="17" t="n"/>
    </row>
    <row r="54">
      <c r="A54" s="14" t="n"/>
      <c r="B54" s="18" t="n"/>
      <c r="C54" s="17" t="n"/>
      <c r="D54" s="16" t="n"/>
      <c r="E54" s="17" t="n"/>
      <c r="F54" s="16" t="n"/>
      <c r="G54" s="16" t="n"/>
      <c r="H54" s="16" t="n"/>
      <c r="I54" s="13">
        <f>IF($A54="","",COUNTIF('New Sign-Ups'!$E$5:$E$1004,$A54))</f>
        <v/>
      </c>
      <c r="J54" s="13">
        <f>IF($A54="","",COUNTIFS(People!$B$5:$B$604,$A54,People!$Z$5:$Z$604,1))</f>
        <v/>
      </c>
      <c r="K54" s="13">
        <f>IF($A54="","",COUNTIFS('New Sign-Ups'!$E$5:$E$1004,$A54,'New Sign-Ups'!$G$5:$G$1004,"→ add"))</f>
        <v/>
      </c>
      <c r="L54" s="13">
        <f>IF($A54="","",COUNTIFS(People!$B$5:$B$604,$A54,People!$P$5:$P$604,"✓",People!$R$5:$R$604,""))</f>
        <v/>
      </c>
      <c r="M54" s="18" t="n"/>
      <c r="N54" s="17" t="n"/>
    </row>
    <row r="55">
      <c r="A55" s="14" t="n"/>
      <c r="B55" s="18" t="n"/>
      <c r="C55" s="17" t="n"/>
      <c r="D55" s="16" t="n"/>
      <c r="E55" s="17" t="n"/>
      <c r="F55" s="16" t="n"/>
      <c r="G55" s="16" t="n"/>
      <c r="H55" s="16" t="n"/>
      <c r="I55" s="13">
        <f>IF($A55="","",COUNTIF('New Sign-Ups'!$E$5:$E$1004,$A55))</f>
        <v/>
      </c>
      <c r="J55" s="13">
        <f>IF($A55="","",COUNTIFS(People!$B$5:$B$604,$A55,People!$Z$5:$Z$604,1))</f>
        <v/>
      </c>
      <c r="K55" s="13">
        <f>IF($A55="","",COUNTIFS('New Sign-Ups'!$E$5:$E$1004,$A55,'New Sign-Ups'!$G$5:$G$1004,"→ add"))</f>
        <v/>
      </c>
      <c r="L55" s="13">
        <f>IF($A55="","",COUNTIFS(People!$B$5:$B$604,$A55,People!$P$5:$P$604,"✓",People!$R$5:$R$604,""))</f>
        <v/>
      </c>
      <c r="M55" s="18" t="n"/>
      <c r="N55" s="17" t="n"/>
    </row>
    <row r="56">
      <c r="A56" s="14" t="n"/>
      <c r="B56" s="18" t="n"/>
      <c r="C56" s="17" t="n"/>
      <c r="D56" s="16" t="n"/>
      <c r="E56" s="17" t="n"/>
      <c r="F56" s="16" t="n"/>
      <c r="G56" s="16" t="n"/>
      <c r="H56" s="16" t="n"/>
      <c r="I56" s="13">
        <f>IF($A56="","",COUNTIF('New Sign-Ups'!$E$5:$E$1004,$A56))</f>
        <v/>
      </c>
      <c r="J56" s="13">
        <f>IF($A56="","",COUNTIFS(People!$B$5:$B$604,$A56,People!$Z$5:$Z$604,1))</f>
        <v/>
      </c>
      <c r="K56" s="13">
        <f>IF($A56="","",COUNTIFS('New Sign-Ups'!$E$5:$E$1004,$A56,'New Sign-Ups'!$G$5:$G$1004,"→ add"))</f>
        <v/>
      </c>
      <c r="L56" s="13">
        <f>IF($A56="","",COUNTIFS(People!$B$5:$B$604,$A56,People!$P$5:$P$604,"✓",People!$R$5:$R$604,""))</f>
        <v/>
      </c>
      <c r="M56" s="18" t="n"/>
      <c r="N56" s="17" t="n"/>
    </row>
    <row r="57">
      <c r="A57" s="14" t="n"/>
      <c r="B57" s="18" t="n"/>
      <c r="C57" s="17" t="n"/>
      <c r="D57" s="16" t="n"/>
      <c r="E57" s="17" t="n"/>
      <c r="F57" s="16" t="n"/>
      <c r="G57" s="16" t="n"/>
      <c r="H57" s="16" t="n"/>
      <c r="I57" s="13">
        <f>IF($A57="","",COUNTIF('New Sign-Ups'!$E$5:$E$1004,$A57))</f>
        <v/>
      </c>
      <c r="J57" s="13">
        <f>IF($A57="","",COUNTIFS(People!$B$5:$B$604,$A57,People!$Z$5:$Z$604,1))</f>
        <v/>
      </c>
      <c r="K57" s="13">
        <f>IF($A57="","",COUNTIFS('New Sign-Ups'!$E$5:$E$1004,$A57,'New Sign-Ups'!$G$5:$G$1004,"→ add"))</f>
        <v/>
      </c>
      <c r="L57" s="13">
        <f>IF($A57="","",COUNTIFS(People!$B$5:$B$604,$A57,People!$P$5:$P$604,"✓",People!$R$5:$R$604,""))</f>
        <v/>
      </c>
      <c r="M57" s="18" t="n"/>
      <c r="N57" s="17" t="n"/>
    </row>
    <row r="58">
      <c r="A58" s="14" t="n"/>
      <c r="B58" s="18" t="n"/>
      <c r="C58" s="17" t="n"/>
      <c r="D58" s="16" t="n"/>
      <c r="E58" s="17" t="n"/>
      <c r="F58" s="16" t="n"/>
      <c r="G58" s="16" t="n"/>
      <c r="H58" s="16" t="n"/>
      <c r="I58" s="13">
        <f>IF($A58="","",COUNTIF('New Sign-Ups'!$E$5:$E$1004,$A58))</f>
        <v/>
      </c>
      <c r="J58" s="13">
        <f>IF($A58="","",COUNTIFS(People!$B$5:$B$604,$A58,People!$Z$5:$Z$604,1))</f>
        <v/>
      </c>
      <c r="K58" s="13">
        <f>IF($A58="","",COUNTIFS('New Sign-Ups'!$E$5:$E$1004,$A58,'New Sign-Ups'!$G$5:$G$1004,"→ add"))</f>
        <v/>
      </c>
      <c r="L58" s="13">
        <f>IF($A58="","",COUNTIFS(People!$B$5:$B$604,$A58,People!$P$5:$P$604,"✓",People!$R$5:$R$604,""))</f>
        <v/>
      </c>
      <c r="M58" s="18" t="n"/>
      <c r="N58" s="17" t="n"/>
    </row>
    <row r="59">
      <c r="A59" s="14" t="n"/>
      <c r="B59" s="18" t="n"/>
      <c r="C59" s="17" t="n"/>
      <c r="D59" s="16" t="n"/>
      <c r="E59" s="17" t="n"/>
      <c r="F59" s="16" t="n"/>
      <c r="G59" s="16" t="n"/>
      <c r="H59" s="16" t="n"/>
      <c r="I59" s="13">
        <f>IF($A59="","",COUNTIF('New Sign-Ups'!$E$5:$E$1004,$A59))</f>
        <v/>
      </c>
      <c r="J59" s="13">
        <f>IF($A59="","",COUNTIFS(People!$B$5:$B$604,$A59,People!$Z$5:$Z$604,1))</f>
        <v/>
      </c>
      <c r="K59" s="13">
        <f>IF($A59="","",COUNTIFS('New Sign-Ups'!$E$5:$E$1004,$A59,'New Sign-Ups'!$G$5:$G$1004,"→ add"))</f>
        <v/>
      </c>
      <c r="L59" s="13">
        <f>IF($A59="","",COUNTIFS(People!$B$5:$B$604,$A59,People!$P$5:$P$604,"✓",People!$R$5:$R$604,""))</f>
        <v/>
      </c>
      <c r="M59" s="18" t="n"/>
      <c r="N59" s="17" t="n"/>
    </row>
    <row r="60">
      <c r="A60" s="14" t="n"/>
      <c r="B60" s="18" t="n"/>
      <c r="C60" s="17" t="n"/>
      <c r="D60" s="16" t="n"/>
      <c r="E60" s="17" t="n"/>
      <c r="F60" s="16" t="n"/>
      <c r="G60" s="16" t="n"/>
      <c r="H60" s="16" t="n"/>
      <c r="I60" s="13">
        <f>IF($A60="","",COUNTIF('New Sign-Ups'!$E$5:$E$1004,$A60))</f>
        <v/>
      </c>
      <c r="J60" s="13">
        <f>IF($A60="","",COUNTIFS(People!$B$5:$B$604,$A60,People!$Z$5:$Z$604,1))</f>
        <v/>
      </c>
      <c r="K60" s="13">
        <f>IF($A60="","",COUNTIFS('New Sign-Ups'!$E$5:$E$1004,$A60,'New Sign-Ups'!$G$5:$G$1004,"→ add"))</f>
        <v/>
      </c>
      <c r="L60" s="13">
        <f>IF($A60="","",COUNTIFS(People!$B$5:$B$604,$A60,People!$P$5:$P$604,"✓",People!$R$5:$R$604,""))</f>
        <v/>
      </c>
      <c r="M60" s="18" t="n"/>
      <c r="N60" s="17" t="n"/>
    </row>
    <row r="61">
      <c r="A61" s="14" t="n"/>
      <c r="B61" s="18" t="n"/>
      <c r="C61" s="17" t="n"/>
      <c r="D61" s="16" t="n"/>
      <c r="E61" s="17" t="n"/>
      <c r="F61" s="16" t="n"/>
      <c r="G61" s="16" t="n"/>
      <c r="H61" s="16" t="n"/>
      <c r="I61" s="13">
        <f>IF($A61="","",COUNTIF('New Sign-Ups'!$E$5:$E$1004,$A61))</f>
        <v/>
      </c>
      <c r="J61" s="13">
        <f>IF($A61="","",COUNTIFS(People!$B$5:$B$604,$A61,People!$Z$5:$Z$604,1))</f>
        <v/>
      </c>
      <c r="K61" s="13">
        <f>IF($A61="","",COUNTIFS('New Sign-Ups'!$E$5:$E$1004,$A61,'New Sign-Ups'!$G$5:$G$1004,"→ add"))</f>
        <v/>
      </c>
      <c r="L61" s="13">
        <f>IF($A61="","",COUNTIFS(People!$B$5:$B$604,$A61,People!$P$5:$P$604,"✓",People!$R$5:$R$604,""))</f>
        <v/>
      </c>
      <c r="M61" s="18" t="n"/>
      <c r="N61" s="17" t="n"/>
    </row>
    <row r="62">
      <c r="A62" s="14" t="n"/>
      <c r="B62" s="18" t="n"/>
      <c r="C62" s="17" t="n"/>
      <c r="D62" s="16" t="n"/>
      <c r="E62" s="17" t="n"/>
      <c r="F62" s="16" t="n"/>
      <c r="G62" s="16" t="n"/>
      <c r="H62" s="16" t="n"/>
      <c r="I62" s="13">
        <f>IF($A62="","",COUNTIF('New Sign-Ups'!$E$5:$E$1004,$A62))</f>
        <v/>
      </c>
      <c r="J62" s="13">
        <f>IF($A62="","",COUNTIFS(People!$B$5:$B$604,$A62,People!$Z$5:$Z$604,1))</f>
        <v/>
      </c>
      <c r="K62" s="13">
        <f>IF($A62="","",COUNTIFS('New Sign-Ups'!$E$5:$E$1004,$A62,'New Sign-Ups'!$G$5:$G$1004,"→ add"))</f>
        <v/>
      </c>
      <c r="L62" s="13">
        <f>IF($A62="","",COUNTIFS(People!$B$5:$B$604,$A62,People!$P$5:$P$604,"✓",People!$R$5:$R$604,""))</f>
        <v/>
      </c>
      <c r="M62" s="18" t="n"/>
      <c r="N62" s="17" t="n"/>
    </row>
    <row r="63">
      <c r="A63" s="14" t="n"/>
      <c r="B63" s="18" t="n"/>
      <c r="C63" s="17" t="n"/>
      <c r="D63" s="16" t="n"/>
      <c r="E63" s="17" t="n"/>
      <c r="F63" s="16" t="n"/>
      <c r="G63" s="16" t="n"/>
      <c r="H63" s="16" t="n"/>
      <c r="I63" s="13">
        <f>IF($A63="","",COUNTIF('New Sign-Ups'!$E$5:$E$1004,$A63))</f>
        <v/>
      </c>
      <c r="J63" s="13">
        <f>IF($A63="","",COUNTIFS(People!$B$5:$B$604,$A63,People!$Z$5:$Z$604,1))</f>
        <v/>
      </c>
      <c r="K63" s="13">
        <f>IF($A63="","",COUNTIFS('New Sign-Ups'!$E$5:$E$1004,$A63,'New Sign-Ups'!$G$5:$G$1004,"→ add"))</f>
        <v/>
      </c>
      <c r="L63" s="13">
        <f>IF($A63="","",COUNTIFS(People!$B$5:$B$604,$A63,People!$P$5:$P$604,"✓",People!$R$5:$R$604,""))</f>
        <v/>
      </c>
      <c r="M63" s="18" t="n"/>
      <c r="N63" s="17" t="n"/>
    </row>
    <row r="64">
      <c r="A64" s="14" t="n"/>
      <c r="B64" s="18" t="n"/>
      <c r="C64" s="17" t="n"/>
      <c r="D64" s="16" t="n"/>
      <c r="E64" s="17" t="n"/>
      <c r="F64" s="16" t="n"/>
      <c r="G64" s="16" t="n"/>
      <c r="H64" s="16" t="n"/>
      <c r="I64" s="13">
        <f>IF($A64="","",COUNTIF('New Sign-Ups'!$E$5:$E$1004,$A64))</f>
        <v/>
      </c>
      <c r="J64" s="13">
        <f>IF($A64="","",COUNTIFS(People!$B$5:$B$604,$A64,People!$Z$5:$Z$604,1))</f>
        <v/>
      </c>
      <c r="K64" s="13">
        <f>IF($A64="","",COUNTIFS('New Sign-Ups'!$E$5:$E$1004,$A64,'New Sign-Ups'!$G$5:$G$1004,"→ add"))</f>
        <v/>
      </c>
      <c r="L64" s="13">
        <f>IF($A64="","",COUNTIFS(People!$B$5:$B$604,$A64,People!$P$5:$P$604,"✓",People!$R$5:$R$604,""))</f>
        <v/>
      </c>
      <c r="M64" s="18" t="n"/>
      <c r="N64" s="17" t="n"/>
    </row>
    <row r="65">
      <c r="A65" s="14" t="n"/>
      <c r="B65" s="18" t="n"/>
      <c r="C65" s="17" t="n"/>
      <c r="D65" s="16" t="n"/>
      <c r="E65" s="17" t="n"/>
      <c r="F65" s="16" t="n"/>
      <c r="G65" s="16" t="n"/>
      <c r="H65" s="16" t="n"/>
      <c r="I65" s="13">
        <f>IF($A65="","",COUNTIF('New Sign-Ups'!$E$5:$E$1004,$A65))</f>
        <v/>
      </c>
      <c r="J65" s="13">
        <f>IF($A65="","",COUNTIFS(People!$B$5:$B$604,$A65,People!$Z$5:$Z$604,1))</f>
        <v/>
      </c>
      <c r="K65" s="13">
        <f>IF($A65="","",COUNTIFS('New Sign-Ups'!$E$5:$E$1004,$A65,'New Sign-Ups'!$G$5:$G$1004,"→ add"))</f>
        <v/>
      </c>
      <c r="L65" s="13">
        <f>IF($A65="","",COUNTIFS(People!$B$5:$B$604,$A65,People!$P$5:$P$604,"✓",People!$R$5:$R$604,""))</f>
        <v/>
      </c>
      <c r="M65" s="18" t="n"/>
      <c r="N65" s="17" t="n"/>
    </row>
    <row r="66">
      <c r="A66" s="14" t="n"/>
      <c r="B66" s="18" t="n"/>
      <c r="C66" s="17" t="n"/>
      <c r="D66" s="16" t="n"/>
      <c r="E66" s="17" t="n"/>
      <c r="F66" s="16" t="n"/>
      <c r="G66" s="16" t="n"/>
      <c r="H66" s="16" t="n"/>
      <c r="I66" s="13">
        <f>IF($A66="","",COUNTIF('New Sign-Ups'!$E$5:$E$1004,$A66))</f>
        <v/>
      </c>
      <c r="J66" s="13">
        <f>IF($A66="","",COUNTIFS(People!$B$5:$B$604,$A66,People!$Z$5:$Z$604,1))</f>
        <v/>
      </c>
      <c r="K66" s="13">
        <f>IF($A66="","",COUNTIFS('New Sign-Ups'!$E$5:$E$1004,$A66,'New Sign-Ups'!$G$5:$G$1004,"→ add"))</f>
        <v/>
      </c>
      <c r="L66" s="13">
        <f>IF($A66="","",COUNTIFS(People!$B$5:$B$604,$A66,People!$P$5:$P$604,"✓",People!$R$5:$R$604,""))</f>
        <v/>
      </c>
      <c r="M66" s="18" t="n"/>
      <c r="N66" s="17" t="n"/>
    </row>
    <row r="67">
      <c r="A67" s="14" t="n"/>
      <c r="B67" s="18" t="n"/>
      <c r="C67" s="17" t="n"/>
      <c r="D67" s="16" t="n"/>
      <c r="E67" s="17" t="n"/>
      <c r="F67" s="16" t="n"/>
      <c r="G67" s="16" t="n"/>
      <c r="H67" s="16" t="n"/>
      <c r="I67" s="13">
        <f>IF($A67="","",COUNTIF('New Sign-Ups'!$E$5:$E$1004,$A67))</f>
        <v/>
      </c>
      <c r="J67" s="13">
        <f>IF($A67="","",COUNTIFS(People!$B$5:$B$604,$A67,People!$Z$5:$Z$604,1))</f>
        <v/>
      </c>
      <c r="K67" s="13">
        <f>IF($A67="","",COUNTIFS('New Sign-Ups'!$E$5:$E$1004,$A67,'New Sign-Ups'!$G$5:$G$1004,"→ add"))</f>
        <v/>
      </c>
      <c r="L67" s="13">
        <f>IF($A67="","",COUNTIFS(People!$B$5:$B$604,$A67,People!$P$5:$P$604,"✓",People!$R$5:$R$604,""))</f>
        <v/>
      </c>
      <c r="M67" s="18" t="n"/>
      <c r="N67" s="17" t="n"/>
    </row>
    <row r="68">
      <c r="A68" s="14" t="n"/>
      <c r="B68" s="18" t="n"/>
      <c r="C68" s="17" t="n"/>
      <c r="D68" s="16" t="n"/>
      <c r="E68" s="17" t="n"/>
      <c r="F68" s="16" t="n"/>
      <c r="G68" s="16" t="n"/>
      <c r="H68" s="16" t="n"/>
      <c r="I68" s="13">
        <f>IF($A68="","",COUNTIF('New Sign-Ups'!$E$5:$E$1004,$A68))</f>
        <v/>
      </c>
      <c r="J68" s="13">
        <f>IF($A68="","",COUNTIFS(People!$B$5:$B$604,$A68,People!$Z$5:$Z$604,1))</f>
        <v/>
      </c>
      <c r="K68" s="13">
        <f>IF($A68="","",COUNTIFS('New Sign-Ups'!$E$5:$E$1004,$A68,'New Sign-Ups'!$G$5:$G$1004,"→ add"))</f>
        <v/>
      </c>
      <c r="L68" s="13">
        <f>IF($A68="","",COUNTIFS(People!$B$5:$B$604,$A68,People!$P$5:$P$604,"✓",People!$R$5:$R$604,""))</f>
        <v/>
      </c>
      <c r="M68" s="18" t="n"/>
      <c r="N68" s="17" t="n"/>
    </row>
    <row r="69">
      <c r="A69" s="14" t="n"/>
      <c r="B69" s="18" t="n"/>
      <c r="C69" s="17" t="n"/>
      <c r="D69" s="16" t="n"/>
      <c r="E69" s="17" t="n"/>
      <c r="F69" s="16" t="n"/>
      <c r="G69" s="16" t="n"/>
      <c r="H69" s="16" t="n"/>
      <c r="I69" s="13">
        <f>IF($A69="","",COUNTIF('New Sign-Ups'!$E$5:$E$1004,$A69))</f>
        <v/>
      </c>
      <c r="J69" s="13">
        <f>IF($A69="","",COUNTIFS(People!$B$5:$B$604,$A69,People!$Z$5:$Z$604,1))</f>
        <v/>
      </c>
      <c r="K69" s="13">
        <f>IF($A69="","",COUNTIFS('New Sign-Ups'!$E$5:$E$1004,$A69,'New Sign-Ups'!$G$5:$G$1004,"→ add"))</f>
        <v/>
      </c>
      <c r="L69" s="13">
        <f>IF($A69="","",COUNTIFS(People!$B$5:$B$604,$A69,People!$P$5:$P$604,"✓",People!$R$5:$R$604,""))</f>
        <v/>
      </c>
      <c r="M69" s="18" t="n"/>
      <c r="N69" s="17" t="n"/>
    </row>
    <row r="70">
      <c r="A70" s="14" t="n"/>
      <c r="B70" s="18" t="n"/>
      <c r="C70" s="17" t="n"/>
      <c r="D70" s="16" t="n"/>
      <c r="E70" s="17" t="n"/>
      <c r="F70" s="16" t="n"/>
      <c r="G70" s="16" t="n"/>
      <c r="H70" s="16" t="n"/>
      <c r="I70" s="13">
        <f>IF($A70="","",COUNTIF('New Sign-Ups'!$E$5:$E$1004,$A70))</f>
        <v/>
      </c>
      <c r="J70" s="13">
        <f>IF($A70="","",COUNTIFS(People!$B$5:$B$604,$A70,People!$Z$5:$Z$604,1))</f>
        <v/>
      </c>
      <c r="K70" s="13">
        <f>IF($A70="","",COUNTIFS('New Sign-Ups'!$E$5:$E$1004,$A70,'New Sign-Ups'!$G$5:$G$1004,"→ add"))</f>
        <v/>
      </c>
      <c r="L70" s="13">
        <f>IF($A70="","",COUNTIFS(People!$B$5:$B$604,$A70,People!$P$5:$P$604,"✓",People!$R$5:$R$604,""))</f>
        <v/>
      </c>
      <c r="M70" s="18" t="n"/>
      <c r="N70" s="17" t="n"/>
    </row>
    <row r="71">
      <c r="A71" s="14" t="n"/>
      <c r="B71" s="18" t="n"/>
      <c r="C71" s="17" t="n"/>
      <c r="D71" s="16" t="n"/>
      <c r="E71" s="17" t="n"/>
      <c r="F71" s="16" t="n"/>
      <c r="G71" s="16" t="n"/>
      <c r="H71" s="16" t="n"/>
      <c r="I71" s="13">
        <f>IF($A71="","",COUNTIF('New Sign-Ups'!$E$5:$E$1004,$A71))</f>
        <v/>
      </c>
      <c r="J71" s="13">
        <f>IF($A71="","",COUNTIFS(People!$B$5:$B$604,$A71,People!$Z$5:$Z$604,1))</f>
        <v/>
      </c>
      <c r="K71" s="13">
        <f>IF($A71="","",COUNTIFS('New Sign-Ups'!$E$5:$E$1004,$A71,'New Sign-Ups'!$G$5:$G$1004,"→ add"))</f>
        <v/>
      </c>
      <c r="L71" s="13">
        <f>IF($A71="","",COUNTIFS(People!$B$5:$B$604,$A71,People!$P$5:$P$604,"✓",People!$R$5:$R$604,""))</f>
        <v/>
      </c>
      <c r="M71" s="18" t="n"/>
      <c r="N71" s="17" t="n"/>
    </row>
    <row r="72">
      <c r="A72" s="14" t="n"/>
      <c r="B72" s="18" t="n"/>
      <c r="C72" s="17" t="n"/>
      <c r="D72" s="16" t="n"/>
      <c r="E72" s="17" t="n"/>
      <c r="F72" s="16" t="n"/>
      <c r="G72" s="16" t="n"/>
      <c r="H72" s="16" t="n"/>
      <c r="I72" s="13">
        <f>IF($A72="","",COUNTIF('New Sign-Ups'!$E$5:$E$1004,$A72))</f>
        <v/>
      </c>
      <c r="J72" s="13">
        <f>IF($A72="","",COUNTIFS(People!$B$5:$B$604,$A72,People!$Z$5:$Z$604,1))</f>
        <v/>
      </c>
      <c r="K72" s="13">
        <f>IF($A72="","",COUNTIFS('New Sign-Ups'!$E$5:$E$1004,$A72,'New Sign-Ups'!$G$5:$G$1004,"→ add"))</f>
        <v/>
      </c>
      <c r="L72" s="13">
        <f>IF($A72="","",COUNTIFS(People!$B$5:$B$604,$A72,People!$P$5:$P$604,"✓",People!$R$5:$R$604,""))</f>
        <v/>
      </c>
      <c r="M72" s="18" t="n"/>
      <c r="N72" s="17" t="n"/>
    </row>
    <row r="73">
      <c r="A73" s="14" t="n"/>
      <c r="B73" s="18" t="n"/>
      <c r="C73" s="17" t="n"/>
      <c r="D73" s="16" t="n"/>
      <c r="E73" s="17" t="n"/>
      <c r="F73" s="16" t="n"/>
      <c r="G73" s="16" t="n"/>
      <c r="H73" s="16" t="n"/>
      <c r="I73" s="13">
        <f>IF($A73="","",COUNTIF('New Sign-Ups'!$E$5:$E$1004,$A73))</f>
        <v/>
      </c>
      <c r="J73" s="13">
        <f>IF($A73="","",COUNTIFS(People!$B$5:$B$604,$A73,People!$Z$5:$Z$604,1))</f>
        <v/>
      </c>
      <c r="K73" s="13">
        <f>IF($A73="","",COUNTIFS('New Sign-Ups'!$E$5:$E$1004,$A73,'New Sign-Ups'!$G$5:$G$1004,"→ add"))</f>
        <v/>
      </c>
      <c r="L73" s="13">
        <f>IF($A73="","",COUNTIFS(People!$B$5:$B$604,$A73,People!$P$5:$P$604,"✓",People!$R$5:$R$604,""))</f>
        <v/>
      </c>
      <c r="M73" s="18" t="n"/>
      <c r="N73" s="17" t="n"/>
    </row>
    <row r="74">
      <c r="A74" s="14" t="n"/>
      <c r="B74" s="18" t="n"/>
      <c r="C74" s="17" t="n"/>
      <c r="D74" s="16" t="n"/>
      <c r="E74" s="17" t="n"/>
      <c r="F74" s="16" t="n"/>
      <c r="G74" s="16" t="n"/>
      <c r="H74" s="16" t="n"/>
      <c r="I74" s="13">
        <f>IF($A74="","",COUNTIF('New Sign-Ups'!$E$5:$E$1004,$A74))</f>
        <v/>
      </c>
      <c r="J74" s="13">
        <f>IF($A74="","",COUNTIFS(People!$B$5:$B$604,$A74,People!$Z$5:$Z$604,1))</f>
        <v/>
      </c>
      <c r="K74" s="13">
        <f>IF($A74="","",COUNTIFS('New Sign-Ups'!$E$5:$E$1004,$A74,'New Sign-Ups'!$G$5:$G$1004,"→ add"))</f>
        <v/>
      </c>
      <c r="L74" s="13">
        <f>IF($A74="","",COUNTIFS(People!$B$5:$B$604,$A74,People!$P$5:$P$604,"✓",People!$R$5:$R$604,""))</f>
        <v/>
      </c>
      <c r="M74" s="18" t="n"/>
      <c r="N74" s="17" t="n"/>
    </row>
    <row r="75">
      <c r="A75" s="14" t="n"/>
      <c r="B75" s="18" t="n"/>
      <c r="C75" s="17" t="n"/>
      <c r="D75" s="16" t="n"/>
      <c r="E75" s="17" t="n"/>
      <c r="F75" s="16" t="n"/>
      <c r="G75" s="16" t="n"/>
      <c r="H75" s="16" t="n"/>
      <c r="I75" s="13">
        <f>IF($A75="","",COUNTIF('New Sign-Ups'!$E$5:$E$1004,$A75))</f>
        <v/>
      </c>
      <c r="J75" s="13">
        <f>IF($A75="","",COUNTIFS(People!$B$5:$B$604,$A75,People!$Z$5:$Z$604,1))</f>
        <v/>
      </c>
      <c r="K75" s="13">
        <f>IF($A75="","",COUNTIFS('New Sign-Ups'!$E$5:$E$1004,$A75,'New Sign-Ups'!$G$5:$G$1004,"→ add"))</f>
        <v/>
      </c>
      <c r="L75" s="13">
        <f>IF($A75="","",COUNTIFS(People!$B$5:$B$604,$A75,People!$P$5:$P$604,"✓",People!$R$5:$R$604,""))</f>
        <v/>
      </c>
      <c r="M75" s="18" t="n"/>
      <c r="N75" s="17" t="n"/>
    </row>
    <row r="76">
      <c r="A76" s="14" t="n"/>
      <c r="B76" s="18" t="n"/>
      <c r="C76" s="17" t="n"/>
      <c r="D76" s="16" t="n"/>
      <c r="E76" s="17" t="n"/>
      <c r="F76" s="16" t="n"/>
      <c r="G76" s="16" t="n"/>
      <c r="H76" s="16" t="n"/>
      <c r="I76" s="13">
        <f>IF($A76="","",COUNTIF('New Sign-Ups'!$E$5:$E$1004,$A76))</f>
        <v/>
      </c>
      <c r="J76" s="13">
        <f>IF($A76="","",COUNTIFS(People!$B$5:$B$604,$A76,People!$Z$5:$Z$604,1))</f>
        <v/>
      </c>
      <c r="K76" s="13">
        <f>IF($A76="","",COUNTIFS('New Sign-Ups'!$E$5:$E$1004,$A76,'New Sign-Ups'!$G$5:$G$1004,"→ add"))</f>
        <v/>
      </c>
      <c r="L76" s="13">
        <f>IF($A76="","",COUNTIFS(People!$B$5:$B$604,$A76,People!$P$5:$P$604,"✓",People!$R$5:$R$604,""))</f>
        <v/>
      </c>
      <c r="M76" s="18" t="n"/>
      <c r="N76" s="17" t="n"/>
    </row>
    <row r="77">
      <c r="A77" s="14" t="n"/>
      <c r="B77" s="18" t="n"/>
      <c r="C77" s="17" t="n"/>
      <c r="D77" s="16" t="n"/>
      <c r="E77" s="17" t="n"/>
      <c r="F77" s="16" t="n"/>
      <c r="G77" s="16" t="n"/>
      <c r="H77" s="16" t="n"/>
      <c r="I77" s="13">
        <f>IF($A77="","",COUNTIF('New Sign-Ups'!$E$5:$E$1004,$A77))</f>
        <v/>
      </c>
      <c r="J77" s="13">
        <f>IF($A77="","",COUNTIFS(People!$B$5:$B$604,$A77,People!$Z$5:$Z$604,1))</f>
        <v/>
      </c>
      <c r="K77" s="13">
        <f>IF($A77="","",COUNTIFS('New Sign-Ups'!$E$5:$E$1004,$A77,'New Sign-Ups'!$G$5:$G$1004,"→ add"))</f>
        <v/>
      </c>
      <c r="L77" s="13">
        <f>IF($A77="","",COUNTIFS(People!$B$5:$B$604,$A77,People!$P$5:$P$604,"✓",People!$R$5:$R$604,""))</f>
        <v/>
      </c>
      <c r="M77" s="18" t="n"/>
      <c r="N77" s="17" t="n"/>
    </row>
    <row r="78">
      <c r="A78" s="14" t="n"/>
      <c r="B78" s="18" t="n"/>
      <c r="C78" s="17" t="n"/>
      <c r="D78" s="16" t="n"/>
      <c r="E78" s="17" t="n"/>
      <c r="F78" s="16" t="n"/>
      <c r="G78" s="16" t="n"/>
      <c r="H78" s="16" t="n"/>
      <c r="I78" s="13">
        <f>IF($A78="","",COUNTIF('New Sign-Ups'!$E$5:$E$1004,$A78))</f>
        <v/>
      </c>
      <c r="J78" s="13">
        <f>IF($A78="","",COUNTIFS(People!$B$5:$B$604,$A78,People!$Z$5:$Z$604,1))</f>
        <v/>
      </c>
      <c r="K78" s="13">
        <f>IF($A78="","",COUNTIFS('New Sign-Ups'!$E$5:$E$1004,$A78,'New Sign-Ups'!$G$5:$G$1004,"→ add"))</f>
        <v/>
      </c>
      <c r="L78" s="13">
        <f>IF($A78="","",COUNTIFS(People!$B$5:$B$604,$A78,People!$P$5:$P$604,"✓",People!$R$5:$R$604,""))</f>
        <v/>
      </c>
      <c r="M78" s="18" t="n"/>
      <c r="N78" s="17" t="n"/>
    </row>
    <row r="79">
      <c r="A79" s="14" t="n"/>
      <c r="B79" s="18" t="n"/>
      <c r="C79" s="17" t="n"/>
      <c r="D79" s="16" t="n"/>
      <c r="E79" s="17" t="n"/>
      <c r="F79" s="16" t="n"/>
      <c r="G79" s="16" t="n"/>
      <c r="H79" s="16" t="n"/>
      <c r="I79" s="13">
        <f>IF($A79="","",COUNTIF('New Sign-Ups'!$E$5:$E$1004,$A79))</f>
        <v/>
      </c>
      <c r="J79" s="13">
        <f>IF($A79="","",COUNTIFS(People!$B$5:$B$604,$A79,People!$Z$5:$Z$604,1))</f>
        <v/>
      </c>
      <c r="K79" s="13">
        <f>IF($A79="","",COUNTIFS('New Sign-Ups'!$E$5:$E$1004,$A79,'New Sign-Ups'!$G$5:$G$1004,"→ add"))</f>
        <v/>
      </c>
      <c r="L79" s="13">
        <f>IF($A79="","",COUNTIFS(People!$B$5:$B$604,$A79,People!$P$5:$P$604,"✓",People!$R$5:$R$604,""))</f>
        <v/>
      </c>
      <c r="M79" s="18" t="n"/>
      <c r="N79" s="17" t="n"/>
    </row>
    <row r="80">
      <c r="A80" s="14" t="n"/>
      <c r="B80" s="18" t="n"/>
      <c r="C80" s="17" t="n"/>
      <c r="D80" s="16" t="n"/>
      <c r="E80" s="17" t="n"/>
      <c r="F80" s="16" t="n"/>
      <c r="G80" s="16" t="n"/>
      <c r="H80" s="16" t="n"/>
      <c r="I80" s="13">
        <f>IF($A80="","",COUNTIF('New Sign-Ups'!$E$5:$E$1004,$A80))</f>
        <v/>
      </c>
      <c r="J80" s="13">
        <f>IF($A80="","",COUNTIFS(People!$B$5:$B$604,$A80,People!$Z$5:$Z$604,1))</f>
        <v/>
      </c>
      <c r="K80" s="13">
        <f>IF($A80="","",COUNTIFS('New Sign-Ups'!$E$5:$E$1004,$A80,'New Sign-Ups'!$G$5:$G$1004,"→ add"))</f>
        <v/>
      </c>
      <c r="L80" s="13">
        <f>IF($A80="","",COUNTIFS(People!$B$5:$B$604,$A80,People!$P$5:$P$604,"✓",People!$R$5:$R$604,""))</f>
        <v/>
      </c>
      <c r="M80" s="18" t="n"/>
      <c r="N80" s="17" t="n"/>
    </row>
    <row r="81">
      <c r="A81" s="14" t="n"/>
      <c r="B81" s="18" t="n"/>
      <c r="C81" s="17" t="n"/>
      <c r="D81" s="16" t="n"/>
      <c r="E81" s="17" t="n"/>
      <c r="F81" s="16" t="n"/>
      <c r="G81" s="16" t="n"/>
      <c r="H81" s="16" t="n"/>
      <c r="I81" s="13">
        <f>IF($A81="","",COUNTIF('New Sign-Ups'!$E$5:$E$1004,$A81))</f>
        <v/>
      </c>
      <c r="J81" s="13">
        <f>IF($A81="","",COUNTIFS(People!$B$5:$B$604,$A81,People!$Z$5:$Z$604,1))</f>
        <v/>
      </c>
      <c r="K81" s="13">
        <f>IF($A81="","",COUNTIFS('New Sign-Ups'!$E$5:$E$1004,$A81,'New Sign-Ups'!$G$5:$G$1004,"→ add"))</f>
        <v/>
      </c>
      <c r="L81" s="13">
        <f>IF($A81="","",COUNTIFS(People!$B$5:$B$604,$A81,People!$P$5:$P$604,"✓",People!$R$5:$R$604,""))</f>
        <v/>
      </c>
      <c r="M81" s="18" t="n"/>
      <c r="N81" s="17" t="n"/>
    </row>
    <row r="82">
      <c r="A82" s="14" t="n"/>
      <c r="B82" s="18" t="n"/>
      <c r="C82" s="17" t="n"/>
      <c r="D82" s="16" t="n"/>
      <c r="E82" s="17" t="n"/>
      <c r="F82" s="16" t="n"/>
      <c r="G82" s="16" t="n"/>
      <c r="H82" s="16" t="n"/>
      <c r="I82" s="13">
        <f>IF($A82="","",COUNTIF('New Sign-Ups'!$E$5:$E$1004,$A82))</f>
        <v/>
      </c>
      <c r="J82" s="13">
        <f>IF($A82="","",COUNTIFS(People!$B$5:$B$604,$A82,People!$Z$5:$Z$604,1))</f>
        <v/>
      </c>
      <c r="K82" s="13">
        <f>IF($A82="","",COUNTIFS('New Sign-Ups'!$E$5:$E$1004,$A82,'New Sign-Ups'!$G$5:$G$1004,"→ add"))</f>
        <v/>
      </c>
      <c r="L82" s="13">
        <f>IF($A82="","",COUNTIFS(People!$B$5:$B$604,$A82,People!$P$5:$P$604,"✓",People!$R$5:$R$604,""))</f>
        <v/>
      </c>
      <c r="M82" s="18" t="n"/>
      <c r="N82" s="17" t="n"/>
    </row>
    <row r="83">
      <c r="A83" s="14" t="n"/>
      <c r="B83" s="18" t="n"/>
      <c r="C83" s="17" t="n"/>
      <c r="D83" s="16" t="n"/>
      <c r="E83" s="17" t="n"/>
      <c r="F83" s="16" t="n"/>
      <c r="G83" s="16" t="n"/>
      <c r="H83" s="16" t="n"/>
      <c r="I83" s="13">
        <f>IF($A83="","",COUNTIF('New Sign-Ups'!$E$5:$E$1004,$A83))</f>
        <v/>
      </c>
      <c r="J83" s="13">
        <f>IF($A83="","",COUNTIFS(People!$B$5:$B$604,$A83,People!$Z$5:$Z$604,1))</f>
        <v/>
      </c>
      <c r="K83" s="13">
        <f>IF($A83="","",COUNTIFS('New Sign-Ups'!$E$5:$E$1004,$A83,'New Sign-Ups'!$G$5:$G$1004,"→ add"))</f>
        <v/>
      </c>
      <c r="L83" s="13">
        <f>IF($A83="","",COUNTIFS(People!$B$5:$B$604,$A83,People!$P$5:$P$604,"✓",People!$R$5:$R$604,""))</f>
        <v/>
      </c>
      <c r="M83" s="18" t="n"/>
      <c r="N83" s="17" t="n"/>
    </row>
    <row r="84">
      <c r="A84" s="14" t="n"/>
      <c r="B84" s="18" t="n"/>
      <c r="C84" s="17" t="n"/>
      <c r="D84" s="16" t="n"/>
      <c r="E84" s="17" t="n"/>
      <c r="F84" s="16" t="n"/>
      <c r="G84" s="16" t="n"/>
      <c r="H84" s="16" t="n"/>
      <c r="I84" s="13">
        <f>IF($A84="","",COUNTIF('New Sign-Ups'!$E$5:$E$1004,$A84))</f>
        <v/>
      </c>
      <c r="J84" s="13">
        <f>IF($A84="","",COUNTIFS(People!$B$5:$B$604,$A84,People!$Z$5:$Z$604,1))</f>
        <v/>
      </c>
      <c r="K84" s="13">
        <f>IF($A84="","",COUNTIFS('New Sign-Ups'!$E$5:$E$1004,$A84,'New Sign-Ups'!$G$5:$G$1004,"→ add"))</f>
        <v/>
      </c>
      <c r="L84" s="13">
        <f>IF($A84="","",COUNTIFS(People!$B$5:$B$604,$A84,People!$P$5:$P$604,"✓",People!$R$5:$R$604,""))</f>
        <v/>
      </c>
      <c r="M84" s="18" t="n"/>
      <c r="N84" s="17" t="n"/>
    </row>
    <row r="85">
      <c r="A85" s="14" t="n"/>
      <c r="B85" s="18" t="n"/>
      <c r="C85" s="17" t="n"/>
      <c r="D85" s="16" t="n"/>
      <c r="E85" s="17" t="n"/>
      <c r="F85" s="16" t="n"/>
      <c r="G85" s="16" t="n"/>
      <c r="H85" s="16" t="n"/>
      <c r="I85" s="13">
        <f>IF($A85="","",COUNTIF('New Sign-Ups'!$E$5:$E$1004,$A85))</f>
        <v/>
      </c>
      <c r="J85" s="13">
        <f>IF($A85="","",COUNTIFS(People!$B$5:$B$604,$A85,People!$Z$5:$Z$604,1))</f>
        <v/>
      </c>
      <c r="K85" s="13">
        <f>IF($A85="","",COUNTIFS('New Sign-Ups'!$E$5:$E$1004,$A85,'New Sign-Ups'!$G$5:$G$1004,"→ add"))</f>
        <v/>
      </c>
      <c r="L85" s="13">
        <f>IF($A85="","",COUNTIFS(People!$B$5:$B$604,$A85,People!$P$5:$P$604,"✓",People!$R$5:$R$604,""))</f>
        <v/>
      </c>
      <c r="M85" s="18" t="n"/>
      <c r="N85" s="17" t="n"/>
    </row>
    <row r="86">
      <c r="A86" s="14" t="n"/>
      <c r="B86" s="18" t="n"/>
      <c r="C86" s="17" t="n"/>
      <c r="D86" s="16" t="n"/>
      <c r="E86" s="17" t="n"/>
      <c r="F86" s="16" t="n"/>
      <c r="G86" s="16" t="n"/>
      <c r="H86" s="16" t="n"/>
      <c r="I86" s="13">
        <f>IF($A86="","",COUNTIF('New Sign-Ups'!$E$5:$E$1004,$A86))</f>
        <v/>
      </c>
      <c r="J86" s="13">
        <f>IF($A86="","",COUNTIFS(People!$B$5:$B$604,$A86,People!$Z$5:$Z$604,1))</f>
        <v/>
      </c>
      <c r="K86" s="13">
        <f>IF($A86="","",COUNTIFS('New Sign-Ups'!$E$5:$E$1004,$A86,'New Sign-Ups'!$G$5:$G$1004,"→ add"))</f>
        <v/>
      </c>
      <c r="L86" s="13">
        <f>IF($A86="","",COUNTIFS(People!$B$5:$B$604,$A86,People!$P$5:$P$604,"✓",People!$R$5:$R$604,""))</f>
        <v/>
      </c>
      <c r="M86" s="18" t="n"/>
      <c r="N86" s="17" t="n"/>
    </row>
    <row r="87">
      <c r="A87" s="14" t="n"/>
      <c r="B87" s="18" t="n"/>
      <c r="C87" s="17" t="n"/>
      <c r="D87" s="16" t="n"/>
      <c r="E87" s="17" t="n"/>
      <c r="F87" s="16" t="n"/>
      <c r="G87" s="16" t="n"/>
      <c r="H87" s="16" t="n"/>
      <c r="I87" s="13">
        <f>IF($A87="","",COUNTIF('New Sign-Ups'!$E$5:$E$1004,$A87))</f>
        <v/>
      </c>
      <c r="J87" s="13">
        <f>IF($A87="","",COUNTIFS(People!$B$5:$B$604,$A87,People!$Z$5:$Z$604,1))</f>
        <v/>
      </c>
      <c r="K87" s="13">
        <f>IF($A87="","",COUNTIFS('New Sign-Ups'!$E$5:$E$1004,$A87,'New Sign-Ups'!$G$5:$G$1004,"→ add"))</f>
        <v/>
      </c>
      <c r="L87" s="13">
        <f>IF($A87="","",COUNTIFS(People!$B$5:$B$604,$A87,People!$P$5:$P$604,"✓",People!$R$5:$R$604,""))</f>
        <v/>
      </c>
      <c r="M87" s="18" t="n"/>
      <c r="N87" s="17" t="n"/>
    </row>
    <row r="88">
      <c r="A88" s="14" t="n"/>
      <c r="B88" s="18" t="n"/>
      <c r="C88" s="17" t="n"/>
      <c r="D88" s="16" t="n"/>
      <c r="E88" s="17" t="n"/>
      <c r="F88" s="16" t="n"/>
      <c r="G88" s="16" t="n"/>
      <c r="H88" s="16" t="n"/>
      <c r="I88" s="13">
        <f>IF($A88="","",COUNTIF('New Sign-Ups'!$E$5:$E$1004,$A88))</f>
        <v/>
      </c>
      <c r="J88" s="13">
        <f>IF($A88="","",COUNTIFS(People!$B$5:$B$604,$A88,People!$Z$5:$Z$604,1))</f>
        <v/>
      </c>
      <c r="K88" s="13">
        <f>IF($A88="","",COUNTIFS('New Sign-Ups'!$E$5:$E$1004,$A88,'New Sign-Ups'!$G$5:$G$1004,"→ add"))</f>
        <v/>
      </c>
      <c r="L88" s="13">
        <f>IF($A88="","",COUNTIFS(People!$B$5:$B$604,$A88,People!$P$5:$P$604,"✓",People!$R$5:$R$604,""))</f>
        <v/>
      </c>
      <c r="M88" s="18" t="n"/>
      <c r="N88" s="17" t="n"/>
    </row>
    <row r="89">
      <c r="A89" s="14" t="n"/>
      <c r="B89" s="18" t="n"/>
      <c r="C89" s="17" t="n"/>
      <c r="D89" s="16" t="n"/>
      <c r="E89" s="17" t="n"/>
      <c r="F89" s="16" t="n"/>
      <c r="G89" s="16" t="n"/>
      <c r="H89" s="16" t="n"/>
      <c r="I89" s="13">
        <f>IF($A89="","",COUNTIF('New Sign-Ups'!$E$5:$E$1004,$A89))</f>
        <v/>
      </c>
      <c r="J89" s="13">
        <f>IF($A89="","",COUNTIFS(People!$B$5:$B$604,$A89,People!$Z$5:$Z$604,1))</f>
        <v/>
      </c>
      <c r="K89" s="13">
        <f>IF($A89="","",COUNTIFS('New Sign-Ups'!$E$5:$E$1004,$A89,'New Sign-Ups'!$G$5:$G$1004,"→ add"))</f>
        <v/>
      </c>
      <c r="L89" s="13">
        <f>IF($A89="","",COUNTIFS(People!$B$5:$B$604,$A89,People!$P$5:$P$604,"✓",People!$R$5:$R$604,""))</f>
        <v/>
      </c>
      <c r="M89" s="18" t="n"/>
      <c r="N89" s="17" t="n"/>
    </row>
    <row r="90">
      <c r="A90" s="14" t="n"/>
      <c r="B90" s="18" t="n"/>
      <c r="C90" s="17" t="n"/>
      <c r="D90" s="16" t="n"/>
      <c r="E90" s="17" t="n"/>
      <c r="F90" s="16" t="n"/>
      <c r="G90" s="16" t="n"/>
      <c r="H90" s="16" t="n"/>
      <c r="I90" s="13">
        <f>IF($A90="","",COUNTIF('New Sign-Ups'!$E$5:$E$1004,$A90))</f>
        <v/>
      </c>
      <c r="J90" s="13">
        <f>IF($A90="","",COUNTIFS(People!$B$5:$B$604,$A90,People!$Z$5:$Z$604,1))</f>
        <v/>
      </c>
      <c r="K90" s="13">
        <f>IF($A90="","",COUNTIFS('New Sign-Ups'!$E$5:$E$1004,$A90,'New Sign-Ups'!$G$5:$G$1004,"→ add"))</f>
        <v/>
      </c>
      <c r="L90" s="13">
        <f>IF($A90="","",COUNTIFS(People!$B$5:$B$604,$A90,People!$P$5:$P$604,"✓",People!$R$5:$R$604,""))</f>
        <v/>
      </c>
      <c r="M90" s="18" t="n"/>
      <c r="N90" s="17" t="n"/>
    </row>
    <row r="91">
      <c r="A91" s="14" t="n"/>
      <c r="B91" s="18" t="n"/>
      <c r="C91" s="17" t="n"/>
      <c r="D91" s="16" t="n"/>
      <c r="E91" s="17" t="n"/>
      <c r="F91" s="16" t="n"/>
      <c r="G91" s="16" t="n"/>
      <c r="H91" s="16" t="n"/>
      <c r="I91" s="13">
        <f>IF($A91="","",COUNTIF('New Sign-Ups'!$E$5:$E$1004,$A91))</f>
        <v/>
      </c>
      <c r="J91" s="13">
        <f>IF($A91="","",COUNTIFS(People!$B$5:$B$604,$A91,People!$Z$5:$Z$604,1))</f>
        <v/>
      </c>
      <c r="K91" s="13">
        <f>IF($A91="","",COUNTIFS('New Sign-Ups'!$E$5:$E$1004,$A91,'New Sign-Ups'!$G$5:$G$1004,"→ add"))</f>
        <v/>
      </c>
      <c r="L91" s="13">
        <f>IF($A91="","",COUNTIFS(People!$B$5:$B$604,$A91,People!$P$5:$P$604,"✓",People!$R$5:$R$604,""))</f>
        <v/>
      </c>
      <c r="M91" s="18" t="n"/>
      <c r="N91" s="17" t="n"/>
    </row>
    <row r="92">
      <c r="A92" s="14" t="n"/>
      <c r="B92" s="18" t="n"/>
      <c r="C92" s="17" t="n"/>
      <c r="D92" s="16" t="n"/>
      <c r="E92" s="17" t="n"/>
      <c r="F92" s="16" t="n"/>
      <c r="G92" s="16" t="n"/>
      <c r="H92" s="16" t="n"/>
      <c r="I92" s="13">
        <f>IF($A92="","",COUNTIF('New Sign-Ups'!$E$5:$E$1004,$A92))</f>
        <v/>
      </c>
      <c r="J92" s="13">
        <f>IF($A92="","",COUNTIFS(People!$B$5:$B$604,$A92,People!$Z$5:$Z$604,1))</f>
        <v/>
      </c>
      <c r="K92" s="13">
        <f>IF($A92="","",COUNTIFS('New Sign-Ups'!$E$5:$E$1004,$A92,'New Sign-Ups'!$G$5:$G$1004,"→ add"))</f>
        <v/>
      </c>
      <c r="L92" s="13">
        <f>IF($A92="","",COUNTIFS(People!$B$5:$B$604,$A92,People!$P$5:$P$604,"✓",People!$R$5:$R$604,""))</f>
        <v/>
      </c>
      <c r="M92" s="18" t="n"/>
      <c r="N92" s="17" t="n"/>
    </row>
    <row r="93">
      <c r="A93" s="14" t="n"/>
      <c r="B93" s="18" t="n"/>
      <c r="C93" s="17" t="n"/>
      <c r="D93" s="16" t="n"/>
      <c r="E93" s="17" t="n"/>
      <c r="F93" s="16" t="n"/>
      <c r="G93" s="16" t="n"/>
      <c r="H93" s="16" t="n"/>
      <c r="I93" s="13">
        <f>IF($A93="","",COUNTIF('New Sign-Ups'!$E$5:$E$1004,$A93))</f>
        <v/>
      </c>
      <c r="J93" s="13">
        <f>IF($A93="","",COUNTIFS(People!$B$5:$B$604,$A93,People!$Z$5:$Z$604,1))</f>
        <v/>
      </c>
      <c r="K93" s="13">
        <f>IF($A93="","",COUNTIFS('New Sign-Ups'!$E$5:$E$1004,$A93,'New Sign-Ups'!$G$5:$G$1004,"→ add"))</f>
        <v/>
      </c>
      <c r="L93" s="13">
        <f>IF($A93="","",COUNTIFS(People!$B$5:$B$604,$A93,People!$P$5:$P$604,"✓",People!$R$5:$R$604,""))</f>
        <v/>
      </c>
      <c r="M93" s="18" t="n"/>
      <c r="N93" s="17" t="n"/>
    </row>
    <row r="94">
      <c r="A94" s="14" t="n"/>
      <c r="B94" s="18" t="n"/>
      <c r="C94" s="17" t="n"/>
      <c r="D94" s="16" t="n"/>
      <c r="E94" s="17" t="n"/>
      <c r="F94" s="16" t="n"/>
      <c r="G94" s="16" t="n"/>
      <c r="H94" s="16" t="n"/>
      <c r="I94" s="13">
        <f>IF($A94="","",COUNTIF('New Sign-Ups'!$E$5:$E$1004,$A94))</f>
        <v/>
      </c>
      <c r="J94" s="13">
        <f>IF($A94="","",COUNTIFS(People!$B$5:$B$604,$A94,People!$Z$5:$Z$604,1))</f>
        <v/>
      </c>
      <c r="K94" s="13">
        <f>IF($A94="","",COUNTIFS('New Sign-Ups'!$E$5:$E$1004,$A94,'New Sign-Ups'!$G$5:$G$1004,"→ add"))</f>
        <v/>
      </c>
      <c r="L94" s="13">
        <f>IF($A94="","",COUNTIFS(People!$B$5:$B$604,$A94,People!$P$5:$P$604,"✓",People!$R$5:$R$604,""))</f>
        <v/>
      </c>
      <c r="M94" s="18" t="n"/>
      <c r="N94" s="17" t="n"/>
    </row>
    <row r="95">
      <c r="A95" s="14" t="n"/>
      <c r="B95" s="18" t="n"/>
      <c r="C95" s="17" t="n"/>
      <c r="D95" s="16" t="n"/>
      <c r="E95" s="17" t="n"/>
      <c r="F95" s="16" t="n"/>
      <c r="G95" s="16" t="n"/>
      <c r="H95" s="16" t="n"/>
      <c r="I95" s="13">
        <f>IF($A95="","",COUNTIF('New Sign-Ups'!$E$5:$E$1004,$A95))</f>
        <v/>
      </c>
      <c r="J95" s="13">
        <f>IF($A95="","",COUNTIFS(People!$B$5:$B$604,$A95,People!$Z$5:$Z$604,1))</f>
        <v/>
      </c>
      <c r="K95" s="13">
        <f>IF($A95="","",COUNTIFS('New Sign-Ups'!$E$5:$E$1004,$A95,'New Sign-Ups'!$G$5:$G$1004,"→ add"))</f>
        <v/>
      </c>
      <c r="L95" s="13">
        <f>IF($A95="","",COUNTIFS(People!$B$5:$B$604,$A95,People!$P$5:$P$604,"✓",People!$R$5:$R$604,""))</f>
        <v/>
      </c>
      <c r="M95" s="18" t="n"/>
      <c r="N95" s="17" t="n"/>
    </row>
    <row r="96">
      <c r="A96" s="14" t="n"/>
      <c r="B96" s="18" t="n"/>
      <c r="C96" s="17" t="n"/>
      <c r="D96" s="16" t="n"/>
      <c r="E96" s="17" t="n"/>
      <c r="F96" s="16" t="n"/>
      <c r="G96" s="16" t="n"/>
      <c r="H96" s="16" t="n"/>
      <c r="I96" s="13">
        <f>IF($A96="","",COUNTIF('New Sign-Ups'!$E$5:$E$1004,$A96))</f>
        <v/>
      </c>
      <c r="J96" s="13">
        <f>IF($A96="","",COUNTIFS(People!$B$5:$B$604,$A96,People!$Z$5:$Z$604,1))</f>
        <v/>
      </c>
      <c r="K96" s="13">
        <f>IF($A96="","",COUNTIFS('New Sign-Ups'!$E$5:$E$1004,$A96,'New Sign-Ups'!$G$5:$G$1004,"→ add"))</f>
        <v/>
      </c>
      <c r="L96" s="13">
        <f>IF($A96="","",COUNTIFS(People!$B$5:$B$604,$A96,People!$P$5:$P$604,"✓",People!$R$5:$R$604,""))</f>
        <v/>
      </c>
      <c r="M96" s="18" t="n"/>
      <c r="N96" s="17" t="n"/>
    </row>
    <row r="97">
      <c r="A97" s="14" t="n"/>
      <c r="B97" s="18" t="n"/>
      <c r="C97" s="17" t="n"/>
      <c r="D97" s="16" t="n"/>
      <c r="E97" s="17" t="n"/>
      <c r="F97" s="16" t="n"/>
      <c r="G97" s="16" t="n"/>
      <c r="H97" s="16" t="n"/>
      <c r="I97" s="13">
        <f>IF($A97="","",COUNTIF('New Sign-Ups'!$E$5:$E$1004,$A97))</f>
        <v/>
      </c>
      <c r="J97" s="13">
        <f>IF($A97="","",COUNTIFS(People!$B$5:$B$604,$A97,People!$Z$5:$Z$604,1))</f>
        <v/>
      </c>
      <c r="K97" s="13">
        <f>IF($A97="","",COUNTIFS('New Sign-Ups'!$E$5:$E$1004,$A97,'New Sign-Ups'!$G$5:$G$1004,"→ add"))</f>
        <v/>
      </c>
      <c r="L97" s="13">
        <f>IF($A97="","",COUNTIFS(People!$B$5:$B$604,$A97,People!$P$5:$P$604,"✓",People!$R$5:$R$604,""))</f>
        <v/>
      </c>
      <c r="M97" s="18" t="n"/>
      <c r="N97" s="17" t="n"/>
    </row>
    <row r="98">
      <c r="A98" s="14" t="n"/>
      <c r="B98" s="18" t="n"/>
      <c r="C98" s="17" t="n"/>
      <c r="D98" s="16" t="n"/>
      <c r="E98" s="17" t="n"/>
      <c r="F98" s="16" t="n"/>
      <c r="G98" s="16" t="n"/>
      <c r="H98" s="16" t="n"/>
      <c r="I98" s="13">
        <f>IF($A98="","",COUNTIF('New Sign-Ups'!$E$5:$E$1004,$A98))</f>
        <v/>
      </c>
      <c r="J98" s="13">
        <f>IF($A98="","",COUNTIFS(People!$B$5:$B$604,$A98,People!$Z$5:$Z$604,1))</f>
        <v/>
      </c>
      <c r="K98" s="13">
        <f>IF($A98="","",COUNTIFS('New Sign-Ups'!$E$5:$E$1004,$A98,'New Sign-Ups'!$G$5:$G$1004,"→ add"))</f>
        <v/>
      </c>
      <c r="L98" s="13">
        <f>IF($A98="","",COUNTIFS(People!$B$5:$B$604,$A98,People!$P$5:$P$604,"✓",People!$R$5:$R$604,""))</f>
        <v/>
      </c>
      <c r="M98" s="18" t="n"/>
      <c r="N98" s="17" t="n"/>
    </row>
    <row r="99">
      <c r="A99" s="14" t="n"/>
      <c r="B99" s="18" t="n"/>
      <c r="C99" s="17" t="n"/>
      <c r="D99" s="16" t="n"/>
      <c r="E99" s="17" t="n"/>
      <c r="F99" s="16" t="n"/>
      <c r="G99" s="16" t="n"/>
      <c r="H99" s="16" t="n"/>
      <c r="I99" s="13">
        <f>IF($A99="","",COUNTIF('New Sign-Ups'!$E$5:$E$1004,$A99))</f>
        <v/>
      </c>
      <c r="J99" s="13">
        <f>IF($A99="","",COUNTIFS(People!$B$5:$B$604,$A99,People!$Z$5:$Z$604,1))</f>
        <v/>
      </c>
      <c r="K99" s="13">
        <f>IF($A99="","",COUNTIFS('New Sign-Ups'!$E$5:$E$1004,$A99,'New Sign-Ups'!$G$5:$G$1004,"→ add"))</f>
        <v/>
      </c>
      <c r="L99" s="13">
        <f>IF($A99="","",COUNTIFS(People!$B$5:$B$604,$A99,People!$P$5:$P$604,"✓",People!$R$5:$R$604,""))</f>
        <v/>
      </c>
      <c r="M99" s="18" t="n"/>
      <c r="N99" s="17" t="n"/>
    </row>
    <row r="100">
      <c r="A100" s="14" t="n"/>
      <c r="B100" s="18" t="n"/>
      <c r="C100" s="17" t="n"/>
      <c r="D100" s="16" t="n"/>
      <c r="E100" s="17" t="n"/>
      <c r="F100" s="16" t="n"/>
      <c r="G100" s="16" t="n"/>
      <c r="H100" s="16" t="n"/>
      <c r="I100" s="13">
        <f>IF($A100="","",COUNTIF('New Sign-Ups'!$E$5:$E$1004,$A100))</f>
        <v/>
      </c>
      <c r="J100" s="13">
        <f>IF($A100="","",COUNTIFS(People!$B$5:$B$604,$A100,People!$Z$5:$Z$604,1))</f>
        <v/>
      </c>
      <c r="K100" s="13">
        <f>IF($A100="","",COUNTIFS('New Sign-Ups'!$E$5:$E$1004,$A100,'New Sign-Ups'!$G$5:$G$1004,"→ add"))</f>
        <v/>
      </c>
      <c r="L100" s="13">
        <f>IF($A100="","",COUNTIFS(People!$B$5:$B$604,$A100,People!$P$5:$P$604,"✓",People!$R$5:$R$604,""))</f>
        <v/>
      </c>
      <c r="M100" s="18" t="n"/>
      <c r="N100" s="17" t="n"/>
    </row>
    <row r="101">
      <c r="A101" s="14" t="n"/>
      <c r="B101" s="18" t="n"/>
      <c r="C101" s="17" t="n"/>
      <c r="D101" s="16" t="n"/>
      <c r="E101" s="17" t="n"/>
      <c r="F101" s="16" t="n"/>
      <c r="G101" s="16" t="n"/>
      <c r="H101" s="16" t="n"/>
      <c r="I101" s="13">
        <f>IF($A101="","",COUNTIF('New Sign-Ups'!$E$5:$E$1004,$A101))</f>
        <v/>
      </c>
      <c r="J101" s="13">
        <f>IF($A101="","",COUNTIFS(People!$B$5:$B$604,$A101,People!$Z$5:$Z$604,1))</f>
        <v/>
      </c>
      <c r="K101" s="13">
        <f>IF($A101="","",COUNTIFS('New Sign-Ups'!$E$5:$E$1004,$A101,'New Sign-Ups'!$G$5:$G$1004,"→ add"))</f>
        <v/>
      </c>
      <c r="L101" s="13">
        <f>IF($A101="","",COUNTIFS(People!$B$5:$B$604,$A101,People!$P$5:$P$604,"✓",People!$R$5:$R$604,""))</f>
        <v/>
      </c>
      <c r="M101" s="18" t="n"/>
      <c r="N101" s="17" t="n"/>
    </row>
    <row r="102">
      <c r="A102" s="14" t="n"/>
      <c r="B102" s="18" t="n"/>
      <c r="C102" s="17" t="n"/>
      <c r="D102" s="16" t="n"/>
      <c r="E102" s="17" t="n"/>
      <c r="F102" s="16" t="n"/>
      <c r="G102" s="16" t="n"/>
      <c r="H102" s="16" t="n"/>
      <c r="I102" s="13">
        <f>IF($A102="","",COUNTIF('New Sign-Ups'!$E$5:$E$1004,$A102))</f>
        <v/>
      </c>
      <c r="J102" s="13">
        <f>IF($A102="","",COUNTIFS(People!$B$5:$B$604,$A102,People!$Z$5:$Z$604,1))</f>
        <v/>
      </c>
      <c r="K102" s="13">
        <f>IF($A102="","",COUNTIFS('New Sign-Ups'!$E$5:$E$1004,$A102,'New Sign-Ups'!$G$5:$G$1004,"→ add"))</f>
        <v/>
      </c>
      <c r="L102" s="13">
        <f>IF($A102="","",COUNTIFS(People!$B$5:$B$604,$A102,People!$P$5:$P$604,"✓",People!$R$5:$R$604,""))</f>
        <v/>
      </c>
      <c r="M102" s="18" t="n"/>
      <c r="N102" s="17" t="n"/>
    </row>
    <row r="103">
      <c r="A103" s="14" t="n"/>
      <c r="B103" s="18" t="n"/>
      <c r="C103" s="17" t="n"/>
      <c r="D103" s="16" t="n"/>
      <c r="E103" s="17" t="n"/>
      <c r="F103" s="16" t="n"/>
      <c r="G103" s="16" t="n"/>
      <c r="H103" s="16" t="n"/>
      <c r="I103" s="13">
        <f>IF($A103="","",COUNTIF('New Sign-Ups'!$E$5:$E$1004,$A103))</f>
        <v/>
      </c>
      <c r="J103" s="13">
        <f>IF($A103="","",COUNTIFS(People!$B$5:$B$604,$A103,People!$Z$5:$Z$604,1))</f>
        <v/>
      </c>
      <c r="K103" s="13">
        <f>IF($A103="","",COUNTIFS('New Sign-Ups'!$E$5:$E$1004,$A103,'New Sign-Ups'!$G$5:$G$1004,"→ add"))</f>
        <v/>
      </c>
      <c r="L103" s="13">
        <f>IF($A103="","",COUNTIFS(People!$B$5:$B$604,$A103,People!$P$5:$P$604,"✓",People!$R$5:$R$604,""))</f>
        <v/>
      </c>
      <c r="M103" s="18" t="n"/>
      <c r="N103" s="17" t="n"/>
    </row>
    <row r="104">
      <c r="A104" s="14" t="n"/>
      <c r="B104" s="18" t="n"/>
      <c r="C104" s="17" t="n"/>
      <c r="D104" s="16" t="n"/>
      <c r="E104" s="17" t="n"/>
      <c r="F104" s="16" t="n"/>
      <c r="G104" s="16" t="n"/>
      <c r="H104" s="16" t="n"/>
      <c r="I104" s="13">
        <f>IF($A104="","",COUNTIF('New Sign-Ups'!$E$5:$E$1004,$A104))</f>
        <v/>
      </c>
      <c r="J104" s="13">
        <f>IF($A104="","",COUNTIFS(People!$B$5:$B$604,$A104,People!$Z$5:$Z$604,1))</f>
        <v/>
      </c>
      <c r="K104" s="13">
        <f>IF($A104="","",COUNTIFS('New Sign-Ups'!$E$5:$E$1004,$A104,'New Sign-Ups'!$G$5:$G$1004,"→ add"))</f>
        <v/>
      </c>
      <c r="L104" s="13">
        <f>IF($A104="","",COUNTIFS(People!$B$5:$B$604,$A104,People!$P$5:$P$604,"✓",People!$R$5:$R$604,""))</f>
        <v/>
      </c>
      <c r="M104" s="18" t="n"/>
      <c r="N104" s="17" t="n"/>
    </row>
  </sheetData>
  <autoFilter ref="A4:N104"/>
  <conditionalFormatting sqref="B5:B104">
    <cfRule type="expression" priority="1" dxfId="0">
      <formula>AND($A5&lt;&gt;"",$B5="")</formula>
    </cfRule>
    <cfRule type="expression" priority="2" dxfId="1">
      <formula>AND($B5&lt;&gt;"",COUNTIF($B$5:$B$104,$B5)&gt;1)</formula>
    </cfRule>
  </conditionalFormatting>
  <conditionalFormatting sqref="A5:A104">
    <cfRule type="expression" priority="3" dxfId="0">
      <formula>AND($A5&lt;&gt;"",COUNTIF($A$5:$A$104,$A5)&gt;1)</formula>
    </cfRule>
  </conditionalFormatting>
  <conditionalFormatting sqref="K5:K104">
    <cfRule type="expression" priority="4" dxfId="12">
      <formula>N($K5)&gt;0</formula>
    </cfRule>
  </conditionalFormatting>
  <dataValidations count="2">
    <dataValidation sqref="D5:D104" showDropDown="0" showInputMessage="0" showErrorMessage="0" allowBlank="1" type="list">
      <formula1>L_EventType</formula1>
    </dataValidation>
    <dataValidation sqref="G5:G104" showDropDown="0" showInputMessage="0" showErrorMessage="1" allowBlank="1" errorTitle="Pick from the list" error="Use the dropdown so the counts stay consistent. New values go at the bottom of the Lists tab." type="list">
      <formula1>L_Region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6E7A"/>
    <outlinePr summaryBelow="1" summaryRight="1"/>
    <pageSetUpPr fitToPage="1"/>
  </sheetPr>
  <dimension ref="A1:K9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6" customWidth="1" min="4" max="4"/>
    <col width="20" customWidth="1" min="5" max="5"/>
    <col width="20" customWidth="1" min="6" max="6"/>
    <col width="22" customWidth="1" min="7" max="7"/>
    <col width="18" customWidth="1" min="8" max="8"/>
    <col width="62" customWidth="1" min="9" max="9"/>
    <col width="2" customWidth="1" min="10" max="10"/>
    <col hidden="1" width="6" customWidth="1" min="11" max="11"/>
  </cols>
  <sheetData>
    <row r="1" ht="26" customHeight="1">
      <c r="A1" s="7" t="inlineStr">
        <is>
          <t>BOOST Ontario — Event Report</t>
        </is>
      </c>
    </row>
    <row r="2">
      <c r="A2" s="2" t="inlineStr">
        <is>
          <t>Pick an Event ID in the yellow box. Everything else fills itself. Write your note, then File → Print → Save as PDF.</t>
        </is>
      </c>
    </row>
    <row r="3" ht="24" customHeight="1">
      <c r="B3" s="29" t="inlineStr">
        <is>
          <t>Event ID ▸</t>
        </is>
      </c>
      <c r="C3" s="30" t="n"/>
    </row>
    <row r="5">
      <c r="B5" s="19" t="inlineStr">
        <is>
          <t>Event</t>
        </is>
      </c>
      <c r="C5" s="31">
        <f>IF($C$3="","",IFERROR(INDEX(Events!$C$5:$C$104,MATCH($C$3,EvID,0))&amp;"",""))</f>
        <v/>
      </c>
      <c r="G5" s="19" t="inlineStr">
        <is>
          <t>Form sign-ups</t>
        </is>
      </c>
      <c r="H5" s="32">
        <f>IF($C$3="","",COUNTIF('New Sign-Ups'!$E$5:$E$1004,$C$3))</f>
        <v/>
      </c>
    </row>
    <row r="6">
      <c r="B6" s="19" t="inlineStr">
        <is>
          <t>Date</t>
        </is>
      </c>
      <c r="C6" s="33">
        <f>IF($C$3="","",IFERROR(INDEX(EvDate,MATCH($C$3,EvID,0)),""))</f>
        <v/>
      </c>
      <c r="G6" s="19" t="inlineStr">
        <is>
          <t>People logged</t>
        </is>
      </c>
      <c r="H6" s="32">
        <f>IF($C$3="","",COUNTIFS(People!$B$5:$B$604,$C$3,People!$Z$5:$Z$604,1))</f>
        <v/>
      </c>
    </row>
    <row r="7">
      <c r="B7" s="19" t="inlineStr">
        <is>
          <t>Type</t>
        </is>
      </c>
      <c r="C7" s="31">
        <f>IF($C$3="","",IFERROR(INDEX(Events!$D$5:$D$104,MATCH($C$3,EvID,0))&amp;"",""))</f>
        <v/>
      </c>
      <c r="G7" s="31" t="inlineStr">
        <is>
          <t xml:space="preserve">  Trade</t>
        </is>
      </c>
      <c r="H7" s="32">
        <f>IF($C$3="","",COUNTIFS(People!$B$5:$B$604,$C$3,People!$Z$5:$Z$604,1,People!$E$5:$E$604,"Trade"))</f>
        <v/>
      </c>
    </row>
    <row r="8">
      <c r="B8" s="19" t="inlineStr">
        <is>
          <t>Host / Partner</t>
        </is>
      </c>
      <c r="C8" s="31">
        <f>IF($C$3="","",IFERROR(INDEX(Events!$E$5:$E$104,MATCH($C$3,EvID,0))&amp;"",""))</f>
        <v/>
      </c>
      <c r="G8" s="31" t="inlineStr">
        <is>
          <t xml:space="preserve">  Employers &amp; Unions</t>
        </is>
      </c>
      <c r="H8" s="32">
        <f>IF($C$3="","",COUNTIFS(People!$B$5:$B$604,$C$3,People!$Z$5:$Z$604,1,People!$E$5:$E$604,"Employer &amp; Union"))</f>
        <v/>
      </c>
    </row>
    <row r="9">
      <c r="B9" s="19" t="inlineStr">
        <is>
          <t>Location</t>
        </is>
      </c>
      <c r="C9" s="31">
        <f>IF($C$3="","",TRIM(IF($C$3="","",IFERROR(INDEX(Events!$F$5:$F$104,MATCH($C$3,EvID,0))&amp;"",""))&amp;"  ·  "&amp;IF($C$3="","",IFERROR(INDEX(Events!$G$5:$G$104,MATCH($C$3,EvID,0))&amp;"",""))))</f>
        <v/>
      </c>
      <c r="G9" s="31" t="inlineStr">
        <is>
          <t xml:space="preserve">  Colleges &amp; Agencies</t>
        </is>
      </c>
      <c r="H9" s="32">
        <f>IF($C$3="","",COUNTIFS(People!$B$5:$B$604,$C$3,People!$Z$5:$Z$604,1,People!$E$5:$E$604,"College &amp; Agency"))</f>
        <v/>
      </c>
    </row>
    <row r="10">
      <c r="B10" s="19" t="inlineStr">
        <is>
          <t>Staff</t>
        </is>
      </c>
      <c r="C10" s="31">
        <f>IF($C$3="","",IFERROR(INDEX(Events!$H$5:$H$104,MATCH($C$3,EvID,0))&amp;"",""))</f>
        <v/>
      </c>
      <c r="G10" s="31" t="inlineStr">
        <is>
          <t xml:space="preserve">  Other</t>
        </is>
      </c>
      <c r="H10" s="32">
        <f>IF($C$3="","",COUNTIFS(People!$B$5:$B$604,$C$3,People!$Z$5:$Z$604,1,People!$E$5:$E$604,"Other"))</f>
        <v/>
      </c>
    </row>
    <row r="11">
      <c r="G11" s="19" t="inlineStr">
        <is>
          <t>Materials given</t>
        </is>
      </c>
      <c r="H11" s="32">
        <f>IF($C$3="","",COUNTIFS(People!$B$5:$B$604,$C$3,People!$Z$5:$Z$604,1,People!$O$5:$O$604,"✓"))</f>
        <v/>
      </c>
    </row>
    <row r="12">
      <c r="G12" s="19" t="inlineStr">
        <is>
          <t>Follow-ups open</t>
        </is>
      </c>
      <c r="H12" s="32">
        <f>IF($C$3="","",COUNTIFS(People!$B$5:$B$604,$C$3,People!$Z$5:$Z$604,1,People!$P$5:$P$604,"✓",People!$R$5:$R$604,""))</f>
        <v/>
      </c>
    </row>
    <row r="13">
      <c r="G13" s="19" t="inlineStr">
        <is>
          <t>Consented to contact</t>
        </is>
      </c>
      <c r="H13" s="32">
        <f>IF($C$3="","",COUNTIFS(People!$B$5:$B$604,$C$3,People!$Z$5:$Z$604,1,People!$T$5:$T$604,"Yes"))</f>
        <v/>
      </c>
    </row>
    <row r="14">
      <c r="B14" s="34" t="inlineStr">
        <is>
          <t>Notes for the reader</t>
        </is>
      </c>
    </row>
    <row r="15" ht="80" customHeight="1">
      <c r="B15" s="35" t="n"/>
    </row>
    <row r="17" ht="32" customHeight="1">
      <c r="A17" s="11" t="inlineStr">
        <is>
          <t>#</t>
        </is>
      </c>
      <c r="B17" s="11" t="inlineStr">
        <is>
          <t>Participant #</t>
        </is>
      </c>
      <c r="C17" s="11" t="inlineStr">
        <is>
          <t>Initials</t>
        </is>
      </c>
      <c r="D17" s="11" t="inlineStr">
        <is>
          <t>Contact Type</t>
        </is>
      </c>
      <c r="E17" s="11" t="inlineStr">
        <is>
          <t>Organization</t>
        </is>
      </c>
      <c r="F17" s="11" t="inlineStr">
        <is>
          <t>Main Need</t>
        </is>
      </c>
      <c r="G17" s="11" t="inlineStr">
        <is>
          <t>Stage</t>
        </is>
      </c>
      <c r="H17" s="11" t="inlineStr">
        <is>
          <t>Follow-Up</t>
        </is>
      </c>
      <c r="I17" s="11" t="inlineStr">
        <is>
          <t>Conversation Notes</t>
        </is>
      </c>
      <c r="K17" s="9" t="inlineStr">
        <is>
          <t>_row</t>
        </is>
      </c>
    </row>
    <row r="18">
      <c r="A18" s="26">
        <f>IF($K18="","",1)</f>
        <v/>
      </c>
      <c r="B18" s="26">
        <f>IF($K18="","",INDEX(People!$A:$A,$K18)&amp;"")</f>
        <v/>
      </c>
      <c r="C18" s="26">
        <f>IF($K18="","",INDEX(People!$D:$D,$K18)&amp;"")</f>
        <v/>
      </c>
      <c r="D18" s="27">
        <f>IF($K18="","",INDEX(People!$E:$E,$K18)&amp;"")</f>
        <v/>
      </c>
      <c r="E18" s="6">
        <f>IF($K18="","",INDEX(People!$F:$F,$K18)&amp;"")</f>
        <v/>
      </c>
      <c r="F18" s="6">
        <f>IF($K18="","",INDEX(People!$L:$L,$K18)&amp;"")</f>
        <v/>
      </c>
      <c r="G18" s="27">
        <f>IF($K18="","",INDEX(People!$M:$M,$K18)&amp;"")</f>
        <v/>
      </c>
      <c r="H18" s="6">
        <f>IF($K18="","",IF(INDEX(People!$P:$P,$K18)&lt;&gt;"✓","—",IF(INDEX(People!$R:$R,$K18)&lt;&gt;"","Done "&amp;TEXT(INDEX(People!$R:$R,$K18),"yyyy-mm-dd"),"Yes"&amp;IF(INDEX(People!$Q:$Q,$K18)&lt;&gt;""," — by "&amp;TEXT(INDEX(People!$Q:$Q,$K18),"yyyy-mm-dd"),""))))</f>
        <v/>
      </c>
      <c r="I18" s="6">
        <f>IF($K18="","",INDEX(People!$N:$N,$K18)&amp;"")</f>
        <v/>
      </c>
      <c r="K18">
        <f>IFERROR(SMALL(People!$X$5:$X$604,1),"")</f>
        <v/>
      </c>
    </row>
    <row r="19">
      <c r="A19" s="26">
        <f>IF($K19="","",2)</f>
        <v/>
      </c>
      <c r="B19" s="26">
        <f>IF($K19="","",INDEX(People!$A:$A,$K19)&amp;"")</f>
        <v/>
      </c>
      <c r="C19" s="26">
        <f>IF($K19="","",INDEX(People!$D:$D,$K19)&amp;"")</f>
        <v/>
      </c>
      <c r="D19" s="27">
        <f>IF($K19="","",INDEX(People!$E:$E,$K19)&amp;"")</f>
        <v/>
      </c>
      <c r="E19" s="6">
        <f>IF($K19="","",INDEX(People!$F:$F,$K19)&amp;"")</f>
        <v/>
      </c>
      <c r="F19" s="6">
        <f>IF($K19="","",INDEX(People!$L:$L,$K19)&amp;"")</f>
        <v/>
      </c>
      <c r="G19" s="27">
        <f>IF($K19="","",INDEX(People!$M:$M,$K19)&amp;"")</f>
        <v/>
      </c>
      <c r="H19" s="6">
        <f>IF($K19="","",IF(INDEX(People!$P:$P,$K19)&lt;&gt;"✓","—",IF(INDEX(People!$R:$R,$K19)&lt;&gt;"","Done "&amp;TEXT(INDEX(People!$R:$R,$K19),"yyyy-mm-dd"),"Yes"&amp;IF(INDEX(People!$Q:$Q,$K19)&lt;&gt;""," — by "&amp;TEXT(INDEX(People!$Q:$Q,$K19),"yyyy-mm-dd"),""))))</f>
        <v/>
      </c>
      <c r="I19" s="6">
        <f>IF($K19="","",INDEX(People!$N:$N,$K19)&amp;"")</f>
        <v/>
      </c>
      <c r="K19">
        <f>IFERROR(SMALL(People!$X$5:$X$604,2),"")</f>
        <v/>
      </c>
    </row>
    <row r="20">
      <c r="A20" s="26">
        <f>IF($K20="","",3)</f>
        <v/>
      </c>
      <c r="B20" s="26">
        <f>IF($K20="","",INDEX(People!$A:$A,$K20)&amp;"")</f>
        <v/>
      </c>
      <c r="C20" s="26">
        <f>IF($K20="","",INDEX(People!$D:$D,$K20)&amp;"")</f>
        <v/>
      </c>
      <c r="D20" s="27">
        <f>IF($K20="","",INDEX(People!$E:$E,$K20)&amp;"")</f>
        <v/>
      </c>
      <c r="E20" s="6">
        <f>IF($K20="","",INDEX(People!$F:$F,$K20)&amp;"")</f>
        <v/>
      </c>
      <c r="F20" s="6">
        <f>IF($K20="","",INDEX(People!$L:$L,$K20)&amp;"")</f>
        <v/>
      </c>
      <c r="G20" s="27">
        <f>IF($K20="","",INDEX(People!$M:$M,$K20)&amp;"")</f>
        <v/>
      </c>
      <c r="H20" s="6">
        <f>IF($K20="","",IF(INDEX(People!$P:$P,$K20)&lt;&gt;"✓","—",IF(INDEX(People!$R:$R,$K20)&lt;&gt;"","Done "&amp;TEXT(INDEX(People!$R:$R,$K20),"yyyy-mm-dd"),"Yes"&amp;IF(INDEX(People!$Q:$Q,$K20)&lt;&gt;""," — by "&amp;TEXT(INDEX(People!$Q:$Q,$K20),"yyyy-mm-dd"),""))))</f>
        <v/>
      </c>
      <c r="I20" s="6">
        <f>IF($K20="","",INDEX(People!$N:$N,$K20)&amp;"")</f>
        <v/>
      </c>
      <c r="K20">
        <f>IFERROR(SMALL(People!$X$5:$X$604,3),"")</f>
        <v/>
      </c>
    </row>
    <row r="21">
      <c r="A21" s="26">
        <f>IF($K21="","",4)</f>
        <v/>
      </c>
      <c r="B21" s="26">
        <f>IF($K21="","",INDEX(People!$A:$A,$K21)&amp;"")</f>
        <v/>
      </c>
      <c r="C21" s="26">
        <f>IF($K21="","",INDEX(People!$D:$D,$K21)&amp;"")</f>
        <v/>
      </c>
      <c r="D21" s="27">
        <f>IF($K21="","",INDEX(People!$E:$E,$K21)&amp;"")</f>
        <v/>
      </c>
      <c r="E21" s="6">
        <f>IF($K21="","",INDEX(People!$F:$F,$K21)&amp;"")</f>
        <v/>
      </c>
      <c r="F21" s="6">
        <f>IF($K21="","",INDEX(People!$L:$L,$K21)&amp;"")</f>
        <v/>
      </c>
      <c r="G21" s="27">
        <f>IF($K21="","",INDEX(People!$M:$M,$K21)&amp;"")</f>
        <v/>
      </c>
      <c r="H21" s="6">
        <f>IF($K21="","",IF(INDEX(People!$P:$P,$K21)&lt;&gt;"✓","—",IF(INDEX(People!$R:$R,$K21)&lt;&gt;"","Done "&amp;TEXT(INDEX(People!$R:$R,$K21),"yyyy-mm-dd"),"Yes"&amp;IF(INDEX(People!$Q:$Q,$K21)&lt;&gt;""," — by "&amp;TEXT(INDEX(People!$Q:$Q,$K21),"yyyy-mm-dd"),""))))</f>
        <v/>
      </c>
      <c r="I21" s="6">
        <f>IF($K21="","",INDEX(People!$N:$N,$K21)&amp;"")</f>
        <v/>
      </c>
      <c r="K21">
        <f>IFERROR(SMALL(People!$X$5:$X$604,4),"")</f>
        <v/>
      </c>
    </row>
    <row r="22">
      <c r="A22" s="26">
        <f>IF($K22="","",5)</f>
        <v/>
      </c>
      <c r="B22" s="26">
        <f>IF($K22="","",INDEX(People!$A:$A,$K22)&amp;"")</f>
        <v/>
      </c>
      <c r="C22" s="26">
        <f>IF($K22="","",INDEX(People!$D:$D,$K22)&amp;"")</f>
        <v/>
      </c>
      <c r="D22" s="27">
        <f>IF($K22="","",INDEX(People!$E:$E,$K22)&amp;"")</f>
        <v/>
      </c>
      <c r="E22" s="6">
        <f>IF($K22="","",INDEX(People!$F:$F,$K22)&amp;"")</f>
        <v/>
      </c>
      <c r="F22" s="6">
        <f>IF($K22="","",INDEX(People!$L:$L,$K22)&amp;"")</f>
        <v/>
      </c>
      <c r="G22" s="27">
        <f>IF($K22="","",INDEX(People!$M:$M,$K22)&amp;"")</f>
        <v/>
      </c>
      <c r="H22" s="6">
        <f>IF($K22="","",IF(INDEX(People!$P:$P,$K22)&lt;&gt;"✓","—",IF(INDEX(People!$R:$R,$K22)&lt;&gt;"","Done "&amp;TEXT(INDEX(People!$R:$R,$K22),"yyyy-mm-dd"),"Yes"&amp;IF(INDEX(People!$Q:$Q,$K22)&lt;&gt;""," — by "&amp;TEXT(INDEX(People!$Q:$Q,$K22),"yyyy-mm-dd"),""))))</f>
        <v/>
      </c>
      <c r="I22" s="6">
        <f>IF($K22="","",INDEX(People!$N:$N,$K22)&amp;"")</f>
        <v/>
      </c>
      <c r="K22">
        <f>IFERROR(SMALL(People!$X$5:$X$604,5),"")</f>
        <v/>
      </c>
    </row>
    <row r="23">
      <c r="A23" s="26">
        <f>IF($K23="","",6)</f>
        <v/>
      </c>
      <c r="B23" s="26">
        <f>IF($K23="","",INDEX(People!$A:$A,$K23)&amp;"")</f>
        <v/>
      </c>
      <c r="C23" s="26">
        <f>IF($K23="","",INDEX(People!$D:$D,$K23)&amp;"")</f>
        <v/>
      </c>
      <c r="D23" s="27">
        <f>IF($K23="","",INDEX(People!$E:$E,$K23)&amp;"")</f>
        <v/>
      </c>
      <c r="E23" s="6">
        <f>IF($K23="","",INDEX(People!$F:$F,$K23)&amp;"")</f>
        <v/>
      </c>
      <c r="F23" s="6">
        <f>IF($K23="","",INDEX(People!$L:$L,$K23)&amp;"")</f>
        <v/>
      </c>
      <c r="G23" s="27">
        <f>IF($K23="","",INDEX(People!$M:$M,$K23)&amp;"")</f>
        <v/>
      </c>
      <c r="H23" s="6">
        <f>IF($K23="","",IF(INDEX(People!$P:$P,$K23)&lt;&gt;"✓","—",IF(INDEX(People!$R:$R,$K23)&lt;&gt;"","Done "&amp;TEXT(INDEX(People!$R:$R,$K23),"yyyy-mm-dd"),"Yes"&amp;IF(INDEX(People!$Q:$Q,$K23)&lt;&gt;""," — by "&amp;TEXT(INDEX(People!$Q:$Q,$K23),"yyyy-mm-dd"),""))))</f>
        <v/>
      </c>
      <c r="I23" s="6">
        <f>IF($K23="","",INDEX(People!$N:$N,$K23)&amp;"")</f>
        <v/>
      </c>
      <c r="K23">
        <f>IFERROR(SMALL(People!$X$5:$X$604,6),"")</f>
        <v/>
      </c>
    </row>
    <row r="24">
      <c r="A24" s="26">
        <f>IF($K24="","",7)</f>
        <v/>
      </c>
      <c r="B24" s="26">
        <f>IF($K24="","",INDEX(People!$A:$A,$K24)&amp;"")</f>
        <v/>
      </c>
      <c r="C24" s="26">
        <f>IF($K24="","",INDEX(People!$D:$D,$K24)&amp;"")</f>
        <v/>
      </c>
      <c r="D24" s="27">
        <f>IF($K24="","",INDEX(People!$E:$E,$K24)&amp;"")</f>
        <v/>
      </c>
      <c r="E24" s="6">
        <f>IF($K24="","",INDEX(People!$F:$F,$K24)&amp;"")</f>
        <v/>
      </c>
      <c r="F24" s="6">
        <f>IF($K24="","",INDEX(People!$L:$L,$K24)&amp;"")</f>
        <v/>
      </c>
      <c r="G24" s="27">
        <f>IF($K24="","",INDEX(People!$M:$M,$K24)&amp;"")</f>
        <v/>
      </c>
      <c r="H24" s="6">
        <f>IF($K24="","",IF(INDEX(People!$P:$P,$K24)&lt;&gt;"✓","—",IF(INDEX(People!$R:$R,$K24)&lt;&gt;"","Done "&amp;TEXT(INDEX(People!$R:$R,$K24),"yyyy-mm-dd"),"Yes"&amp;IF(INDEX(People!$Q:$Q,$K24)&lt;&gt;""," — by "&amp;TEXT(INDEX(People!$Q:$Q,$K24),"yyyy-mm-dd"),""))))</f>
        <v/>
      </c>
      <c r="I24" s="6">
        <f>IF($K24="","",INDEX(People!$N:$N,$K24)&amp;"")</f>
        <v/>
      </c>
      <c r="K24">
        <f>IFERROR(SMALL(People!$X$5:$X$604,7),"")</f>
        <v/>
      </c>
    </row>
    <row r="25">
      <c r="A25" s="26">
        <f>IF($K25="","",8)</f>
        <v/>
      </c>
      <c r="B25" s="26">
        <f>IF($K25="","",INDEX(People!$A:$A,$K25)&amp;"")</f>
        <v/>
      </c>
      <c r="C25" s="26">
        <f>IF($K25="","",INDEX(People!$D:$D,$K25)&amp;"")</f>
        <v/>
      </c>
      <c r="D25" s="27">
        <f>IF($K25="","",INDEX(People!$E:$E,$K25)&amp;"")</f>
        <v/>
      </c>
      <c r="E25" s="6">
        <f>IF($K25="","",INDEX(People!$F:$F,$K25)&amp;"")</f>
        <v/>
      </c>
      <c r="F25" s="6">
        <f>IF($K25="","",INDEX(People!$L:$L,$K25)&amp;"")</f>
        <v/>
      </c>
      <c r="G25" s="27">
        <f>IF($K25="","",INDEX(People!$M:$M,$K25)&amp;"")</f>
        <v/>
      </c>
      <c r="H25" s="6">
        <f>IF($K25="","",IF(INDEX(People!$P:$P,$K25)&lt;&gt;"✓","—",IF(INDEX(People!$R:$R,$K25)&lt;&gt;"","Done "&amp;TEXT(INDEX(People!$R:$R,$K25),"yyyy-mm-dd"),"Yes"&amp;IF(INDEX(People!$Q:$Q,$K25)&lt;&gt;""," — by "&amp;TEXT(INDEX(People!$Q:$Q,$K25),"yyyy-mm-dd"),""))))</f>
        <v/>
      </c>
      <c r="I25" s="6">
        <f>IF($K25="","",INDEX(People!$N:$N,$K25)&amp;"")</f>
        <v/>
      </c>
      <c r="K25">
        <f>IFERROR(SMALL(People!$X$5:$X$604,8),"")</f>
        <v/>
      </c>
    </row>
    <row r="26">
      <c r="A26" s="26">
        <f>IF($K26="","",9)</f>
        <v/>
      </c>
      <c r="B26" s="26">
        <f>IF($K26="","",INDEX(People!$A:$A,$K26)&amp;"")</f>
        <v/>
      </c>
      <c r="C26" s="26">
        <f>IF($K26="","",INDEX(People!$D:$D,$K26)&amp;"")</f>
        <v/>
      </c>
      <c r="D26" s="27">
        <f>IF($K26="","",INDEX(People!$E:$E,$K26)&amp;"")</f>
        <v/>
      </c>
      <c r="E26" s="6">
        <f>IF($K26="","",INDEX(People!$F:$F,$K26)&amp;"")</f>
        <v/>
      </c>
      <c r="F26" s="6">
        <f>IF($K26="","",INDEX(People!$L:$L,$K26)&amp;"")</f>
        <v/>
      </c>
      <c r="G26" s="27">
        <f>IF($K26="","",INDEX(People!$M:$M,$K26)&amp;"")</f>
        <v/>
      </c>
      <c r="H26" s="6">
        <f>IF($K26="","",IF(INDEX(People!$P:$P,$K26)&lt;&gt;"✓","—",IF(INDEX(People!$R:$R,$K26)&lt;&gt;"","Done "&amp;TEXT(INDEX(People!$R:$R,$K26),"yyyy-mm-dd"),"Yes"&amp;IF(INDEX(People!$Q:$Q,$K26)&lt;&gt;""," — by "&amp;TEXT(INDEX(People!$Q:$Q,$K26),"yyyy-mm-dd"),""))))</f>
        <v/>
      </c>
      <c r="I26" s="6">
        <f>IF($K26="","",INDEX(People!$N:$N,$K26)&amp;"")</f>
        <v/>
      </c>
      <c r="K26">
        <f>IFERROR(SMALL(People!$X$5:$X$604,9),"")</f>
        <v/>
      </c>
    </row>
    <row r="27">
      <c r="A27" s="26">
        <f>IF($K27="","",10)</f>
        <v/>
      </c>
      <c r="B27" s="26">
        <f>IF($K27="","",INDEX(People!$A:$A,$K27)&amp;"")</f>
        <v/>
      </c>
      <c r="C27" s="26">
        <f>IF($K27="","",INDEX(People!$D:$D,$K27)&amp;"")</f>
        <v/>
      </c>
      <c r="D27" s="27">
        <f>IF($K27="","",INDEX(People!$E:$E,$K27)&amp;"")</f>
        <v/>
      </c>
      <c r="E27" s="6">
        <f>IF($K27="","",INDEX(People!$F:$F,$K27)&amp;"")</f>
        <v/>
      </c>
      <c r="F27" s="6">
        <f>IF($K27="","",INDEX(People!$L:$L,$K27)&amp;"")</f>
        <v/>
      </c>
      <c r="G27" s="27">
        <f>IF($K27="","",INDEX(People!$M:$M,$K27)&amp;"")</f>
        <v/>
      </c>
      <c r="H27" s="6">
        <f>IF($K27="","",IF(INDEX(People!$P:$P,$K27)&lt;&gt;"✓","—",IF(INDEX(People!$R:$R,$K27)&lt;&gt;"","Done "&amp;TEXT(INDEX(People!$R:$R,$K27),"yyyy-mm-dd"),"Yes"&amp;IF(INDEX(People!$Q:$Q,$K27)&lt;&gt;""," — by "&amp;TEXT(INDEX(People!$Q:$Q,$K27),"yyyy-mm-dd"),""))))</f>
        <v/>
      </c>
      <c r="I27" s="6">
        <f>IF($K27="","",INDEX(People!$N:$N,$K27)&amp;"")</f>
        <v/>
      </c>
      <c r="K27">
        <f>IFERROR(SMALL(People!$X$5:$X$604,10),"")</f>
        <v/>
      </c>
    </row>
    <row r="28">
      <c r="A28" s="26">
        <f>IF($K28="","",11)</f>
        <v/>
      </c>
      <c r="B28" s="26">
        <f>IF($K28="","",INDEX(People!$A:$A,$K28)&amp;"")</f>
        <v/>
      </c>
      <c r="C28" s="26">
        <f>IF($K28="","",INDEX(People!$D:$D,$K28)&amp;"")</f>
        <v/>
      </c>
      <c r="D28" s="27">
        <f>IF($K28="","",INDEX(People!$E:$E,$K28)&amp;"")</f>
        <v/>
      </c>
      <c r="E28" s="6">
        <f>IF($K28="","",INDEX(People!$F:$F,$K28)&amp;"")</f>
        <v/>
      </c>
      <c r="F28" s="6">
        <f>IF($K28="","",INDEX(People!$L:$L,$K28)&amp;"")</f>
        <v/>
      </c>
      <c r="G28" s="27">
        <f>IF($K28="","",INDEX(People!$M:$M,$K28)&amp;"")</f>
        <v/>
      </c>
      <c r="H28" s="6">
        <f>IF($K28="","",IF(INDEX(People!$P:$P,$K28)&lt;&gt;"✓","—",IF(INDEX(People!$R:$R,$K28)&lt;&gt;"","Done "&amp;TEXT(INDEX(People!$R:$R,$K28),"yyyy-mm-dd"),"Yes"&amp;IF(INDEX(People!$Q:$Q,$K28)&lt;&gt;""," — by "&amp;TEXT(INDEX(People!$Q:$Q,$K28),"yyyy-mm-dd"),""))))</f>
        <v/>
      </c>
      <c r="I28" s="6">
        <f>IF($K28="","",INDEX(People!$N:$N,$K28)&amp;"")</f>
        <v/>
      </c>
      <c r="K28">
        <f>IFERROR(SMALL(People!$X$5:$X$604,11),"")</f>
        <v/>
      </c>
    </row>
    <row r="29">
      <c r="A29" s="26">
        <f>IF($K29="","",12)</f>
        <v/>
      </c>
      <c r="B29" s="26">
        <f>IF($K29="","",INDEX(People!$A:$A,$K29)&amp;"")</f>
        <v/>
      </c>
      <c r="C29" s="26">
        <f>IF($K29="","",INDEX(People!$D:$D,$K29)&amp;"")</f>
        <v/>
      </c>
      <c r="D29" s="27">
        <f>IF($K29="","",INDEX(People!$E:$E,$K29)&amp;"")</f>
        <v/>
      </c>
      <c r="E29" s="6">
        <f>IF($K29="","",INDEX(People!$F:$F,$K29)&amp;"")</f>
        <v/>
      </c>
      <c r="F29" s="6">
        <f>IF($K29="","",INDEX(People!$L:$L,$K29)&amp;"")</f>
        <v/>
      </c>
      <c r="G29" s="27">
        <f>IF($K29="","",INDEX(People!$M:$M,$K29)&amp;"")</f>
        <v/>
      </c>
      <c r="H29" s="6">
        <f>IF($K29="","",IF(INDEX(People!$P:$P,$K29)&lt;&gt;"✓","—",IF(INDEX(People!$R:$R,$K29)&lt;&gt;"","Done "&amp;TEXT(INDEX(People!$R:$R,$K29),"yyyy-mm-dd"),"Yes"&amp;IF(INDEX(People!$Q:$Q,$K29)&lt;&gt;""," — by "&amp;TEXT(INDEX(People!$Q:$Q,$K29),"yyyy-mm-dd"),""))))</f>
        <v/>
      </c>
      <c r="I29" s="6">
        <f>IF($K29="","",INDEX(People!$N:$N,$K29)&amp;"")</f>
        <v/>
      </c>
      <c r="K29">
        <f>IFERROR(SMALL(People!$X$5:$X$604,12),"")</f>
        <v/>
      </c>
    </row>
    <row r="30">
      <c r="A30" s="26">
        <f>IF($K30="","",13)</f>
        <v/>
      </c>
      <c r="B30" s="26">
        <f>IF($K30="","",INDEX(People!$A:$A,$K30)&amp;"")</f>
        <v/>
      </c>
      <c r="C30" s="26">
        <f>IF($K30="","",INDEX(People!$D:$D,$K30)&amp;"")</f>
        <v/>
      </c>
      <c r="D30" s="27">
        <f>IF($K30="","",INDEX(People!$E:$E,$K30)&amp;"")</f>
        <v/>
      </c>
      <c r="E30" s="6">
        <f>IF($K30="","",INDEX(People!$F:$F,$K30)&amp;"")</f>
        <v/>
      </c>
      <c r="F30" s="6">
        <f>IF($K30="","",INDEX(People!$L:$L,$K30)&amp;"")</f>
        <v/>
      </c>
      <c r="G30" s="27">
        <f>IF($K30="","",INDEX(People!$M:$M,$K30)&amp;"")</f>
        <v/>
      </c>
      <c r="H30" s="6">
        <f>IF($K30="","",IF(INDEX(People!$P:$P,$K30)&lt;&gt;"✓","—",IF(INDEX(People!$R:$R,$K30)&lt;&gt;"","Done "&amp;TEXT(INDEX(People!$R:$R,$K30),"yyyy-mm-dd"),"Yes"&amp;IF(INDEX(People!$Q:$Q,$K30)&lt;&gt;""," — by "&amp;TEXT(INDEX(People!$Q:$Q,$K30),"yyyy-mm-dd"),""))))</f>
        <v/>
      </c>
      <c r="I30" s="6">
        <f>IF($K30="","",INDEX(People!$N:$N,$K30)&amp;"")</f>
        <v/>
      </c>
      <c r="K30">
        <f>IFERROR(SMALL(People!$X$5:$X$604,13),"")</f>
        <v/>
      </c>
    </row>
    <row r="31">
      <c r="A31" s="26">
        <f>IF($K31="","",14)</f>
        <v/>
      </c>
      <c r="B31" s="26">
        <f>IF($K31="","",INDEX(People!$A:$A,$K31)&amp;"")</f>
        <v/>
      </c>
      <c r="C31" s="26">
        <f>IF($K31="","",INDEX(People!$D:$D,$K31)&amp;"")</f>
        <v/>
      </c>
      <c r="D31" s="27">
        <f>IF($K31="","",INDEX(People!$E:$E,$K31)&amp;"")</f>
        <v/>
      </c>
      <c r="E31" s="6">
        <f>IF($K31="","",INDEX(People!$F:$F,$K31)&amp;"")</f>
        <v/>
      </c>
      <c r="F31" s="6">
        <f>IF($K31="","",INDEX(People!$L:$L,$K31)&amp;"")</f>
        <v/>
      </c>
      <c r="G31" s="27">
        <f>IF($K31="","",INDEX(People!$M:$M,$K31)&amp;"")</f>
        <v/>
      </c>
      <c r="H31" s="6">
        <f>IF($K31="","",IF(INDEX(People!$P:$P,$K31)&lt;&gt;"✓","—",IF(INDEX(People!$R:$R,$K31)&lt;&gt;"","Done "&amp;TEXT(INDEX(People!$R:$R,$K31),"yyyy-mm-dd"),"Yes"&amp;IF(INDEX(People!$Q:$Q,$K31)&lt;&gt;""," — by "&amp;TEXT(INDEX(People!$Q:$Q,$K31),"yyyy-mm-dd"),""))))</f>
        <v/>
      </c>
      <c r="I31" s="6">
        <f>IF($K31="","",INDEX(People!$N:$N,$K31)&amp;"")</f>
        <v/>
      </c>
      <c r="K31">
        <f>IFERROR(SMALL(People!$X$5:$X$604,14),"")</f>
        <v/>
      </c>
    </row>
    <row r="32">
      <c r="A32" s="26">
        <f>IF($K32="","",15)</f>
        <v/>
      </c>
      <c r="B32" s="26">
        <f>IF($K32="","",INDEX(People!$A:$A,$K32)&amp;"")</f>
        <v/>
      </c>
      <c r="C32" s="26">
        <f>IF($K32="","",INDEX(People!$D:$D,$K32)&amp;"")</f>
        <v/>
      </c>
      <c r="D32" s="27">
        <f>IF($K32="","",INDEX(People!$E:$E,$K32)&amp;"")</f>
        <v/>
      </c>
      <c r="E32" s="6">
        <f>IF($K32="","",INDEX(People!$F:$F,$K32)&amp;"")</f>
        <v/>
      </c>
      <c r="F32" s="6">
        <f>IF($K32="","",INDEX(People!$L:$L,$K32)&amp;"")</f>
        <v/>
      </c>
      <c r="G32" s="27">
        <f>IF($K32="","",INDEX(People!$M:$M,$K32)&amp;"")</f>
        <v/>
      </c>
      <c r="H32" s="6">
        <f>IF($K32="","",IF(INDEX(People!$P:$P,$K32)&lt;&gt;"✓","—",IF(INDEX(People!$R:$R,$K32)&lt;&gt;"","Done "&amp;TEXT(INDEX(People!$R:$R,$K32),"yyyy-mm-dd"),"Yes"&amp;IF(INDEX(People!$Q:$Q,$K32)&lt;&gt;""," — by "&amp;TEXT(INDEX(People!$Q:$Q,$K32),"yyyy-mm-dd"),""))))</f>
        <v/>
      </c>
      <c r="I32" s="6">
        <f>IF($K32="","",INDEX(People!$N:$N,$K32)&amp;"")</f>
        <v/>
      </c>
      <c r="K32">
        <f>IFERROR(SMALL(People!$X$5:$X$604,15),"")</f>
        <v/>
      </c>
    </row>
    <row r="33">
      <c r="A33" s="26">
        <f>IF($K33="","",16)</f>
        <v/>
      </c>
      <c r="B33" s="26">
        <f>IF($K33="","",INDEX(People!$A:$A,$K33)&amp;"")</f>
        <v/>
      </c>
      <c r="C33" s="26">
        <f>IF($K33="","",INDEX(People!$D:$D,$K33)&amp;"")</f>
        <v/>
      </c>
      <c r="D33" s="27">
        <f>IF($K33="","",INDEX(People!$E:$E,$K33)&amp;"")</f>
        <v/>
      </c>
      <c r="E33" s="6">
        <f>IF($K33="","",INDEX(People!$F:$F,$K33)&amp;"")</f>
        <v/>
      </c>
      <c r="F33" s="6">
        <f>IF($K33="","",INDEX(People!$L:$L,$K33)&amp;"")</f>
        <v/>
      </c>
      <c r="G33" s="27">
        <f>IF($K33="","",INDEX(People!$M:$M,$K33)&amp;"")</f>
        <v/>
      </c>
      <c r="H33" s="6">
        <f>IF($K33="","",IF(INDEX(People!$P:$P,$K33)&lt;&gt;"✓","—",IF(INDEX(People!$R:$R,$K33)&lt;&gt;"","Done "&amp;TEXT(INDEX(People!$R:$R,$K33),"yyyy-mm-dd"),"Yes"&amp;IF(INDEX(People!$Q:$Q,$K33)&lt;&gt;""," — by "&amp;TEXT(INDEX(People!$Q:$Q,$K33),"yyyy-mm-dd"),""))))</f>
        <v/>
      </c>
      <c r="I33" s="6">
        <f>IF($K33="","",INDEX(People!$N:$N,$K33)&amp;"")</f>
        <v/>
      </c>
      <c r="K33">
        <f>IFERROR(SMALL(People!$X$5:$X$604,16),"")</f>
        <v/>
      </c>
    </row>
    <row r="34">
      <c r="A34" s="26">
        <f>IF($K34="","",17)</f>
        <v/>
      </c>
      <c r="B34" s="26">
        <f>IF($K34="","",INDEX(People!$A:$A,$K34)&amp;"")</f>
        <v/>
      </c>
      <c r="C34" s="26">
        <f>IF($K34="","",INDEX(People!$D:$D,$K34)&amp;"")</f>
        <v/>
      </c>
      <c r="D34" s="27">
        <f>IF($K34="","",INDEX(People!$E:$E,$K34)&amp;"")</f>
        <v/>
      </c>
      <c r="E34" s="6">
        <f>IF($K34="","",INDEX(People!$F:$F,$K34)&amp;"")</f>
        <v/>
      </c>
      <c r="F34" s="6">
        <f>IF($K34="","",INDEX(People!$L:$L,$K34)&amp;"")</f>
        <v/>
      </c>
      <c r="G34" s="27">
        <f>IF($K34="","",INDEX(People!$M:$M,$K34)&amp;"")</f>
        <v/>
      </c>
      <c r="H34" s="6">
        <f>IF($K34="","",IF(INDEX(People!$P:$P,$K34)&lt;&gt;"✓","—",IF(INDEX(People!$R:$R,$K34)&lt;&gt;"","Done "&amp;TEXT(INDEX(People!$R:$R,$K34),"yyyy-mm-dd"),"Yes"&amp;IF(INDEX(People!$Q:$Q,$K34)&lt;&gt;""," — by "&amp;TEXT(INDEX(People!$Q:$Q,$K34),"yyyy-mm-dd"),""))))</f>
        <v/>
      </c>
      <c r="I34" s="6">
        <f>IF($K34="","",INDEX(People!$N:$N,$K34)&amp;"")</f>
        <v/>
      </c>
      <c r="K34">
        <f>IFERROR(SMALL(People!$X$5:$X$604,17),"")</f>
        <v/>
      </c>
    </row>
    <row r="35">
      <c r="A35" s="26">
        <f>IF($K35="","",18)</f>
        <v/>
      </c>
      <c r="B35" s="26">
        <f>IF($K35="","",INDEX(People!$A:$A,$K35)&amp;"")</f>
        <v/>
      </c>
      <c r="C35" s="26">
        <f>IF($K35="","",INDEX(People!$D:$D,$K35)&amp;"")</f>
        <v/>
      </c>
      <c r="D35" s="27">
        <f>IF($K35="","",INDEX(People!$E:$E,$K35)&amp;"")</f>
        <v/>
      </c>
      <c r="E35" s="6">
        <f>IF($K35="","",INDEX(People!$F:$F,$K35)&amp;"")</f>
        <v/>
      </c>
      <c r="F35" s="6">
        <f>IF($K35="","",INDEX(People!$L:$L,$K35)&amp;"")</f>
        <v/>
      </c>
      <c r="G35" s="27">
        <f>IF($K35="","",INDEX(People!$M:$M,$K35)&amp;"")</f>
        <v/>
      </c>
      <c r="H35" s="6">
        <f>IF($K35="","",IF(INDEX(People!$P:$P,$K35)&lt;&gt;"✓","—",IF(INDEX(People!$R:$R,$K35)&lt;&gt;"","Done "&amp;TEXT(INDEX(People!$R:$R,$K35),"yyyy-mm-dd"),"Yes"&amp;IF(INDEX(People!$Q:$Q,$K35)&lt;&gt;""," — by "&amp;TEXT(INDEX(People!$Q:$Q,$K35),"yyyy-mm-dd"),""))))</f>
        <v/>
      </c>
      <c r="I35" s="6">
        <f>IF($K35="","",INDEX(People!$N:$N,$K35)&amp;"")</f>
        <v/>
      </c>
      <c r="K35">
        <f>IFERROR(SMALL(People!$X$5:$X$604,18),"")</f>
        <v/>
      </c>
    </row>
    <row r="36">
      <c r="A36" s="26">
        <f>IF($K36="","",19)</f>
        <v/>
      </c>
      <c r="B36" s="26">
        <f>IF($K36="","",INDEX(People!$A:$A,$K36)&amp;"")</f>
        <v/>
      </c>
      <c r="C36" s="26">
        <f>IF($K36="","",INDEX(People!$D:$D,$K36)&amp;"")</f>
        <v/>
      </c>
      <c r="D36" s="27">
        <f>IF($K36="","",INDEX(People!$E:$E,$K36)&amp;"")</f>
        <v/>
      </c>
      <c r="E36" s="6">
        <f>IF($K36="","",INDEX(People!$F:$F,$K36)&amp;"")</f>
        <v/>
      </c>
      <c r="F36" s="6">
        <f>IF($K36="","",INDEX(People!$L:$L,$K36)&amp;"")</f>
        <v/>
      </c>
      <c r="G36" s="27">
        <f>IF($K36="","",INDEX(People!$M:$M,$K36)&amp;"")</f>
        <v/>
      </c>
      <c r="H36" s="6">
        <f>IF($K36="","",IF(INDEX(People!$P:$P,$K36)&lt;&gt;"✓","—",IF(INDEX(People!$R:$R,$K36)&lt;&gt;"","Done "&amp;TEXT(INDEX(People!$R:$R,$K36),"yyyy-mm-dd"),"Yes"&amp;IF(INDEX(People!$Q:$Q,$K36)&lt;&gt;""," — by "&amp;TEXT(INDEX(People!$Q:$Q,$K36),"yyyy-mm-dd"),""))))</f>
        <v/>
      </c>
      <c r="I36" s="6">
        <f>IF($K36="","",INDEX(People!$N:$N,$K36)&amp;"")</f>
        <v/>
      </c>
      <c r="K36">
        <f>IFERROR(SMALL(People!$X$5:$X$604,19),"")</f>
        <v/>
      </c>
    </row>
    <row r="37">
      <c r="A37" s="26">
        <f>IF($K37="","",20)</f>
        <v/>
      </c>
      <c r="B37" s="26">
        <f>IF($K37="","",INDEX(People!$A:$A,$K37)&amp;"")</f>
        <v/>
      </c>
      <c r="C37" s="26">
        <f>IF($K37="","",INDEX(People!$D:$D,$K37)&amp;"")</f>
        <v/>
      </c>
      <c r="D37" s="27">
        <f>IF($K37="","",INDEX(People!$E:$E,$K37)&amp;"")</f>
        <v/>
      </c>
      <c r="E37" s="6">
        <f>IF($K37="","",INDEX(People!$F:$F,$K37)&amp;"")</f>
        <v/>
      </c>
      <c r="F37" s="6">
        <f>IF($K37="","",INDEX(People!$L:$L,$K37)&amp;"")</f>
        <v/>
      </c>
      <c r="G37" s="27">
        <f>IF($K37="","",INDEX(People!$M:$M,$K37)&amp;"")</f>
        <v/>
      </c>
      <c r="H37" s="6">
        <f>IF($K37="","",IF(INDEX(People!$P:$P,$K37)&lt;&gt;"✓","—",IF(INDEX(People!$R:$R,$K37)&lt;&gt;"","Done "&amp;TEXT(INDEX(People!$R:$R,$K37),"yyyy-mm-dd"),"Yes"&amp;IF(INDEX(People!$Q:$Q,$K37)&lt;&gt;""," — by "&amp;TEXT(INDEX(People!$Q:$Q,$K37),"yyyy-mm-dd"),""))))</f>
        <v/>
      </c>
      <c r="I37" s="6">
        <f>IF($K37="","",INDEX(People!$N:$N,$K37)&amp;"")</f>
        <v/>
      </c>
      <c r="K37">
        <f>IFERROR(SMALL(People!$X$5:$X$604,20),"")</f>
        <v/>
      </c>
    </row>
    <row r="38">
      <c r="A38" s="26">
        <f>IF($K38="","",21)</f>
        <v/>
      </c>
      <c r="B38" s="26">
        <f>IF($K38="","",INDEX(People!$A:$A,$K38)&amp;"")</f>
        <v/>
      </c>
      <c r="C38" s="26">
        <f>IF($K38="","",INDEX(People!$D:$D,$K38)&amp;"")</f>
        <v/>
      </c>
      <c r="D38" s="27">
        <f>IF($K38="","",INDEX(People!$E:$E,$K38)&amp;"")</f>
        <v/>
      </c>
      <c r="E38" s="6">
        <f>IF($K38="","",INDEX(People!$F:$F,$K38)&amp;"")</f>
        <v/>
      </c>
      <c r="F38" s="6">
        <f>IF($K38="","",INDEX(People!$L:$L,$K38)&amp;"")</f>
        <v/>
      </c>
      <c r="G38" s="27">
        <f>IF($K38="","",INDEX(People!$M:$M,$K38)&amp;"")</f>
        <v/>
      </c>
      <c r="H38" s="6">
        <f>IF($K38="","",IF(INDEX(People!$P:$P,$K38)&lt;&gt;"✓","—",IF(INDEX(People!$R:$R,$K38)&lt;&gt;"","Done "&amp;TEXT(INDEX(People!$R:$R,$K38),"yyyy-mm-dd"),"Yes"&amp;IF(INDEX(People!$Q:$Q,$K38)&lt;&gt;""," — by "&amp;TEXT(INDEX(People!$Q:$Q,$K38),"yyyy-mm-dd"),""))))</f>
        <v/>
      </c>
      <c r="I38" s="6">
        <f>IF($K38="","",INDEX(People!$N:$N,$K38)&amp;"")</f>
        <v/>
      </c>
      <c r="K38">
        <f>IFERROR(SMALL(People!$X$5:$X$604,21),"")</f>
        <v/>
      </c>
    </row>
    <row r="39">
      <c r="A39" s="26">
        <f>IF($K39="","",22)</f>
        <v/>
      </c>
      <c r="B39" s="26">
        <f>IF($K39="","",INDEX(People!$A:$A,$K39)&amp;"")</f>
        <v/>
      </c>
      <c r="C39" s="26">
        <f>IF($K39="","",INDEX(People!$D:$D,$K39)&amp;"")</f>
        <v/>
      </c>
      <c r="D39" s="27">
        <f>IF($K39="","",INDEX(People!$E:$E,$K39)&amp;"")</f>
        <v/>
      </c>
      <c r="E39" s="6">
        <f>IF($K39="","",INDEX(People!$F:$F,$K39)&amp;"")</f>
        <v/>
      </c>
      <c r="F39" s="6">
        <f>IF($K39="","",INDEX(People!$L:$L,$K39)&amp;"")</f>
        <v/>
      </c>
      <c r="G39" s="27">
        <f>IF($K39="","",INDEX(People!$M:$M,$K39)&amp;"")</f>
        <v/>
      </c>
      <c r="H39" s="6">
        <f>IF($K39="","",IF(INDEX(People!$P:$P,$K39)&lt;&gt;"✓","—",IF(INDEX(People!$R:$R,$K39)&lt;&gt;"","Done "&amp;TEXT(INDEX(People!$R:$R,$K39),"yyyy-mm-dd"),"Yes"&amp;IF(INDEX(People!$Q:$Q,$K39)&lt;&gt;""," — by "&amp;TEXT(INDEX(People!$Q:$Q,$K39),"yyyy-mm-dd"),""))))</f>
        <v/>
      </c>
      <c r="I39" s="6">
        <f>IF($K39="","",INDEX(People!$N:$N,$K39)&amp;"")</f>
        <v/>
      </c>
      <c r="K39">
        <f>IFERROR(SMALL(People!$X$5:$X$604,22),"")</f>
        <v/>
      </c>
    </row>
    <row r="40">
      <c r="A40" s="26">
        <f>IF($K40="","",23)</f>
        <v/>
      </c>
      <c r="B40" s="26">
        <f>IF($K40="","",INDEX(People!$A:$A,$K40)&amp;"")</f>
        <v/>
      </c>
      <c r="C40" s="26">
        <f>IF($K40="","",INDEX(People!$D:$D,$K40)&amp;"")</f>
        <v/>
      </c>
      <c r="D40" s="27">
        <f>IF($K40="","",INDEX(People!$E:$E,$K40)&amp;"")</f>
        <v/>
      </c>
      <c r="E40" s="6">
        <f>IF($K40="","",INDEX(People!$F:$F,$K40)&amp;"")</f>
        <v/>
      </c>
      <c r="F40" s="6">
        <f>IF($K40="","",INDEX(People!$L:$L,$K40)&amp;"")</f>
        <v/>
      </c>
      <c r="G40" s="27">
        <f>IF($K40="","",INDEX(People!$M:$M,$K40)&amp;"")</f>
        <v/>
      </c>
      <c r="H40" s="6">
        <f>IF($K40="","",IF(INDEX(People!$P:$P,$K40)&lt;&gt;"✓","—",IF(INDEX(People!$R:$R,$K40)&lt;&gt;"","Done "&amp;TEXT(INDEX(People!$R:$R,$K40),"yyyy-mm-dd"),"Yes"&amp;IF(INDEX(People!$Q:$Q,$K40)&lt;&gt;""," — by "&amp;TEXT(INDEX(People!$Q:$Q,$K40),"yyyy-mm-dd"),""))))</f>
        <v/>
      </c>
      <c r="I40" s="6">
        <f>IF($K40="","",INDEX(People!$N:$N,$K40)&amp;"")</f>
        <v/>
      </c>
      <c r="K40">
        <f>IFERROR(SMALL(People!$X$5:$X$604,23),"")</f>
        <v/>
      </c>
    </row>
    <row r="41">
      <c r="A41" s="26">
        <f>IF($K41="","",24)</f>
        <v/>
      </c>
      <c r="B41" s="26">
        <f>IF($K41="","",INDEX(People!$A:$A,$K41)&amp;"")</f>
        <v/>
      </c>
      <c r="C41" s="26">
        <f>IF($K41="","",INDEX(People!$D:$D,$K41)&amp;"")</f>
        <v/>
      </c>
      <c r="D41" s="27">
        <f>IF($K41="","",INDEX(People!$E:$E,$K41)&amp;"")</f>
        <v/>
      </c>
      <c r="E41" s="6">
        <f>IF($K41="","",INDEX(People!$F:$F,$K41)&amp;"")</f>
        <v/>
      </c>
      <c r="F41" s="6">
        <f>IF($K41="","",INDEX(People!$L:$L,$K41)&amp;"")</f>
        <v/>
      </c>
      <c r="G41" s="27">
        <f>IF($K41="","",INDEX(People!$M:$M,$K41)&amp;"")</f>
        <v/>
      </c>
      <c r="H41" s="6">
        <f>IF($K41="","",IF(INDEX(People!$P:$P,$K41)&lt;&gt;"✓","—",IF(INDEX(People!$R:$R,$K41)&lt;&gt;"","Done "&amp;TEXT(INDEX(People!$R:$R,$K41),"yyyy-mm-dd"),"Yes"&amp;IF(INDEX(People!$Q:$Q,$K41)&lt;&gt;""," — by "&amp;TEXT(INDEX(People!$Q:$Q,$K41),"yyyy-mm-dd"),""))))</f>
        <v/>
      </c>
      <c r="I41" s="6">
        <f>IF($K41="","",INDEX(People!$N:$N,$K41)&amp;"")</f>
        <v/>
      </c>
      <c r="K41">
        <f>IFERROR(SMALL(People!$X$5:$X$604,24),"")</f>
        <v/>
      </c>
    </row>
    <row r="42">
      <c r="A42" s="26">
        <f>IF($K42="","",25)</f>
        <v/>
      </c>
      <c r="B42" s="26">
        <f>IF($K42="","",INDEX(People!$A:$A,$K42)&amp;"")</f>
        <v/>
      </c>
      <c r="C42" s="26">
        <f>IF($K42="","",INDEX(People!$D:$D,$K42)&amp;"")</f>
        <v/>
      </c>
      <c r="D42" s="27">
        <f>IF($K42="","",INDEX(People!$E:$E,$K42)&amp;"")</f>
        <v/>
      </c>
      <c r="E42" s="6">
        <f>IF($K42="","",INDEX(People!$F:$F,$K42)&amp;"")</f>
        <v/>
      </c>
      <c r="F42" s="6">
        <f>IF($K42="","",INDEX(People!$L:$L,$K42)&amp;"")</f>
        <v/>
      </c>
      <c r="G42" s="27">
        <f>IF($K42="","",INDEX(People!$M:$M,$K42)&amp;"")</f>
        <v/>
      </c>
      <c r="H42" s="6">
        <f>IF($K42="","",IF(INDEX(People!$P:$P,$K42)&lt;&gt;"✓","—",IF(INDEX(People!$R:$R,$K42)&lt;&gt;"","Done "&amp;TEXT(INDEX(People!$R:$R,$K42),"yyyy-mm-dd"),"Yes"&amp;IF(INDEX(People!$Q:$Q,$K42)&lt;&gt;""," — by "&amp;TEXT(INDEX(People!$Q:$Q,$K42),"yyyy-mm-dd"),""))))</f>
        <v/>
      </c>
      <c r="I42" s="6">
        <f>IF($K42="","",INDEX(People!$N:$N,$K42)&amp;"")</f>
        <v/>
      </c>
      <c r="K42">
        <f>IFERROR(SMALL(People!$X$5:$X$604,25),"")</f>
        <v/>
      </c>
    </row>
    <row r="43">
      <c r="A43" s="26">
        <f>IF($K43="","",26)</f>
        <v/>
      </c>
      <c r="B43" s="26">
        <f>IF($K43="","",INDEX(People!$A:$A,$K43)&amp;"")</f>
        <v/>
      </c>
      <c r="C43" s="26">
        <f>IF($K43="","",INDEX(People!$D:$D,$K43)&amp;"")</f>
        <v/>
      </c>
      <c r="D43" s="27">
        <f>IF($K43="","",INDEX(People!$E:$E,$K43)&amp;"")</f>
        <v/>
      </c>
      <c r="E43" s="6">
        <f>IF($K43="","",INDEX(People!$F:$F,$K43)&amp;"")</f>
        <v/>
      </c>
      <c r="F43" s="6">
        <f>IF($K43="","",INDEX(People!$L:$L,$K43)&amp;"")</f>
        <v/>
      </c>
      <c r="G43" s="27">
        <f>IF($K43="","",INDEX(People!$M:$M,$K43)&amp;"")</f>
        <v/>
      </c>
      <c r="H43" s="6">
        <f>IF($K43="","",IF(INDEX(People!$P:$P,$K43)&lt;&gt;"✓","—",IF(INDEX(People!$R:$R,$K43)&lt;&gt;"","Done "&amp;TEXT(INDEX(People!$R:$R,$K43),"yyyy-mm-dd"),"Yes"&amp;IF(INDEX(People!$Q:$Q,$K43)&lt;&gt;""," — by "&amp;TEXT(INDEX(People!$Q:$Q,$K43),"yyyy-mm-dd"),""))))</f>
        <v/>
      </c>
      <c r="I43" s="6">
        <f>IF($K43="","",INDEX(People!$N:$N,$K43)&amp;"")</f>
        <v/>
      </c>
      <c r="K43">
        <f>IFERROR(SMALL(People!$X$5:$X$604,26),"")</f>
        <v/>
      </c>
    </row>
    <row r="44">
      <c r="A44" s="26">
        <f>IF($K44="","",27)</f>
        <v/>
      </c>
      <c r="B44" s="26">
        <f>IF($K44="","",INDEX(People!$A:$A,$K44)&amp;"")</f>
        <v/>
      </c>
      <c r="C44" s="26">
        <f>IF($K44="","",INDEX(People!$D:$D,$K44)&amp;"")</f>
        <v/>
      </c>
      <c r="D44" s="27">
        <f>IF($K44="","",INDEX(People!$E:$E,$K44)&amp;"")</f>
        <v/>
      </c>
      <c r="E44" s="6">
        <f>IF($K44="","",INDEX(People!$F:$F,$K44)&amp;"")</f>
        <v/>
      </c>
      <c r="F44" s="6">
        <f>IF($K44="","",INDEX(People!$L:$L,$K44)&amp;"")</f>
        <v/>
      </c>
      <c r="G44" s="27">
        <f>IF($K44="","",INDEX(People!$M:$M,$K44)&amp;"")</f>
        <v/>
      </c>
      <c r="H44" s="6">
        <f>IF($K44="","",IF(INDEX(People!$P:$P,$K44)&lt;&gt;"✓","—",IF(INDEX(People!$R:$R,$K44)&lt;&gt;"","Done "&amp;TEXT(INDEX(People!$R:$R,$K44),"yyyy-mm-dd"),"Yes"&amp;IF(INDEX(People!$Q:$Q,$K44)&lt;&gt;""," — by "&amp;TEXT(INDEX(People!$Q:$Q,$K44),"yyyy-mm-dd"),""))))</f>
        <v/>
      </c>
      <c r="I44" s="6">
        <f>IF($K44="","",INDEX(People!$N:$N,$K44)&amp;"")</f>
        <v/>
      </c>
      <c r="K44">
        <f>IFERROR(SMALL(People!$X$5:$X$604,27),"")</f>
        <v/>
      </c>
    </row>
    <row r="45">
      <c r="A45" s="26">
        <f>IF($K45="","",28)</f>
        <v/>
      </c>
      <c r="B45" s="26">
        <f>IF($K45="","",INDEX(People!$A:$A,$K45)&amp;"")</f>
        <v/>
      </c>
      <c r="C45" s="26">
        <f>IF($K45="","",INDEX(People!$D:$D,$K45)&amp;"")</f>
        <v/>
      </c>
      <c r="D45" s="27">
        <f>IF($K45="","",INDEX(People!$E:$E,$K45)&amp;"")</f>
        <v/>
      </c>
      <c r="E45" s="6">
        <f>IF($K45="","",INDEX(People!$F:$F,$K45)&amp;"")</f>
        <v/>
      </c>
      <c r="F45" s="6">
        <f>IF($K45="","",INDEX(People!$L:$L,$K45)&amp;"")</f>
        <v/>
      </c>
      <c r="G45" s="27">
        <f>IF($K45="","",INDEX(People!$M:$M,$K45)&amp;"")</f>
        <v/>
      </c>
      <c r="H45" s="6">
        <f>IF($K45="","",IF(INDEX(People!$P:$P,$K45)&lt;&gt;"✓","—",IF(INDEX(People!$R:$R,$K45)&lt;&gt;"","Done "&amp;TEXT(INDEX(People!$R:$R,$K45),"yyyy-mm-dd"),"Yes"&amp;IF(INDEX(People!$Q:$Q,$K45)&lt;&gt;""," — by "&amp;TEXT(INDEX(People!$Q:$Q,$K45),"yyyy-mm-dd"),""))))</f>
        <v/>
      </c>
      <c r="I45" s="6">
        <f>IF($K45="","",INDEX(People!$N:$N,$K45)&amp;"")</f>
        <v/>
      </c>
      <c r="K45">
        <f>IFERROR(SMALL(People!$X$5:$X$604,28),"")</f>
        <v/>
      </c>
    </row>
    <row r="46">
      <c r="A46" s="26">
        <f>IF($K46="","",29)</f>
        <v/>
      </c>
      <c r="B46" s="26">
        <f>IF($K46="","",INDEX(People!$A:$A,$K46)&amp;"")</f>
        <v/>
      </c>
      <c r="C46" s="26">
        <f>IF($K46="","",INDEX(People!$D:$D,$K46)&amp;"")</f>
        <v/>
      </c>
      <c r="D46" s="27">
        <f>IF($K46="","",INDEX(People!$E:$E,$K46)&amp;"")</f>
        <v/>
      </c>
      <c r="E46" s="6">
        <f>IF($K46="","",INDEX(People!$F:$F,$K46)&amp;"")</f>
        <v/>
      </c>
      <c r="F46" s="6">
        <f>IF($K46="","",INDEX(People!$L:$L,$K46)&amp;"")</f>
        <v/>
      </c>
      <c r="G46" s="27">
        <f>IF($K46="","",INDEX(People!$M:$M,$K46)&amp;"")</f>
        <v/>
      </c>
      <c r="H46" s="6">
        <f>IF($K46="","",IF(INDEX(People!$P:$P,$K46)&lt;&gt;"✓","—",IF(INDEX(People!$R:$R,$K46)&lt;&gt;"","Done "&amp;TEXT(INDEX(People!$R:$R,$K46),"yyyy-mm-dd"),"Yes"&amp;IF(INDEX(People!$Q:$Q,$K46)&lt;&gt;""," — by "&amp;TEXT(INDEX(People!$Q:$Q,$K46),"yyyy-mm-dd"),""))))</f>
        <v/>
      </c>
      <c r="I46" s="6">
        <f>IF($K46="","",INDEX(People!$N:$N,$K46)&amp;"")</f>
        <v/>
      </c>
      <c r="K46">
        <f>IFERROR(SMALL(People!$X$5:$X$604,29),"")</f>
        <v/>
      </c>
    </row>
    <row r="47">
      <c r="A47" s="26">
        <f>IF($K47="","",30)</f>
        <v/>
      </c>
      <c r="B47" s="26">
        <f>IF($K47="","",INDEX(People!$A:$A,$K47)&amp;"")</f>
        <v/>
      </c>
      <c r="C47" s="26">
        <f>IF($K47="","",INDEX(People!$D:$D,$K47)&amp;"")</f>
        <v/>
      </c>
      <c r="D47" s="27">
        <f>IF($K47="","",INDEX(People!$E:$E,$K47)&amp;"")</f>
        <v/>
      </c>
      <c r="E47" s="6">
        <f>IF($K47="","",INDEX(People!$F:$F,$K47)&amp;"")</f>
        <v/>
      </c>
      <c r="F47" s="6">
        <f>IF($K47="","",INDEX(People!$L:$L,$K47)&amp;"")</f>
        <v/>
      </c>
      <c r="G47" s="27">
        <f>IF($K47="","",INDEX(People!$M:$M,$K47)&amp;"")</f>
        <v/>
      </c>
      <c r="H47" s="6">
        <f>IF($K47="","",IF(INDEX(People!$P:$P,$K47)&lt;&gt;"✓","—",IF(INDEX(People!$R:$R,$K47)&lt;&gt;"","Done "&amp;TEXT(INDEX(People!$R:$R,$K47),"yyyy-mm-dd"),"Yes"&amp;IF(INDEX(People!$Q:$Q,$K47)&lt;&gt;""," — by "&amp;TEXT(INDEX(People!$Q:$Q,$K47),"yyyy-mm-dd"),""))))</f>
        <v/>
      </c>
      <c r="I47" s="6">
        <f>IF($K47="","",INDEX(People!$N:$N,$K47)&amp;"")</f>
        <v/>
      </c>
      <c r="K47">
        <f>IFERROR(SMALL(People!$X$5:$X$604,30),"")</f>
        <v/>
      </c>
    </row>
    <row r="48">
      <c r="A48" s="26">
        <f>IF($K48="","",31)</f>
        <v/>
      </c>
      <c r="B48" s="26">
        <f>IF($K48="","",INDEX(People!$A:$A,$K48)&amp;"")</f>
        <v/>
      </c>
      <c r="C48" s="26">
        <f>IF($K48="","",INDEX(People!$D:$D,$K48)&amp;"")</f>
        <v/>
      </c>
      <c r="D48" s="27">
        <f>IF($K48="","",INDEX(People!$E:$E,$K48)&amp;"")</f>
        <v/>
      </c>
      <c r="E48" s="6">
        <f>IF($K48="","",INDEX(People!$F:$F,$K48)&amp;"")</f>
        <v/>
      </c>
      <c r="F48" s="6">
        <f>IF($K48="","",INDEX(People!$L:$L,$K48)&amp;"")</f>
        <v/>
      </c>
      <c r="G48" s="27">
        <f>IF($K48="","",INDEX(People!$M:$M,$K48)&amp;"")</f>
        <v/>
      </c>
      <c r="H48" s="6">
        <f>IF($K48="","",IF(INDEX(People!$P:$P,$K48)&lt;&gt;"✓","—",IF(INDEX(People!$R:$R,$K48)&lt;&gt;"","Done "&amp;TEXT(INDEX(People!$R:$R,$K48),"yyyy-mm-dd"),"Yes"&amp;IF(INDEX(People!$Q:$Q,$K48)&lt;&gt;""," — by "&amp;TEXT(INDEX(People!$Q:$Q,$K48),"yyyy-mm-dd"),""))))</f>
        <v/>
      </c>
      <c r="I48" s="6">
        <f>IF($K48="","",INDEX(People!$N:$N,$K48)&amp;"")</f>
        <v/>
      </c>
      <c r="K48">
        <f>IFERROR(SMALL(People!$X$5:$X$604,31),"")</f>
        <v/>
      </c>
    </row>
    <row r="49">
      <c r="A49" s="26">
        <f>IF($K49="","",32)</f>
        <v/>
      </c>
      <c r="B49" s="26">
        <f>IF($K49="","",INDEX(People!$A:$A,$K49)&amp;"")</f>
        <v/>
      </c>
      <c r="C49" s="26">
        <f>IF($K49="","",INDEX(People!$D:$D,$K49)&amp;"")</f>
        <v/>
      </c>
      <c r="D49" s="27">
        <f>IF($K49="","",INDEX(People!$E:$E,$K49)&amp;"")</f>
        <v/>
      </c>
      <c r="E49" s="6">
        <f>IF($K49="","",INDEX(People!$F:$F,$K49)&amp;"")</f>
        <v/>
      </c>
      <c r="F49" s="6">
        <f>IF($K49="","",INDEX(People!$L:$L,$K49)&amp;"")</f>
        <v/>
      </c>
      <c r="G49" s="27">
        <f>IF($K49="","",INDEX(People!$M:$M,$K49)&amp;"")</f>
        <v/>
      </c>
      <c r="H49" s="6">
        <f>IF($K49="","",IF(INDEX(People!$P:$P,$K49)&lt;&gt;"✓","—",IF(INDEX(People!$R:$R,$K49)&lt;&gt;"","Done "&amp;TEXT(INDEX(People!$R:$R,$K49),"yyyy-mm-dd"),"Yes"&amp;IF(INDEX(People!$Q:$Q,$K49)&lt;&gt;""," — by "&amp;TEXT(INDEX(People!$Q:$Q,$K49),"yyyy-mm-dd"),""))))</f>
        <v/>
      </c>
      <c r="I49" s="6">
        <f>IF($K49="","",INDEX(People!$N:$N,$K49)&amp;"")</f>
        <v/>
      </c>
      <c r="K49">
        <f>IFERROR(SMALL(People!$X$5:$X$604,32),"")</f>
        <v/>
      </c>
    </row>
    <row r="50">
      <c r="A50" s="26">
        <f>IF($K50="","",33)</f>
        <v/>
      </c>
      <c r="B50" s="26">
        <f>IF($K50="","",INDEX(People!$A:$A,$K50)&amp;"")</f>
        <v/>
      </c>
      <c r="C50" s="26">
        <f>IF($K50="","",INDEX(People!$D:$D,$K50)&amp;"")</f>
        <v/>
      </c>
      <c r="D50" s="27">
        <f>IF($K50="","",INDEX(People!$E:$E,$K50)&amp;"")</f>
        <v/>
      </c>
      <c r="E50" s="6">
        <f>IF($K50="","",INDEX(People!$F:$F,$K50)&amp;"")</f>
        <v/>
      </c>
      <c r="F50" s="6">
        <f>IF($K50="","",INDEX(People!$L:$L,$K50)&amp;"")</f>
        <v/>
      </c>
      <c r="G50" s="27">
        <f>IF($K50="","",INDEX(People!$M:$M,$K50)&amp;"")</f>
        <v/>
      </c>
      <c r="H50" s="6">
        <f>IF($K50="","",IF(INDEX(People!$P:$P,$K50)&lt;&gt;"✓","—",IF(INDEX(People!$R:$R,$K50)&lt;&gt;"","Done "&amp;TEXT(INDEX(People!$R:$R,$K50),"yyyy-mm-dd"),"Yes"&amp;IF(INDEX(People!$Q:$Q,$K50)&lt;&gt;""," — by "&amp;TEXT(INDEX(People!$Q:$Q,$K50),"yyyy-mm-dd"),""))))</f>
        <v/>
      </c>
      <c r="I50" s="6">
        <f>IF($K50="","",INDEX(People!$N:$N,$K50)&amp;"")</f>
        <v/>
      </c>
      <c r="K50">
        <f>IFERROR(SMALL(People!$X$5:$X$604,33),"")</f>
        <v/>
      </c>
    </row>
    <row r="51">
      <c r="A51" s="26">
        <f>IF($K51="","",34)</f>
        <v/>
      </c>
      <c r="B51" s="26">
        <f>IF($K51="","",INDEX(People!$A:$A,$K51)&amp;"")</f>
        <v/>
      </c>
      <c r="C51" s="26">
        <f>IF($K51="","",INDEX(People!$D:$D,$K51)&amp;"")</f>
        <v/>
      </c>
      <c r="D51" s="27">
        <f>IF($K51="","",INDEX(People!$E:$E,$K51)&amp;"")</f>
        <v/>
      </c>
      <c r="E51" s="6">
        <f>IF($K51="","",INDEX(People!$F:$F,$K51)&amp;"")</f>
        <v/>
      </c>
      <c r="F51" s="6">
        <f>IF($K51="","",INDEX(People!$L:$L,$K51)&amp;"")</f>
        <v/>
      </c>
      <c r="G51" s="27">
        <f>IF($K51="","",INDEX(People!$M:$M,$K51)&amp;"")</f>
        <v/>
      </c>
      <c r="H51" s="6">
        <f>IF($K51="","",IF(INDEX(People!$P:$P,$K51)&lt;&gt;"✓","—",IF(INDEX(People!$R:$R,$K51)&lt;&gt;"","Done "&amp;TEXT(INDEX(People!$R:$R,$K51),"yyyy-mm-dd"),"Yes"&amp;IF(INDEX(People!$Q:$Q,$K51)&lt;&gt;""," — by "&amp;TEXT(INDEX(People!$Q:$Q,$K51),"yyyy-mm-dd"),""))))</f>
        <v/>
      </c>
      <c r="I51" s="6">
        <f>IF($K51="","",INDEX(People!$N:$N,$K51)&amp;"")</f>
        <v/>
      </c>
      <c r="K51">
        <f>IFERROR(SMALL(People!$X$5:$X$604,34),"")</f>
        <v/>
      </c>
    </row>
    <row r="52">
      <c r="A52" s="26">
        <f>IF($K52="","",35)</f>
        <v/>
      </c>
      <c r="B52" s="26">
        <f>IF($K52="","",INDEX(People!$A:$A,$K52)&amp;"")</f>
        <v/>
      </c>
      <c r="C52" s="26">
        <f>IF($K52="","",INDEX(People!$D:$D,$K52)&amp;"")</f>
        <v/>
      </c>
      <c r="D52" s="27">
        <f>IF($K52="","",INDEX(People!$E:$E,$K52)&amp;"")</f>
        <v/>
      </c>
      <c r="E52" s="6">
        <f>IF($K52="","",INDEX(People!$F:$F,$K52)&amp;"")</f>
        <v/>
      </c>
      <c r="F52" s="6">
        <f>IF($K52="","",INDEX(People!$L:$L,$K52)&amp;"")</f>
        <v/>
      </c>
      <c r="G52" s="27">
        <f>IF($K52="","",INDEX(People!$M:$M,$K52)&amp;"")</f>
        <v/>
      </c>
      <c r="H52" s="6">
        <f>IF($K52="","",IF(INDEX(People!$P:$P,$K52)&lt;&gt;"✓","—",IF(INDEX(People!$R:$R,$K52)&lt;&gt;"","Done "&amp;TEXT(INDEX(People!$R:$R,$K52),"yyyy-mm-dd"),"Yes"&amp;IF(INDEX(People!$Q:$Q,$K52)&lt;&gt;""," — by "&amp;TEXT(INDEX(People!$Q:$Q,$K52),"yyyy-mm-dd"),""))))</f>
        <v/>
      </c>
      <c r="I52" s="6">
        <f>IF($K52="","",INDEX(People!$N:$N,$K52)&amp;"")</f>
        <v/>
      </c>
      <c r="K52">
        <f>IFERROR(SMALL(People!$X$5:$X$604,35),"")</f>
        <v/>
      </c>
    </row>
    <row r="53">
      <c r="A53" s="26">
        <f>IF($K53="","",36)</f>
        <v/>
      </c>
      <c r="B53" s="26">
        <f>IF($K53="","",INDEX(People!$A:$A,$K53)&amp;"")</f>
        <v/>
      </c>
      <c r="C53" s="26">
        <f>IF($K53="","",INDEX(People!$D:$D,$K53)&amp;"")</f>
        <v/>
      </c>
      <c r="D53" s="27">
        <f>IF($K53="","",INDEX(People!$E:$E,$K53)&amp;"")</f>
        <v/>
      </c>
      <c r="E53" s="6">
        <f>IF($K53="","",INDEX(People!$F:$F,$K53)&amp;"")</f>
        <v/>
      </c>
      <c r="F53" s="6">
        <f>IF($K53="","",INDEX(People!$L:$L,$K53)&amp;"")</f>
        <v/>
      </c>
      <c r="G53" s="27">
        <f>IF($K53="","",INDEX(People!$M:$M,$K53)&amp;"")</f>
        <v/>
      </c>
      <c r="H53" s="6">
        <f>IF($K53="","",IF(INDEX(People!$P:$P,$K53)&lt;&gt;"✓","—",IF(INDEX(People!$R:$R,$K53)&lt;&gt;"","Done "&amp;TEXT(INDEX(People!$R:$R,$K53),"yyyy-mm-dd"),"Yes"&amp;IF(INDEX(People!$Q:$Q,$K53)&lt;&gt;""," — by "&amp;TEXT(INDEX(People!$Q:$Q,$K53),"yyyy-mm-dd"),""))))</f>
        <v/>
      </c>
      <c r="I53" s="6">
        <f>IF($K53="","",INDEX(People!$N:$N,$K53)&amp;"")</f>
        <v/>
      </c>
      <c r="K53">
        <f>IFERROR(SMALL(People!$X$5:$X$604,36),"")</f>
        <v/>
      </c>
    </row>
    <row r="54">
      <c r="A54" s="26">
        <f>IF($K54="","",37)</f>
        <v/>
      </c>
      <c r="B54" s="26">
        <f>IF($K54="","",INDEX(People!$A:$A,$K54)&amp;"")</f>
        <v/>
      </c>
      <c r="C54" s="26">
        <f>IF($K54="","",INDEX(People!$D:$D,$K54)&amp;"")</f>
        <v/>
      </c>
      <c r="D54" s="27">
        <f>IF($K54="","",INDEX(People!$E:$E,$K54)&amp;"")</f>
        <v/>
      </c>
      <c r="E54" s="6">
        <f>IF($K54="","",INDEX(People!$F:$F,$K54)&amp;"")</f>
        <v/>
      </c>
      <c r="F54" s="6">
        <f>IF($K54="","",INDEX(People!$L:$L,$K54)&amp;"")</f>
        <v/>
      </c>
      <c r="G54" s="27">
        <f>IF($K54="","",INDEX(People!$M:$M,$K54)&amp;"")</f>
        <v/>
      </c>
      <c r="H54" s="6">
        <f>IF($K54="","",IF(INDEX(People!$P:$P,$K54)&lt;&gt;"✓","—",IF(INDEX(People!$R:$R,$K54)&lt;&gt;"","Done "&amp;TEXT(INDEX(People!$R:$R,$K54),"yyyy-mm-dd"),"Yes"&amp;IF(INDEX(People!$Q:$Q,$K54)&lt;&gt;""," — by "&amp;TEXT(INDEX(People!$Q:$Q,$K54),"yyyy-mm-dd"),""))))</f>
        <v/>
      </c>
      <c r="I54" s="6">
        <f>IF($K54="","",INDEX(People!$N:$N,$K54)&amp;"")</f>
        <v/>
      </c>
      <c r="K54">
        <f>IFERROR(SMALL(People!$X$5:$X$604,37),"")</f>
        <v/>
      </c>
    </row>
    <row r="55">
      <c r="A55" s="26">
        <f>IF($K55="","",38)</f>
        <v/>
      </c>
      <c r="B55" s="26">
        <f>IF($K55="","",INDEX(People!$A:$A,$K55)&amp;"")</f>
        <v/>
      </c>
      <c r="C55" s="26">
        <f>IF($K55="","",INDEX(People!$D:$D,$K55)&amp;"")</f>
        <v/>
      </c>
      <c r="D55" s="27">
        <f>IF($K55="","",INDEX(People!$E:$E,$K55)&amp;"")</f>
        <v/>
      </c>
      <c r="E55" s="6">
        <f>IF($K55="","",INDEX(People!$F:$F,$K55)&amp;"")</f>
        <v/>
      </c>
      <c r="F55" s="6">
        <f>IF($K55="","",INDEX(People!$L:$L,$K55)&amp;"")</f>
        <v/>
      </c>
      <c r="G55" s="27">
        <f>IF($K55="","",INDEX(People!$M:$M,$K55)&amp;"")</f>
        <v/>
      </c>
      <c r="H55" s="6">
        <f>IF($K55="","",IF(INDEX(People!$P:$P,$K55)&lt;&gt;"✓","—",IF(INDEX(People!$R:$R,$K55)&lt;&gt;"","Done "&amp;TEXT(INDEX(People!$R:$R,$K55),"yyyy-mm-dd"),"Yes"&amp;IF(INDEX(People!$Q:$Q,$K55)&lt;&gt;""," — by "&amp;TEXT(INDEX(People!$Q:$Q,$K55),"yyyy-mm-dd"),""))))</f>
        <v/>
      </c>
      <c r="I55" s="6">
        <f>IF($K55="","",INDEX(People!$N:$N,$K55)&amp;"")</f>
        <v/>
      </c>
      <c r="K55">
        <f>IFERROR(SMALL(People!$X$5:$X$604,38),"")</f>
        <v/>
      </c>
    </row>
    <row r="56">
      <c r="A56" s="26">
        <f>IF($K56="","",39)</f>
        <v/>
      </c>
      <c r="B56" s="26">
        <f>IF($K56="","",INDEX(People!$A:$A,$K56)&amp;"")</f>
        <v/>
      </c>
      <c r="C56" s="26">
        <f>IF($K56="","",INDEX(People!$D:$D,$K56)&amp;"")</f>
        <v/>
      </c>
      <c r="D56" s="27">
        <f>IF($K56="","",INDEX(People!$E:$E,$K56)&amp;"")</f>
        <v/>
      </c>
      <c r="E56" s="6">
        <f>IF($K56="","",INDEX(People!$F:$F,$K56)&amp;"")</f>
        <v/>
      </c>
      <c r="F56" s="6">
        <f>IF($K56="","",INDEX(People!$L:$L,$K56)&amp;"")</f>
        <v/>
      </c>
      <c r="G56" s="27">
        <f>IF($K56="","",INDEX(People!$M:$M,$K56)&amp;"")</f>
        <v/>
      </c>
      <c r="H56" s="6">
        <f>IF($K56="","",IF(INDEX(People!$P:$P,$K56)&lt;&gt;"✓","—",IF(INDEX(People!$R:$R,$K56)&lt;&gt;"","Done "&amp;TEXT(INDEX(People!$R:$R,$K56),"yyyy-mm-dd"),"Yes"&amp;IF(INDEX(People!$Q:$Q,$K56)&lt;&gt;""," — by "&amp;TEXT(INDEX(People!$Q:$Q,$K56),"yyyy-mm-dd"),""))))</f>
        <v/>
      </c>
      <c r="I56" s="6">
        <f>IF($K56="","",INDEX(People!$N:$N,$K56)&amp;"")</f>
        <v/>
      </c>
      <c r="K56">
        <f>IFERROR(SMALL(People!$X$5:$X$604,39),"")</f>
        <v/>
      </c>
    </row>
    <row r="57">
      <c r="A57" s="26">
        <f>IF($K57="","",40)</f>
        <v/>
      </c>
      <c r="B57" s="26">
        <f>IF($K57="","",INDEX(People!$A:$A,$K57)&amp;"")</f>
        <v/>
      </c>
      <c r="C57" s="26">
        <f>IF($K57="","",INDEX(People!$D:$D,$K57)&amp;"")</f>
        <v/>
      </c>
      <c r="D57" s="27">
        <f>IF($K57="","",INDEX(People!$E:$E,$K57)&amp;"")</f>
        <v/>
      </c>
      <c r="E57" s="6">
        <f>IF($K57="","",INDEX(People!$F:$F,$K57)&amp;"")</f>
        <v/>
      </c>
      <c r="F57" s="6">
        <f>IF($K57="","",INDEX(People!$L:$L,$K57)&amp;"")</f>
        <v/>
      </c>
      <c r="G57" s="27">
        <f>IF($K57="","",INDEX(People!$M:$M,$K57)&amp;"")</f>
        <v/>
      </c>
      <c r="H57" s="6">
        <f>IF($K57="","",IF(INDEX(People!$P:$P,$K57)&lt;&gt;"✓","—",IF(INDEX(People!$R:$R,$K57)&lt;&gt;"","Done "&amp;TEXT(INDEX(People!$R:$R,$K57),"yyyy-mm-dd"),"Yes"&amp;IF(INDEX(People!$Q:$Q,$K57)&lt;&gt;""," — by "&amp;TEXT(INDEX(People!$Q:$Q,$K57),"yyyy-mm-dd"),""))))</f>
        <v/>
      </c>
      <c r="I57" s="6">
        <f>IF($K57="","",INDEX(People!$N:$N,$K57)&amp;"")</f>
        <v/>
      </c>
      <c r="K57">
        <f>IFERROR(SMALL(People!$X$5:$X$604,40),"")</f>
        <v/>
      </c>
    </row>
    <row r="58">
      <c r="A58" s="26">
        <f>IF($K58="","",41)</f>
        <v/>
      </c>
      <c r="B58" s="26">
        <f>IF($K58="","",INDEX(People!$A:$A,$K58)&amp;"")</f>
        <v/>
      </c>
      <c r="C58" s="26">
        <f>IF($K58="","",INDEX(People!$D:$D,$K58)&amp;"")</f>
        <v/>
      </c>
      <c r="D58" s="27">
        <f>IF($K58="","",INDEX(People!$E:$E,$K58)&amp;"")</f>
        <v/>
      </c>
      <c r="E58" s="6">
        <f>IF($K58="","",INDEX(People!$F:$F,$K58)&amp;"")</f>
        <v/>
      </c>
      <c r="F58" s="6">
        <f>IF($K58="","",INDEX(People!$L:$L,$K58)&amp;"")</f>
        <v/>
      </c>
      <c r="G58" s="27">
        <f>IF($K58="","",INDEX(People!$M:$M,$K58)&amp;"")</f>
        <v/>
      </c>
      <c r="H58" s="6">
        <f>IF($K58="","",IF(INDEX(People!$P:$P,$K58)&lt;&gt;"✓","—",IF(INDEX(People!$R:$R,$K58)&lt;&gt;"","Done "&amp;TEXT(INDEX(People!$R:$R,$K58),"yyyy-mm-dd"),"Yes"&amp;IF(INDEX(People!$Q:$Q,$K58)&lt;&gt;""," — by "&amp;TEXT(INDEX(People!$Q:$Q,$K58),"yyyy-mm-dd"),""))))</f>
        <v/>
      </c>
      <c r="I58" s="6">
        <f>IF($K58="","",INDEX(People!$N:$N,$K58)&amp;"")</f>
        <v/>
      </c>
      <c r="K58">
        <f>IFERROR(SMALL(People!$X$5:$X$604,41),"")</f>
        <v/>
      </c>
    </row>
    <row r="59">
      <c r="A59" s="26">
        <f>IF($K59="","",42)</f>
        <v/>
      </c>
      <c r="B59" s="26">
        <f>IF($K59="","",INDEX(People!$A:$A,$K59)&amp;"")</f>
        <v/>
      </c>
      <c r="C59" s="26">
        <f>IF($K59="","",INDEX(People!$D:$D,$K59)&amp;"")</f>
        <v/>
      </c>
      <c r="D59" s="27">
        <f>IF($K59="","",INDEX(People!$E:$E,$K59)&amp;"")</f>
        <v/>
      </c>
      <c r="E59" s="6">
        <f>IF($K59="","",INDEX(People!$F:$F,$K59)&amp;"")</f>
        <v/>
      </c>
      <c r="F59" s="6">
        <f>IF($K59="","",INDEX(People!$L:$L,$K59)&amp;"")</f>
        <v/>
      </c>
      <c r="G59" s="27">
        <f>IF($K59="","",INDEX(People!$M:$M,$K59)&amp;"")</f>
        <v/>
      </c>
      <c r="H59" s="6">
        <f>IF($K59="","",IF(INDEX(People!$P:$P,$K59)&lt;&gt;"✓","—",IF(INDEX(People!$R:$R,$K59)&lt;&gt;"","Done "&amp;TEXT(INDEX(People!$R:$R,$K59),"yyyy-mm-dd"),"Yes"&amp;IF(INDEX(People!$Q:$Q,$K59)&lt;&gt;""," — by "&amp;TEXT(INDEX(People!$Q:$Q,$K59),"yyyy-mm-dd"),""))))</f>
        <v/>
      </c>
      <c r="I59" s="6">
        <f>IF($K59="","",INDEX(People!$N:$N,$K59)&amp;"")</f>
        <v/>
      </c>
      <c r="K59">
        <f>IFERROR(SMALL(People!$X$5:$X$604,42),"")</f>
        <v/>
      </c>
    </row>
    <row r="60">
      <c r="A60" s="26">
        <f>IF($K60="","",43)</f>
        <v/>
      </c>
      <c r="B60" s="26">
        <f>IF($K60="","",INDEX(People!$A:$A,$K60)&amp;"")</f>
        <v/>
      </c>
      <c r="C60" s="26">
        <f>IF($K60="","",INDEX(People!$D:$D,$K60)&amp;"")</f>
        <v/>
      </c>
      <c r="D60" s="27">
        <f>IF($K60="","",INDEX(People!$E:$E,$K60)&amp;"")</f>
        <v/>
      </c>
      <c r="E60" s="6">
        <f>IF($K60="","",INDEX(People!$F:$F,$K60)&amp;"")</f>
        <v/>
      </c>
      <c r="F60" s="6">
        <f>IF($K60="","",INDEX(People!$L:$L,$K60)&amp;"")</f>
        <v/>
      </c>
      <c r="G60" s="27">
        <f>IF($K60="","",INDEX(People!$M:$M,$K60)&amp;"")</f>
        <v/>
      </c>
      <c r="H60" s="6">
        <f>IF($K60="","",IF(INDEX(People!$P:$P,$K60)&lt;&gt;"✓","—",IF(INDEX(People!$R:$R,$K60)&lt;&gt;"","Done "&amp;TEXT(INDEX(People!$R:$R,$K60),"yyyy-mm-dd"),"Yes"&amp;IF(INDEX(People!$Q:$Q,$K60)&lt;&gt;""," — by "&amp;TEXT(INDEX(People!$Q:$Q,$K60),"yyyy-mm-dd"),""))))</f>
        <v/>
      </c>
      <c r="I60" s="6">
        <f>IF($K60="","",INDEX(People!$N:$N,$K60)&amp;"")</f>
        <v/>
      </c>
      <c r="K60">
        <f>IFERROR(SMALL(People!$X$5:$X$604,43),"")</f>
        <v/>
      </c>
    </row>
    <row r="61">
      <c r="A61" s="26">
        <f>IF($K61="","",44)</f>
        <v/>
      </c>
      <c r="B61" s="26">
        <f>IF($K61="","",INDEX(People!$A:$A,$K61)&amp;"")</f>
        <v/>
      </c>
      <c r="C61" s="26">
        <f>IF($K61="","",INDEX(People!$D:$D,$K61)&amp;"")</f>
        <v/>
      </c>
      <c r="D61" s="27">
        <f>IF($K61="","",INDEX(People!$E:$E,$K61)&amp;"")</f>
        <v/>
      </c>
      <c r="E61" s="6">
        <f>IF($K61="","",INDEX(People!$F:$F,$K61)&amp;"")</f>
        <v/>
      </c>
      <c r="F61" s="6">
        <f>IF($K61="","",INDEX(People!$L:$L,$K61)&amp;"")</f>
        <v/>
      </c>
      <c r="G61" s="27">
        <f>IF($K61="","",INDEX(People!$M:$M,$K61)&amp;"")</f>
        <v/>
      </c>
      <c r="H61" s="6">
        <f>IF($K61="","",IF(INDEX(People!$P:$P,$K61)&lt;&gt;"✓","—",IF(INDEX(People!$R:$R,$K61)&lt;&gt;"","Done "&amp;TEXT(INDEX(People!$R:$R,$K61),"yyyy-mm-dd"),"Yes"&amp;IF(INDEX(People!$Q:$Q,$K61)&lt;&gt;""," — by "&amp;TEXT(INDEX(People!$Q:$Q,$K61),"yyyy-mm-dd"),""))))</f>
        <v/>
      </c>
      <c r="I61" s="6">
        <f>IF($K61="","",INDEX(People!$N:$N,$K61)&amp;"")</f>
        <v/>
      </c>
      <c r="K61">
        <f>IFERROR(SMALL(People!$X$5:$X$604,44),"")</f>
        <v/>
      </c>
    </row>
    <row r="62">
      <c r="A62" s="26">
        <f>IF($K62="","",45)</f>
        <v/>
      </c>
      <c r="B62" s="26">
        <f>IF($K62="","",INDEX(People!$A:$A,$K62)&amp;"")</f>
        <v/>
      </c>
      <c r="C62" s="26">
        <f>IF($K62="","",INDEX(People!$D:$D,$K62)&amp;"")</f>
        <v/>
      </c>
      <c r="D62" s="27">
        <f>IF($K62="","",INDEX(People!$E:$E,$K62)&amp;"")</f>
        <v/>
      </c>
      <c r="E62" s="6">
        <f>IF($K62="","",INDEX(People!$F:$F,$K62)&amp;"")</f>
        <v/>
      </c>
      <c r="F62" s="6">
        <f>IF($K62="","",INDEX(People!$L:$L,$K62)&amp;"")</f>
        <v/>
      </c>
      <c r="G62" s="27">
        <f>IF($K62="","",INDEX(People!$M:$M,$K62)&amp;"")</f>
        <v/>
      </c>
      <c r="H62" s="6">
        <f>IF($K62="","",IF(INDEX(People!$P:$P,$K62)&lt;&gt;"✓","—",IF(INDEX(People!$R:$R,$K62)&lt;&gt;"","Done "&amp;TEXT(INDEX(People!$R:$R,$K62),"yyyy-mm-dd"),"Yes"&amp;IF(INDEX(People!$Q:$Q,$K62)&lt;&gt;""," — by "&amp;TEXT(INDEX(People!$Q:$Q,$K62),"yyyy-mm-dd"),""))))</f>
        <v/>
      </c>
      <c r="I62" s="6">
        <f>IF($K62="","",INDEX(People!$N:$N,$K62)&amp;"")</f>
        <v/>
      </c>
      <c r="K62">
        <f>IFERROR(SMALL(People!$X$5:$X$604,45),"")</f>
        <v/>
      </c>
    </row>
    <row r="63">
      <c r="A63" s="26">
        <f>IF($K63="","",46)</f>
        <v/>
      </c>
      <c r="B63" s="26">
        <f>IF($K63="","",INDEX(People!$A:$A,$K63)&amp;"")</f>
        <v/>
      </c>
      <c r="C63" s="26">
        <f>IF($K63="","",INDEX(People!$D:$D,$K63)&amp;"")</f>
        <v/>
      </c>
      <c r="D63" s="27">
        <f>IF($K63="","",INDEX(People!$E:$E,$K63)&amp;"")</f>
        <v/>
      </c>
      <c r="E63" s="6">
        <f>IF($K63="","",INDEX(People!$F:$F,$K63)&amp;"")</f>
        <v/>
      </c>
      <c r="F63" s="6">
        <f>IF($K63="","",INDEX(People!$L:$L,$K63)&amp;"")</f>
        <v/>
      </c>
      <c r="G63" s="27">
        <f>IF($K63="","",INDEX(People!$M:$M,$K63)&amp;"")</f>
        <v/>
      </c>
      <c r="H63" s="6">
        <f>IF($K63="","",IF(INDEX(People!$P:$P,$K63)&lt;&gt;"✓","—",IF(INDEX(People!$R:$R,$K63)&lt;&gt;"","Done "&amp;TEXT(INDEX(People!$R:$R,$K63),"yyyy-mm-dd"),"Yes"&amp;IF(INDEX(People!$Q:$Q,$K63)&lt;&gt;""," — by "&amp;TEXT(INDEX(People!$Q:$Q,$K63),"yyyy-mm-dd"),""))))</f>
        <v/>
      </c>
      <c r="I63" s="6">
        <f>IF($K63="","",INDEX(People!$N:$N,$K63)&amp;"")</f>
        <v/>
      </c>
      <c r="K63">
        <f>IFERROR(SMALL(People!$X$5:$X$604,46),"")</f>
        <v/>
      </c>
    </row>
    <row r="64">
      <c r="A64" s="26">
        <f>IF($K64="","",47)</f>
        <v/>
      </c>
      <c r="B64" s="26">
        <f>IF($K64="","",INDEX(People!$A:$A,$K64)&amp;"")</f>
        <v/>
      </c>
      <c r="C64" s="26">
        <f>IF($K64="","",INDEX(People!$D:$D,$K64)&amp;"")</f>
        <v/>
      </c>
      <c r="D64" s="27">
        <f>IF($K64="","",INDEX(People!$E:$E,$K64)&amp;"")</f>
        <v/>
      </c>
      <c r="E64" s="6">
        <f>IF($K64="","",INDEX(People!$F:$F,$K64)&amp;"")</f>
        <v/>
      </c>
      <c r="F64" s="6">
        <f>IF($K64="","",INDEX(People!$L:$L,$K64)&amp;"")</f>
        <v/>
      </c>
      <c r="G64" s="27">
        <f>IF($K64="","",INDEX(People!$M:$M,$K64)&amp;"")</f>
        <v/>
      </c>
      <c r="H64" s="6">
        <f>IF($K64="","",IF(INDEX(People!$P:$P,$K64)&lt;&gt;"✓","—",IF(INDEX(People!$R:$R,$K64)&lt;&gt;"","Done "&amp;TEXT(INDEX(People!$R:$R,$K64),"yyyy-mm-dd"),"Yes"&amp;IF(INDEX(People!$Q:$Q,$K64)&lt;&gt;""," — by "&amp;TEXT(INDEX(People!$Q:$Q,$K64),"yyyy-mm-dd"),""))))</f>
        <v/>
      </c>
      <c r="I64" s="6">
        <f>IF($K64="","",INDEX(People!$N:$N,$K64)&amp;"")</f>
        <v/>
      </c>
      <c r="K64">
        <f>IFERROR(SMALL(People!$X$5:$X$604,47),"")</f>
        <v/>
      </c>
    </row>
    <row r="65">
      <c r="A65" s="26">
        <f>IF($K65="","",48)</f>
        <v/>
      </c>
      <c r="B65" s="26">
        <f>IF($K65="","",INDEX(People!$A:$A,$K65)&amp;"")</f>
        <v/>
      </c>
      <c r="C65" s="26">
        <f>IF($K65="","",INDEX(People!$D:$D,$K65)&amp;"")</f>
        <v/>
      </c>
      <c r="D65" s="27">
        <f>IF($K65="","",INDEX(People!$E:$E,$K65)&amp;"")</f>
        <v/>
      </c>
      <c r="E65" s="6">
        <f>IF($K65="","",INDEX(People!$F:$F,$K65)&amp;"")</f>
        <v/>
      </c>
      <c r="F65" s="6">
        <f>IF($K65="","",INDEX(People!$L:$L,$K65)&amp;"")</f>
        <v/>
      </c>
      <c r="G65" s="27">
        <f>IF($K65="","",INDEX(People!$M:$M,$K65)&amp;"")</f>
        <v/>
      </c>
      <c r="H65" s="6">
        <f>IF($K65="","",IF(INDEX(People!$P:$P,$K65)&lt;&gt;"✓","—",IF(INDEX(People!$R:$R,$K65)&lt;&gt;"","Done "&amp;TEXT(INDEX(People!$R:$R,$K65),"yyyy-mm-dd"),"Yes"&amp;IF(INDEX(People!$Q:$Q,$K65)&lt;&gt;""," — by "&amp;TEXT(INDEX(People!$Q:$Q,$K65),"yyyy-mm-dd"),""))))</f>
        <v/>
      </c>
      <c r="I65" s="6">
        <f>IF($K65="","",INDEX(People!$N:$N,$K65)&amp;"")</f>
        <v/>
      </c>
      <c r="K65">
        <f>IFERROR(SMALL(People!$X$5:$X$604,48),"")</f>
        <v/>
      </c>
    </row>
    <row r="66">
      <c r="A66" s="26">
        <f>IF($K66="","",49)</f>
        <v/>
      </c>
      <c r="B66" s="26">
        <f>IF($K66="","",INDEX(People!$A:$A,$K66)&amp;"")</f>
        <v/>
      </c>
      <c r="C66" s="26">
        <f>IF($K66="","",INDEX(People!$D:$D,$K66)&amp;"")</f>
        <v/>
      </c>
      <c r="D66" s="27">
        <f>IF($K66="","",INDEX(People!$E:$E,$K66)&amp;"")</f>
        <v/>
      </c>
      <c r="E66" s="6">
        <f>IF($K66="","",INDEX(People!$F:$F,$K66)&amp;"")</f>
        <v/>
      </c>
      <c r="F66" s="6">
        <f>IF($K66="","",INDEX(People!$L:$L,$K66)&amp;"")</f>
        <v/>
      </c>
      <c r="G66" s="27">
        <f>IF($K66="","",INDEX(People!$M:$M,$K66)&amp;"")</f>
        <v/>
      </c>
      <c r="H66" s="6">
        <f>IF($K66="","",IF(INDEX(People!$P:$P,$K66)&lt;&gt;"✓","—",IF(INDEX(People!$R:$R,$K66)&lt;&gt;"","Done "&amp;TEXT(INDEX(People!$R:$R,$K66),"yyyy-mm-dd"),"Yes"&amp;IF(INDEX(People!$Q:$Q,$K66)&lt;&gt;""," — by "&amp;TEXT(INDEX(People!$Q:$Q,$K66),"yyyy-mm-dd"),""))))</f>
        <v/>
      </c>
      <c r="I66" s="6">
        <f>IF($K66="","",INDEX(People!$N:$N,$K66)&amp;"")</f>
        <v/>
      </c>
      <c r="K66">
        <f>IFERROR(SMALL(People!$X$5:$X$604,49),"")</f>
        <v/>
      </c>
    </row>
    <row r="67">
      <c r="A67" s="26">
        <f>IF($K67="","",50)</f>
        <v/>
      </c>
      <c r="B67" s="26">
        <f>IF($K67="","",INDEX(People!$A:$A,$K67)&amp;"")</f>
        <v/>
      </c>
      <c r="C67" s="26">
        <f>IF($K67="","",INDEX(People!$D:$D,$K67)&amp;"")</f>
        <v/>
      </c>
      <c r="D67" s="27">
        <f>IF($K67="","",INDEX(People!$E:$E,$K67)&amp;"")</f>
        <v/>
      </c>
      <c r="E67" s="6">
        <f>IF($K67="","",INDEX(People!$F:$F,$K67)&amp;"")</f>
        <v/>
      </c>
      <c r="F67" s="6">
        <f>IF($K67="","",INDEX(People!$L:$L,$K67)&amp;"")</f>
        <v/>
      </c>
      <c r="G67" s="27">
        <f>IF($K67="","",INDEX(People!$M:$M,$K67)&amp;"")</f>
        <v/>
      </c>
      <c r="H67" s="6">
        <f>IF($K67="","",IF(INDEX(People!$P:$P,$K67)&lt;&gt;"✓","—",IF(INDEX(People!$R:$R,$K67)&lt;&gt;"","Done "&amp;TEXT(INDEX(People!$R:$R,$K67),"yyyy-mm-dd"),"Yes"&amp;IF(INDEX(People!$Q:$Q,$K67)&lt;&gt;""," — by "&amp;TEXT(INDEX(People!$Q:$Q,$K67),"yyyy-mm-dd"),""))))</f>
        <v/>
      </c>
      <c r="I67" s="6">
        <f>IF($K67="","",INDEX(People!$N:$N,$K67)&amp;"")</f>
        <v/>
      </c>
      <c r="K67">
        <f>IFERROR(SMALL(People!$X$5:$X$604,50),"")</f>
        <v/>
      </c>
    </row>
    <row r="68">
      <c r="A68" s="26">
        <f>IF($K68="","",51)</f>
        <v/>
      </c>
      <c r="B68" s="26">
        <f>IF($K68="","",INDEX(People!$A:$A,$K68)&amp;"")</f>
        <v/>
      </c>
      <c r="C68" s="26">
        <f>IF($K68="","",INDEX(People!$D:$D,$K68)&amp;"")</f>
        <v/>
      </c>
      <c r="D68" s="27">
        <f>IF($K68="","",INDEX(People!$E:$E,$K68)&amp;"")</f>
        <v/>
      </c>
      <c r="E68" s="6">
        <f>IF($K68="","",INDEX(People!$F:$F,$K68)&amp;"")</f>
        <v/>
      </c>
      <c r="F68" s="6">
        <f>IF($K68="","",INDEX(People!$L:$L,$K68)&amp;"")</f>
        <v/>
      </c>
      <c r="G68" s="27">
        <f>IF($K68="","",INDEX(People!$M:$M,$K68)&amp;"")</f>
        <v/>
      </c>
      <c r="H68" s="6">
        <f>IF($K68="","",IF(INDEX(People!$P:$P,$K68)&lt;&gt;"✓","—",IF(INDEX(People!$R:$R,$K68)&lt;&gt;"","Done "&amp;TEXT(INDEX(People!$R:$R,$K68),"yyyy-mm-dd"),"Yes"&amp;IF(INDEX(People!$Q:$Q,$K68)&lt;&gt;""," — by "&amp;TEXT(INDEX(People!$Q:$Q,$K68),"yyyy-mm-dd"),""))))</f>
        <v/>
      </c>
      <c r="I68" s="6">
        <f>IF($K68="","",INDEX(People!$N:$N,$K68)&amp;"")</f>
        <v/>
      </c>
      <c r="K68">
        <f>IFERROR(SMALL(People!$X$5:$X$604,51),"")</f>
        <v/>
      </c>
    </row>
    <row r="69">
      <c r="A69" s="26">
        <f>IF($K69="","",52)</f>
        <v/>
      </c>
      <c r="B69" s="26">
        <f>IF($K69="","",INDEX(People!$A:$A,$K69)&amp;"")</f>
        <v/>
      </c>
      <c r="C69" s="26">
        <f>IF($K69="","",INDEX(People!$D:$D,$K69)&amp;"")</f>
        <v/>
      </c>
      <c r="D69" s="27">
        <f>IF($K69="","",INDEX(People!$E:$E,$K69)&amp;"")</f>
        <v/>
      </c>
      <c r="E69" s="6">
        <f>IF($K69="","",INDEX(People!$F:$F,$K69)&amp;"")</f>
        <v/>
      </c>
      <c r="F69" s="6">
        <f>IF($K69="","",INDEX(People!$L:$L,$K69)&amp;"")</f>
        <v/>
      </c>
      <c r="G69" s="27">
        <f>IF($K69="","",INDEX(People!$M:$M,$K69)&amp;"")</f>
        <v/>
      </c>
      <c r="H69" s="6">
        <f>IF($K69="","",IF(INDEX(People!$P:$P,$K69)&lt;&gt;"✓","—",IF(INDEX(People!$R:$R,$K69)&lt;&gt;"","Done "&amp;TEXT(INDEX(People!$R:$R,$K69),"yyyy-mm-dd"),"Yes"&amp;IF(INDEX(People!$Q:$Q,$K69)&lt;&gt;""," — by "&amp;TEXT(INDEX(People!$Q:$Q,$K69),"yyyy-mm-dd"),""))))</f>
        <v/>
      </c>
      <c r="I69" s="6">
        <f>IF($K69="","",INDEX(People!$N:$N,$K69)&amp;"")</f>
        <v/>
      </c>
      <c r="K69">
        <f>IFERROR(SMALL(People!$X$5:$X$604,52),"")</f>
        <v/>
      </c>
    </row>
    <row r="70">
      <c r="A70" s="26">
        <f>IF($K70="","",53)</f>
        <v/>
      </c>
      <c r="B70" s="26">
        <f>IF($K70="","",INDEX(People!$A:$A,$K70)&amp;"")</f>
        <v/>
      </c>
      <c r="C70" s="26">
        <f>IF($K70="","",INDEX(People!$D:$D,$K70)&amp;"")</f>
        <v/>
      </c>
      <c r="D70" s="27">
        <f>IF($K70="","",INDEX(People!$E:$E,$K70)&amp;"")</f>
        <v/>
      </c>
      <c r="E70" s="6">
        <f>IF($K70="","",INDEX(People!$F:$F,$K70)&amp;"")</f>
        <v/>
      </c>
      <c r="F70" s="6">
        <f>IF($K70="","",INDEX(People!$L:$L,$K70)&amp;"")</f>
        <v/>
      </c>
      <c r="G70" s="27">
        <f>IF($K70="","",INDEX(People!$M:$M,$K70)&amp;"")</f>
        <v/>
      </c>
      <c r="H70" s="6">
        <f>IF($K70="","",IF(INDEX(People!$P:$P,$K70)&lt;&gt;"✓","—",IF(INDEX(People!$R:$R,$K70)&lt;&gt;"","Done "&amp;TEXT(INDEX(People!$R:$R,$K70),"yyyy-mm-dd"),"Yes"&amp;IF(INDEX(People!$Q:$Q,$K70)&lt;&gt;""," — by "&amp;TEXT(INDEX(People!$Q:$Q,$K70),"yyyy-mm-dd"),""))))</f>
        <v/>
      </c>
      <c r="I70" s="6">
        <f>IF($K70="","",INDEX(People!$N:$N,$K70)&amp;"")</f>
        <v/>
      </c>
      <c r="K70">
        <f>IFERROR(SMALL(People!$X$5:$X$604,53),"")</f>
        <v/>
      </c>
    </row>
    <row r="71">
      <c r="A71" s="26">
        <f>IF($K71="","",54)</f>
        <v/>
      </c>
      <c r="B71" s="26">
        <f>IF($K71="","",INDEX(People!$A:$A,$K71)&amp;"")</f>
        <v/>
      </c>
      <c r="C71" s="26">
        <f>IF($K71="","",INDEX(People!$D:$D,$K71)&amp;"")</f>
        <v/>
      </c>
      <c r="D71" s="27">
        <f>IF($K71="","",INDEX(People!$E:$E,$K71)&amp;"")</f>
        <v/>
      </c>
      <c r="E71" s="6">
        <f>IF($K71="","",INDEX(People!$F:$F,$K71)&amp;"")</f>
        <v/>
      </c>
      <c r="F71" s="6">
        <f>IF($K71="","",INDEX(People!$L:$L,$K71)&amp;"")</f>
        <v/>
      </c>
      <c r="G71" s="27">
        <f>IF($K71="","",INDEX(People!$M:$M,$K71)&amp;"")</f>
        <v/>
      </c>
      <c r="H71" s="6">
        <f>IF($K71="","",IF(INDEX(People!$P:$P,$K71)&lt;&gt;"✓","—",IF(INDEX(People!$R:$R,$K71)&lt;&gt;"","Done "&amp;TEXT(INDEX(People!$R:$R,$K71),"yyyy-mm-dd"),"Yes"&amp;IF(INDEX(People!$Q:$Q,$K71)&lt;&gt;""," — by "&amp;TEXT(INDEX(People!$Q:$Q,$K71),"yyyy-mm-dd"),""))))</f>
        <v/>
      </c>
      <c r="I71" s="6">
        <f>IF($K71="","",INDEX(People!$N:$N,$K71)&amp;"")</f>
        <v/>
      </c>
      <c r="K71">
        <f>IFERROR(SMALL(People!$X$5:$X$604,54),"")</f>
        <v/>
      </c>
    </row>
    <row r="72">
      <c r="A72" s="26">
        <f>IF($K72="","",55)</f>
        <v/>
      </c>
      <c r="B72" s="26">
        <f>IF($K72="","",INDEX(People!$A:$A,$K72)&amp;"")</f>
        <v/>
      </c>
      <c r="C72" s="26">
        <f>IF($K72="","",INDEX(People!$D:$D,$K72)&amp;"")</f>
        <v/>
      </c>
      <c r="D72" s="27">
        <f>IF($K72="","",INDEX(People!$E:$E,$K72)&amp;"")</f>
        <v/>
      </c>
      <c r="E72" s="6">
        <f>IF($K72="","",INDEX(People!$F:$F,$K72)&amp;"")</f>
        <v/>
      </c>
      <c r="F72" s="6">
        <f>IF($K72="","",INDEX(People!$L:$L,$K72)&amp;"")</f>
        <v/>
      </c>
      <c r="G72" s="27">
        <f>IF($K72="","",INDEX(People!$M:$M,$K72)&amp;"")</f>
        <v/>
      </c>
      <c r="H72" s="6">
        <f>IF($K72="","",IF(INDEX(People!$P:$P,$K72)&lt;&gt;"✓","—",IF(INDEX(People!$R:$R,$K72)&lt;&gt;"","Done "&amp;TEXT(INDEX(People!$R:$R,$K72),"yyyy-mm-dd"),"Yes"&amp;IF(INDEX(People!$Q:$Q,$K72)&lt;&gt;""," — by "&amp;TEXT(INDEX(People!$Q:$Q,$K72),"yyyy-mm-dd"),""))))</f>
        <v/>
      </c>
      <c r="I72" s="6">
        <f>IF($K72="","",INDEX(People!$N:$N,$K72)&amp;"")</f>
        <v/>
      </c>
      <c r="K72">
        <f>IFERROR(SMALL(People!$X$5:$X$604,55),"")</f>
        <v/>
      </c>
    </row>
    <row r="73">
      <c r="A73" s="26">
        <f>IF($K73="","",56)</f>
        <v/>
      </c>
      <c r="B73" s="26">
        <f>IF($K73="","",INDEX(People!$A:$A,$K73)&amp;"")</f>
        <v/>
      </c>
      <c r="C73" s="26">
        <f>IF($K73="","",INDEX(People!$D:$D,$K73)&amp;"")</f>
        <v/>
      </c>
      <c r="D73" s="27">
        <f>IF($K73="","",INDEX(People!$E:$E,$K73)&amp;"")</f>
        <v/>
      </c>
      <c r="E73" s="6">
        <f>IF($K73="","",INDEX(People!$F:$F,$K73)&amp;"")</f>
        <v/>
      </c>
      <c r="F73" s="6">
        <f>IF($K73="","",INDEX(People!$L:$L,$K73)&amp;"")</f>
        <v/>
      </c>
      <c r="G73" s="27">
        <f>IF($K73="","",INDEX(People!$M:$M,$K73)&amp;"")</f>
        <v/>
      </c>
      <c r="H73" s="6">
        <f>IF($K73="","",IF(INDEX(People!$P:$P,$K73)&lt;&gt;"✓","—",IF(INDEX(People!$R:$R,$K73)&lt;&gt;"","Done "&amp;TEXT(INDEX(People!$R:$R,$K73),"yyyy-mm-dd"),"Yes"&amp;IF(INDEX(People!$Q:$Q,$K73)&lt;&gt;""," — by "&amp;TEXT(INDEX(People!$Q:$Q,$K73),"yyyy-mm-dd"),""))))</f>
        <v/>
      </c>
      <c r="I73" s="6">
        <f>IF($K73="","",INDEX(People!$N:$N,$K73)&amp;"")</f>
        <v/>
      </c>
      <c r="K73">
        <f>IFERROR(SMALL(People!$X$5:$X$604,56),"")</f>
        <v/>
      </c>
    </row>
    <row r="74">
      <c r="A74" s="26">
        <f>IF($K74="","",57)</f>
        <v/>
      </c>
      <c r="B74" s="26">
        <f>IF($K74="","",INDEX(People!$A:$A,$K74)&amp;"")</f>
        <v/>
      </c>
      <c r="C74" s="26">
        <f>IF($K74="","",INDEX(People!$D:$D,$K74)&amp;"")</f>
        <v/>
      </c>
      <c r="D74" s="27">
        <f>IF($K74="","",INDEX(People!$E:$E,$K74)&amp;"")</f>
        <v/>
      </c>
      <c r="E74" s="6">
        <f>IF($K74="","",INDEX(People!$F:$F,$K74)&amp;"")</f>
        <v/>
      </c>
      <c r="F74" s="6">
        <f>IF($K74="","",INDEX(People!$L:$L,$K74)&amp;"")</f>
        <v/>
      </c>
      <c r="G74" s="27">
        <f>IF($K74="","",INDEX(People!$M:$M,$K74)&amp;"")</f>
        <v/>
      </c>
      <c r="H74" s="6">
        <f>IF($K74="","",IF(INDEX(People!$P:$P,$K74)&lt;&gt;"✓","—",IF(INDEX(People!$R:$R,$K74)&lt;&gt;"","Done "&amp;TEXT(INDEX(People!$R:$R,$K74),"yyyy-mm-dd"),"Yes"&amp;IF(INDEX(People!$Q:$Q,$K74)&lt;&gt;""," — by "&amp;TEXT(INDEX(People!$Q:$Q,$K74),"yyyy-mm-dd"),""))))</f>
        <v/>
      </c>
      <c r="I74" s="6">
        <f>IF($K74="","",INDEX(People!$N:$N,$K74)&amp;"")</f>
        <v/>
      </c>
      <c r="K74">
        <f>IFERROR(SMALL(People!$X$5:$X$604,57),"")</f>
        <v/>
      </c>
    </row>
    <row r="75">
      <c r="A75" s="26">
        <f>IF($K75="","",58)</f>
        <v/>
      </c>
      <c r="B75" s="26">
        <f>IF($K75="","",INDEX(People!$A:$A,$K75)&amp;"")</f>
        <v/>
      </c>
      <c r="C75" s="26">
        <f>IF($K75="","",INDEX(People!$D:$D,$K75)&amp;"")</f>
        <v/>
      </c>
      <c r="D75" s="27">
        <f>IF($K75="","",INDEX(People!$E:$E,$K75)&amp;"")</f>
        <v/>
      </c>
      <c r="E75" s="6">
        <f>IF($K75="","",INDEX(People!$F:$F,$K75)&amp;"")</f>
        <v/>
      </c>
      <c r="F75" s="6">
        <f>IF($K75="","",INDEX(People!$L:$L,$K75)&amp;"")</f>
        <v/>
      </c>
      <c r="G75" s="27">
        <f>IF($K75="","",INDEX(People!$M:$M,$K75)&amp;"")</f>
        <v/>
      </c>
      <c r="H75" s="6">
        <f>IF($K75="","",IF(INDEX(People!$P:$P,$K75)&lt;&gt;"✓","—",IF(INDEX(People!$R:$R,$K75)&lt;&gt;"","Done "&amp;TEXT(INDEX(People!$R:$R,$K75),"yyyy-mm-dd"),"Yes"&amp;IF(INDEX(People!$Q:$Q,$K75)&lt;&gt;""," — by "&amp;TEXT(INDEX(People!$Q:$Q,$K75),"yyyy-mm-dd"),""))))</f>
        <v/>
      </c>
      <c r="I75" s="6">
        <f>IF($K75="","",INDEX(People!$N:$N,$K75)&amp;"")</f>
        <v/>
      </c>
      <c r="K75">
        <f>IFERROR(SMALL(People!$X$5:$X$604,58),"")</f>
        <v/>
      </c>
    </row>
    <row r="76">
      <c r="A76" s="26">
        <f>IF($K76="","",59)</f>
        <v/>
      </c>
      <c r="B76" s="26">
        <f>IF($K76="","",INDEX(People!$A:$A,$K76)&amp;"")</f>
        <v/>
      </c>
      <c r="C76" s="26">
        <f>IF($K76="","",INDEX(People!$D:$D,$K76)&amp;"")</f>
        <v/>
      </c>
      <c r="D76" s="27">
        <f>IF($K76="","",INDEX(People!$E:$E,$K76)&amp;"")</f>
        <v/>
      </c>
      <c r="E76" s="6">
        <f>IF($K76="","",INDEX(People!$F:$F,$K76)&amp;"")</f>
        <v/>
      </c>
      <c r="F76" s="6">
        <f>IF($K76="","",INDEX(People!$L:$L,$K76)&amp;"")</f>
        <v/>
      </c>
      <c r="G76" s="27">
        <f>IF($K76="","",INDEX(People!$M:$M,$K76)&amp;"")</f>
        <v/>
      </c>
      <c r="H76" s="6">
        <f>IF($K76="","",IF(INDEX(People!$P:$P,$K76)&lt;&gt;"✓","—",IF(INDEX(People!$R:$R,$K76)&lt;&gt;"","Done "&amp;TEXT(INDEX(People!$R:$R,$K76),"yyyy-mm-dd"),"Yes"&amp;IF(INDEX(People!$Q:$Q,$K76)&lt;&gt;""," — by "&amp;TEXT(INDEX(People!$Q:$Q,$K76),"yyyy-mm-dd"),""))))</f>
        <v/>
      </c>
      <c r="I76" s="6">
        <f>IF($K76="","",INDEX(People!$N:$N,$K76)&amp;"")</f>
        <v/>
      </c>
      <c r="K76">
        <f>IFERROR(SMALL(People!$X$5:$X$604,59),"")</f>
        <v/>
      </c>
    </row>
    <row r="77">
      <c r="A77" s="26">
        <f>IF($K77="","",60)</f>
        <v/>
      </c>
      <c r="B77" s="26">
        <f>IF($K77="","",INDEX(People!$A:$A,$K77)&amp;"")</f>
        <v/>
      </c>
      <c r="C77" s="26">
        <f>IF($K77="","",INDEX(People!$D:$D,$K77)&amp;"")</f>
        <v/>
      </c>
      <c r="D77" s="27">
        <f>IF($K77="","",INDEX(People!$E:$E,$K77)&amp;"")</f>
        <v/>
      </c>
      <c r="E77" s="6">
        <f>IF($K77="","",INDEX(People!$F:$F,$K77)&amp;"")</f>
        <v/>
      </c>
      <c r="F77" s="6">
        <f>IF($K77="","",INDEX(People!$L:$L,$K77)&amp;"")</f>
        <v/>
      </c>
      <c r="G77" s="27">
        <f>IF($K77="","",INDEX(People!$M:$M,$K77)&amp;"")</f>
        <v/>
      </c>
      <c r="H77" s="6">
        <f>IF($K77="","",IF(INDEX(People!$P:$P,$K77)&lt;&gt;"✓","—",IF(INDEX(People!$R:$R,$K77)&lt;&gt;"","Done "&amp;TEXT(INDEX(People!$R:$R,$K77),"yyyy-mm-dd"),"Yes"&amp;IF(INDEX(People!$Q:$Q,$K77)&lt;&gt;""," — by "&amp;TEXT(INDEX(People!$Q:$Q,$K77),"yyyy-mm-dd"),""))))</f>
        <v/>
      </c>
      <c r="I77" s="6">
        <f>IF($K77="","",INDEX(People!$N:$N,$K77)&amp;"")</f>
        <v/>
      </c>
      <c r="K77">
        <f>IFERROR(SMALL(People!$X$5:$X$604,60),"")</f>
        <v/>
      </c>
    </row>
    <row r="78">
      <c r="A78" s="26">
        <f>IF($K78="","",61)</f>
        <v/>
      </c>
      <c r="B78" s="26">
        <f>IF($K78="","",INDEX(People!$A:$A,$K78)&amp;"")</f>
        <v/>
      </c>
      <c r="C78" s="26">
        <f>IF($K78="","",INDEX(People!$D:$D,$K78)&amp;"")</f>
        <v/>
      </c>
      <c r="D78" s="27">
        <f>IF($K78="","",INDEX(People!$E:$E,$K78)&amp;"")</f>
        <v/>
      </c>
      <c r="E78" s="6">
        <f>IF($K78="","",INDEX(People!$F:$F,$K78)&amp;"")</f>
        <v/>
      </c>
      <c r="F78" s="6">
        <f>IF($K78="","",INDEX(People!$L:$L,$K78)&amp;"")</f>
        <v/>
      </c>
      <c r="G78" s="27">
        <f>IF($K78="","",INDEX(People!$M:$M,$K78)&amp;"")</f>
        <v/>
      </c>
      <c r="H78" s="6">
        <f>IF($K78="","",IF(INDEX(People!$P:$P,$K78)&lt;&gt;"✓","—",IF(INDEX(People!$R:$R,$K78)&lt;&gt;"","Done "&amp;TEXT(INDEX(People!$R:$R,$K78),"yyyy-mm-dd"),"Yes"&amp;IF(INDEX(People!$Q:$Q,$K78)&lt;&gt;""," — by "&amp;TEXT(INDEX(People!$Q:$Q,$K78),"yyyy-mm-dd"),""))))</f>
        <v/>
      </c>
      <c r="I78" s="6">
        <f>IF($K78="","",INDEX(People!$N:$N,$K78)&amp;"")</f>
        <v/>
      </c>
      <c r="K78">
        <f>IFERROR(SMALL(People!$X$5:$X$604,61),"")</f>
        <v/>
      </c>
    </row>
    <row r="79">
      <c r="A79" s="26">
        <f>IF($K79="","",62)</f>
        <v/>
      </c>
      <c r="B79" s="26">
        <f>IF($K79="","",INDEX(People!$A:$A,$K79)&amp;"")</f>
        <v/>
      </c>
      <c r="C79" s="26">
        <f>IF($K79="","",INDEX(People!$D:$D,$K79)&amp;"")</f>
        <v/>
      </c>
      <c r="D79" s="27">
        <f>IF($K79="","",INDEX(People!$E:$E,$K79)&amp;"")</f>
        <v/>
      </c>
      <c r="E79" s="6">
        <f>IF($K79="","",INDEX(People!$F:$F,$K79)&amp;"")</f>
        <v/>
      </c>
      <c r="F79" s="6">
        <f>IF($K79="","",INDEX(People!$L:$L,$K79)&amp;"")</f>
        <v/>
      </c>
      <c r="G79" s="27">
        <f>IF($K79="","",INDEX(People!$M:$M,$K79)&amp;"")</f>
        <v/>
      </c>
      <c r="H79" s="6">
        <f>IF($K79="","",IF(INDEX(People!$P:$P,$K79)&lt;&gt;"✓","—",IF(INDEX(People!$R:$R,$K79)&lt;&gt;"","Done "&amp;TEXT(INDEX(People!$R:$R,$K79),"yyyy-mm-dd"),"Yes"&amp;IF(INDEX(People!$Q:$Q,$K79)&lt;&gt;""," — by "&amp;TEXT(INDEX(People!$Q:$Q,$K79),"yyyy-mm-dd"),""))))</f>
        <v/>
      </c>
      <c r="I79" s="6">
        <f>IF($K79="","",INDEX(People!$N:$N,$K79)&amp;"")</f>
        <v/>
      </c>
      <c r="K79">
        <f>IFERROR(SMALL(People!$X$5:$X$604,62),"")</f>
        <v/>
      </c>
    </row>
    <row r="80">
      <c r="A80" s="26">
        <f>IF($K80="","",63)</f>
        <v/>
      </c>
      <c r="B80" s="26">
        <f>IF($K80="","",INDEX(People!$A:$A,$K80)&amp;"")</f>
        <v/>
      </c>
      <c r="C80" s="26">
        <f>IF($K80="","",INDEX(People!$D:$D,$K80)&amp;"")</f>
        <v/>
      </c>
      <c r="D80" s="27">
        <f>IF($K80="","",INDEX(People!$E:$E,$K80)&amp;"")</f>
        <v/>
      </c>
      <c r="E80" s="6">
        <f>IF($K80="","",INDEX(People!$F:$F,$K80)&amp;"")</f>
        <v/>
      </c>
      <c r="F80" s="6">
        <f>IF($K80="","",INDEX(People!$L:$L,$K80)&amp;"")</f>
        <v/>
      </c>
      <c r="G80" s="27">
        <f>IF($K80="","",INDEX(People!$M:$M,$K80)&amp;"")</f>
        <v/>
      </c>
      <c r="H80" s="6">
        <f>IF($K80="","",IF(INDEX(People!$P:$P,$K80)&lt;&gt;"✓","—",IF(INDEX(People!$R:$R,$K80)&lt;&gt;"","Done "&amp;TEXT(INDEX(People!$R:$R,$K80),"yyyy-mm-dd"),"Yes"&amp;IF(INDEX(People!$Q:$Q,$K80)&lt;&gt;""," — by "&amp;TEXT(INDEX(People!$Q:$Q,$K80),"yyyy-mm-dd"),""))))</f>
        <v/>
      </c>
      <c r="I80" s="6">
        <f>IF($K80="","",INDEX(People!$N:$N,$K80)&amp;"")</f>
        <v/>
      </c>
      <c r="K80">
        <f>IFERROR(SMALL(People!$X$5:$X$604,63),"")</f>
        <v/>
      </c>
    </row>
    <row r="81">
      <c r="A81" s="26">
        <f>IF($K81="","",64)</f>
        <v/>
      </c>
      <c r="B81" s="26">
        <f>IF($K81="","",INDEX(People!$A:$A,$K81)&amp;"")</f>
        <v/>
      </c>
      <c r="C81" s="26">
        <f>IF($K81="","",INDEX(People!$D:$D,$K81)&amp;"")</f>
        <v/>
      </c>
      <c r="D81" s="27">
        <f>IF($K81="","",INDEX(People!$E:$E,$K81)&amp;"")</f>
        <v/>
      </c>
      <c r="E81" s="6">
        <f>IF($K81="","",INDEX(People!$F:$F,$K81)&amp;"")</f>
        <v/>
      </c>
      <c r="F81" s="6">
        <f>IF($K81="","",INDEX(People!$L:$L,$K81)&amp;"")</f>
        <v/>
      </c>
      <c r="G81" s="27">
        <f>IF($K81="","",INDEX(People!$M:$M,$K81)&amp;"")</f>
        <v/>
      </c>
      <c r="H81" s="6">
        <f>IF($K81="","",IF(INDEX(People!$P:$P,$K81)&lt;&gt;"✓","—",IF(INDEX(People!$R:$R,$K81)&lt;&gt;"","Done "&amp;TEXT(INDEX(People!$R:$R,$K81),"yyyy-mm-dd"),"Yes"&amp;IF(INDEX(People!$Q:$Q,$K81)&lt;&gt;""," — by "&amp;TEXT(INDEX(People!$Q:$Q,$K81),"yyyy-mm-dd"),""))))</f>
        <v/>
      </c>
      <c r="I81" s="6">
        <f>IF($K81="","",INDEX(People!$N:$N,$K81)&amp;"")</f>
        <v/>
      </c>
      <c r="K81">
        <f>IFERROR(SMALL(People!$X$5:$X$604,64),"")</f>
        <v/>
      </c>
    </row>
    <row r="82">
      <c r="A82" s="26">
        <f>IF($K82="","",65)</f>
        <v/>
      </c>
      <c r="B82" s="26">
        <f>IF($K82="","",INDEX(People!$A:$A,$K82)&amp;"")</f>
        <v/>
      </c>
      <c r="C82" s="26">
        <f>IF($K82="","",INDEX(People!$D:$D,$K82)&amp;"")</f>
        <v/>
      </c>
      <c r="D82" s="27">
        <f>IF($K82="","",INDEX(People!$E:$E,$K82)&amp;"")</f>
        <v/>
      </c>
      <c r="E82" s="6">
        <f>IF($K82="","",INDEX(People!$F:$F,$K82)&amp;"")</f>
        <v/>
      </c>
      <c r="F82" s="6">
        <f>IF($K82="","",INDEX(People!$L:$L,$K82)&amp;"")</f>
        <v/>
      </c>
      <c r="G82" s="27">
        <f>IF($K82="","",INDEX(People!$M:$M,$K82)&amp;"")</f>
        <v/>
      </c>
      <c r="H82" s="6">
        <f>IF($K82="","",IF(INDEX(People!$P:$P,$K82)&lt;&gt;"✓","—",IF(INDEX(People!$R:$R,$K82)&lt;&gt;"","Done "&amp;TEXT(INDEX(People!$R:$R,$K82),"yyyy-mm-dd"),"Yes"&amp;IF(INDEX(People!$Q:$Q,$K82)&lt;&gt;""," — by "&amp;TEXT(INDEX(People!$Q:$Q,$K82),"yyyy-mm-dd"),""))))</f>
        <v/>
      </c>
      <c r="I82" s="6">
        <f>IF($K82="","",INDEX(People!$N:$N,$K82)&amp;"")</f>
        <v/>
      </c>
      <c r="K82">
        <f>IFERROR(SMALL(People!$X$5:$X$604,65),"")</f>
        <v/>
      </c>
    </row>
    <row r="83">
      <c r="A83" s="26">
        <f>IF($K83="","",66)</f>
        <v/>
      </c>
      <c r="B83" s="26">
        <f>IF($K83="","",INDEX(People!$A:$A,$K83)&amp;"")</f>
        <v/>
      </c>
      <c r="C83" s="26">
        <f>IF($K83="","",INDEX(People!$D:$D,$K83)&amp;"")</f>
        <v/>
      </c>
      <c r="D83" s="27">
        <f>IF($K83="","",INDEX(People!$E:$E,$K83)&amp;"")</f>
        <v/>
      </c>
      <c r="E83" s="6">
        <f>IF($K83="","",INDEX(People!$F:$F,$K83)&amp;"")</f>
        <v/>
      </c>
      <c r="F83" s="6">
        <f>IF($K83="","",INDEX(People!$L:$L,$K83)&amp;"")</f>
        <v/>
      </c>
      <c r="G83" s="27">
        <f>IF($K83="","",INDEX(People!$M:$M,$K83)&amp;"")</f>
        <v/>
      </c>
      <c r="H83" s="6">
        <f>IF($K83="","",IF(INDEX(People!$P:$P,$K83)&lt;&gt;"✓","—",IF(INDEX(People!$R:$R,$K83)&lt;&gt;"","Done "&amp;TEXT(INDEX(People!$R:$R,$K83),"yyyy-mm-dd"),"Yes"&amp;IF(INDEX(People!$Q:$Q,$K83)&lt;&gt;""," — by "&amp;TEXT(INDEX(People!$Q:$Q,$K83),"yyyy-mm-dd"),""))))</f>
        <v/>
      </c>
      <c r="I83" s="6">
        <f>IF($K83="","",INDEX(People!$N:$N,$K83)&amp;"")</f>
        <v/>
      </c>
      <c r="K83">
        <f>IFERROR(SMALL(People!$X$5:$X$604,66),"")</f>
        <v/>
      </c>
    </row>
    <row r="84">
      <c r="A84" s="26">
        <f>IF($K84="","",67)</f>
        <v/>
      </c>
      <c r="B84" s="26">
        <f>IF($K84="","",INDEX(People!$A:$A,$K84)&amp;"")</f>
        <v/>
      </c>
      <c r="C84" s="26">
        <f>IF($K84="","",INDEX(People!$D:$D,$K84)&amp;"")</f>
        <v/>
      </c>
      <c r="D84" s="27">
        <f>IF($K84="","",INDEX(People!$E:$E,$K84)&amp;"")</f>
        <v/>
      </c>
      <c r="E84" s="6">
        <f>IF($K84="","",INDEX(People!$F:$F,$K84)&amp;"")</f>
        <v/>
      </c>
      <c r="F84" s="6">
        <f>IF($K84="","",INDEX(People!$L:$L,$K84)&amp;"")</f>
        <v/>
      </c>
      <c r="G84" s="27">
        <f>IF($K84="","",INDEX(People!$M:$M,$K84)&amp;"")</f>
        <v/>
      </c>
      <c r="H84" s="6">
        <f>IF($K84="","",IF(INDEX(People!$P:$P,$K84)&lt;&gt;"✓","—",IF(INDEX(People!$R:$R,$K84)&lt;&gt;"","Done "&amp;TEXT(INDEX(People!$R:$R,$K84),"yyyy-mm-dd"),"Yes"&amp;IF(INDEX(People!$Q:$Q,$K84)&lt;&gt;""," — by "&amp;TEXT(INDEX(People!$Q:$Q,$K84),"yyyy-mm-dd"),""))))</f>
        <v/>
      </c>
      <c r="I84" s="6">
        <f>IF($K84="","",INDEX(People!$N:$N,$K84)&amp;"")</f>
        <v/>
      </c>
      <c r="K84">
        <f>IFERROR(SMALL(People!$X$5:$X$604,67),"")</f>
        <v/>
      </c>
    </row>
    <row r="85">
      <c r="A85" s="26">
        <f>IF($K85="","",68)</f>
        <v/>
      </c>
      <c r="B85" s="26">
        <f>IF($K85="","",INDEX(People!$A:$A,$K85)&amp;"")</f>
        <v/>
      </c>
      <c r="C85" s="26">
        <f>IF($K85="","",INDEX(People!$D:$D,$K85)&amp;"")</f>
        <v/>
      </c>
      <c r="D85" s="27">
        <f>IF($K85="","",INDEX(People!$E:$E,$K85)&amp;"")</f>
        <v/>
      </c>
      <c r="E85" s="6">
        <f>IF($K85="","",INDEX(People!$F:$F,$K85)&amp;"")</f>
        <v/>
      </c>
      <c r="F85" s="6">
        <f>IF($K85="","",INDEX(People!$L:$L,$K85)&amp;"")</f>
        <v/>
      </c>
      <c r="G85" s="27">
        <f>IF($K85="","",INDEX(People!$M:$M,$K85)&amp;"")</f>
        <v/>
      </c>
      <c r="H85" s="6">
        <f>IF($K85="","",IF(INDEX(People!$P:$P,$K85)&lt;&gt;"✓","—",IF(INDEX(People!$R:$R,$K85)&lt;&gt;"","Done "&amp;TEXT(INDEX(People!$R:$R,$K85),"yyyy-mm-dd"),"Yes"&amp;IF(INDEX(People!$Q:$Q,$K85)&lt;&gt;""," — by "&amp;TEXT(INDEX(People!$Q:$Q,$K85),"yyyy-mm-dd"),""))))</f>
        <v/>
      </c>
      <c r="I85" s="6">
        <f>IF($K85="","",INDEX(People!$N:$N,$K85)&amp;"")</f>
        <v/>
      </c>
      <c r="K85">
        <f>IFERROR(SMALL(People!$X$5:$X$604,68),"")</f>
        <v/>
      </c>
    </row>
    <row r="86">
      <c r="A86" s="26">
        <f>IF($K86="","",69)</f>
        <v/>
      </c>
      <c r="B86" s="26">
        <f>IF($K86="","",INDEX(People!$A:$A,$K86)&amp;"")</f>
        <v/>
      </c>
      <c r="C86" s="26">
        <f>IF($K86="","",INDEX(People!$D:$D,$K86)&amp;"")</f>
        <v/>
      </c>
      <c r="D86" s="27">
        <f>IF($K86="","",INDEX(People!$E:$E,$K86)&amp;"")</f>
        <v/>
      </c>
      <c r="E86" s="6">
        <f>IF($K86="","",INDEX(People!$F:$F,$K86)&amp;"")</f>
        <v/>
      </c>
      <c r="F86" s="6">
        <f>IF($K86="","",INDEX(People!$L:$L,$K86)&amp;"")</f>
        <v/>
      </c>
      <c r="G86" s="27">
        <f>IF($K86="","",INDEX(People!$M:$M,$K86)&amp;"")</f>
        <v/>
      </c>
      <c r="H86" s="6">
        <f>IF($K86="","",IF(INDEX(People!$P:$P,$K86)&lt;&gt;"✓","—",IF(INDEX(People!$R:$R,$K86)&lt;&gt;"","Done "&amp;TEXT(INDEX(People!$R:$R,$K86),"yyyy-mm-dd"),"Yes"&amp;IF(INDEX(People!$Q:$Q,$K86)&lt;&gt;""," — by "&amp;TEXT(INDEX(People!$Q:$Q,$K86),"yyyy-mm-dd"),""))))</f>
        <v/>
      </c>
      <c r="I86" s="6">
        <f>IF($K86="","",INDEX(People!$N:$N,$K86)&amp;"")</f>
        <v/>
      </c>
      <c r="K86">
        <f>IFERROR(SMALL(People!$X$5:$X$604,69),"")</f>
        <v/>
      </c>
    </row>
    <row r="87">
      <c r="A87" s="26">
        <f>IF($K87="","",70)</f>
        <v/>
      </c>
      <c r="B87" s="26">
        <f>IF($K87="","",INDEX(People!$A:$A,$K87)&amp;"")</f>
        <v/>
      </c>
      <c r="C87" s="26">
        <f>IF($K87="","",INDEX(People!$D:$D,$K87)&amp;"")</f>
        <v/>
      </c>
      <c r="D87" s="27">
        <f>IF($K87="","",INDEX(People!$E:$E,$K87)&amp;"")</f>
        <v/>
      </c>
      <c r="E87" s="6">
        <f>IF($K87="","",INDEX(People!$F:$F,$K87)&amp;"")</f>
        <v/>
      </c>
      <c r="F87" s="6">
        <f>IF($K87="","",INDEX(People!$L:$L,$K87)&amp;"")</f>
        <v/>
      </c>
      <c r="G87" s="27">
        <f>IF($K87="","",INDEX(People!$M:$M,$K87)&amp;"")</f>
        <v/>
      </c>
      <c r="H87" s="6">
        <f>IF($K87="","",IF(INDEX(People!$P:$P,$K87)&lt;&gt;"✓","—",IF(INDEX(People!$R:$R,$K87)&lt;&gt;"","Done "&amp;TEXT(INDEX(People!$R:$R,$K87),"yyyy-mm-dd"),"Yes"&amp;IF(INDEX(People!$Q:$Q,$K87)&lt;&gt;""," — by "&amp;TEXT(INDEX(People!$Q:$Q,$K87),"yyyy-mm-dd"),""))))</f>
        <v/>
      </c>
      <c r="I87" s="6">
        <f>IF($K87="","",INDEX(People!$N:$N,$K87)&amp;"")</f>
        <v/>
      </c>
      <c r="K87">
        <f>IFERROR(SMALL(People!$X$5:$X$604,70),"")</f>
        <v/>
      </c>
    </row>
    <row r="88">
      <c r="A88" s="26">
        <f>IF($K88="","",71)</f>
        <v/>
      </c>
      <c r="B88" s="26">
        <f>IF($K88="","",INDEX(People!$A:$A,$K88)&amp;"")</f>
        <v/>
      </c>
      <c r="C88" s="26">
        <f>IF($K88="","",INDEX(People!$D:$D,$K88)&amp;"")</f>
        <v/>
      </c>
      <c r="D88" s="27">
        <f>IF($K88="","",INDEX(People!$E:$E,$K88)&amp;"")</f>
        <v/>
      </c>
      <c r="E88" s="6">
        <f>IF($K88="","",INDEX(People!$F:$F,$K88)&amp;"")</f>
        <v/>
      </c>
      <c r="F88" s="6">
        <f>IF($K88="","",INDEX(People!$L:$L,$K88)&amp;"")</f>
        <v/>
      </c>
      <c r="G88" s="27">
        <f>IF($K88="","",INDEX(People!$M:$M,$K88)&amp;"")</f>
        <v/>
      </c>
      <c r="H88" s="6">
        <f>IF($K88="","",IF(INDEX(People!$P:$P,$K88)&lt;&gt;"✓","—",IF(INDEX(People!$R:$R,$K88)&lt;&gt;"","Done "&amp;TEXT(INDEX(People!$R:$R,$K88),"yyyy-mm-dd"),"Yes"&amp;IF(INDEX(People!$Q:$Q,$K88)&lt;&gt;""," — by "&amp;TEXT(INDEX(People!$Q:$Q,$K88),"yyyy-mm-dd"),""))))</f>
        <v/>
      </c>
      <c r="I88" s="6">
        <f>IF($K88="","",INDEX(People!$N:$N,$K88)&amp;"")</f>
        <v/>
      </c>
      <c r="K88">
        <f>IFERROR(SMALL(People!$X$5:$X$604,71),"")</f>
        <v/>
      </c>
    </row>
    <row r="89">
      <c r="A89" s="26">
        <f>IF($K89="","",72)</f>
        <v/>
      </c>
      <c r="B89" s="26">
        <f>IF($K89="","",INDEX(People!$A:$A,$K89)&amp;"")</f>
        <v/>
      </c>
      <c r="C89" s="26">
        <f>IF($K89="","",INDEX(People!$D:$D,$K89)&amp;"")</f>
        <v/>
      </c>
      <c r="D89" s="27">
        <f>IF($K89="","",INDEX(People!$E:$E,$K89)&amp;"")</f>
        <v/>
      </c>
      <c r="E89" s="6">
        <f>IF($K89="","",INDEX(People!$F:$F,$K89)&amp;"")</f>
        <v/>
      </c>
      <c r="F89" s="6">
        <f>IF($K89="","",INDEX(People!$L:$L,$K89)&amp;"")</f>
        <v/>
      </c>
      <c r="G89" s="27">
        <f>IF($K89="","",INDEX(People!$M:$M,$K89)&amp;"")</f>
        <v/>
      </c>
      <c r="H89" s="6">
        <f>IF($K89="","",IF(INDEX(People!$P:$P,$K89)&lt;&gt;"✓","—",IF(INDEX(People!$R:$R,$K89)&lt;&gt;"","Done "&amp;TEXT(INDEX(People!$R:$R,$K89),"yyyy-mm-dd"),"Yes"&amp;IF(INDEX(People!$Q:$Q,$K89)&lt;&gt;""," — by "&amp;TEXT(INDEX(People!$Q:$Q,$K89),"yyyy-mm-dd"),""))))</f>
        <v/>
      </c>
      <c r="I89" s="6">
        <f>IF($K89="","",INDEX(People!$N:$N,$K89)&amp;"")</f>
        <v/>
      </c>
      <c r="K89">
        <f>IFERROR(SMALL(People!$X$5:$X$604,72),"")</f>
        <v/>
      </c>
    </row>
    <row r="90">
      <c r="A90" s="26">
        <f>IF($K90="","",73)</f>
        <v/>
      </c>
      <c r="B90" s="26">
        <f>IF($K90="","",INDEX(People!$A:$A,$K90)&amp;"")</f>
        <v/>
      </c>
      <c r="C90" s="26">
        <f>IF($K90="","",INDEX(People!$D:$D,$K90)&amp;"")</f>
        <v/>
      </c>
      <c r="D90" s="27">
        <f>IF($K90="","",INDEX(People!$E:$E,$K90)&amp;"")</f>
        <v/>
      </c>
      <c r="E90" s="6">
        <f>IF($K90="","",INDEX(People!$F:$F,$K90)&amp;"")</f>
        <v/>
      </c>
      <c r="F90" s="6">
        <f>IF($K90="","",INDEX(People!$L:$L,$K90)&amp;"")</f>
        <v/>
      </c>
      <c r="G90" s="27">
        <f>IF($K90="","",INDEX(People!$M:$M,$K90)&amp;"")</f>
        <v/>
      </c>
      <c r="H90" s="6">
        <f>IF($K90="","",IF(INDEX(People!$P:$P,$K90)&lt;&gt;"✓","—",IF(INDEX(People!$R:$R,$K90)&lt;&gt;"","Done "&amp;TEXT(INDEX(People!$R:$R,$K90),"yyyy-mm-dd"),"Yes"&amp;IF(INDEX(People!$Q:$Q,$K90)&lt;&gt;""," — by "&amp;TEXT(INDEX(People!$Q:$Q,$K90),"yyyy-mm-dd"),""))))</f>
        <v/>
      </c>
      <c r="I90" s="6">
        <f>IF($K90="","",INDEX(People!$N:$N,$K90)&amp;"")</f>
        <v/>
      </c>
      <c r="K90">
        <f>IFERROR(SMALL(People!$X$5:$X$604,73),"")</f>
        <v/>
      </c>
    </row>
    <row r="91">
      <c r="A91" s="26">
        <f>IF($K91="","",74)</f>
        <v/>
      </c>
      <c r="B91" s="26">
        <f>IF($K91="","",INDEX(People!$A:$A,$K91)&amp;"")</f>
        <v/>
      </c>
      <c r="C91" s="26">
        <f>IF($K91="","",INDEX(People!$D:$D,$K91)&amp;"")</f>
        <v/>
      </c>
      <c r="D91" s="27">
        <f>IF($K91="","",INDEX(People!$E:$E,$K91)&amp;"")</f>
        <v/>
      </c>
      <c r="E91" s="6">
        <f>IF($K91="","",INDEX(People!$F:$F,$K91)&amp;"")</f>
        <v/>
      </c>
      <c r="F91" s="6">
        <f>IF($K91="","",INDEX(People!$L:$L,$K91)&amp;"")</f>
        <v/>
      </c>
      <c r="G91" s="27">
        <f>IF($K91="","",INDEX(People!$M:$M,$K91)&amp;"")</f>
        <v/>
      </c>
      <c r="H91" s="6">
        <f>IF($K91="","",IF(INDEX(People!$P:$P,$K91)&lt;&gt;"✓","—",IF(INDEX(People!$R:$R,$K91)&lt;&gt;"","Done "&amp;TEXT(INDEX(People!$R:$R,$K91),"yyyy-mm-dd"),"Yes"&amp;IF(INDEX(People!$Q:$Q,$K91)&lt;&gt;""," — by "&amp;TEXT(INDEX(People!$Q:$Q,$K91),"yyyy-mm-dd"),""))))</f>
        <v/>
      </c>
      <c r="I91" s="6">
        <f>IF($K91="","",INDEX(People!$N:$N,$K91)&amp;"")</f>
        <v/>
      </c>
      <c r="K91">
        <f>IFERROR(SMALL(People!$X$5:$X$604,74),"")</f>
        <v/>
      </c>
    </row>
    <row r="92">
      <c r="A92" s="26">
        <f>IF($K92="","",75)</f>
        <v/>
      </c>
      <c r="B92" s="26">
        <f>IF($K92="","",INDEX(People!$A:$A,$K92)&amp;"")</f>
        <v/>
      </c>
      <c r="C92" s="26">
        <f>IF($K92="","",INDEX(People!$D:$D,$K92)&amp;"")</f>
        <v/>
      </c>
      <c r="D92" s="27">
        <f>IF($K92="","",INDEX(People!$E:$E,$K92)&amp;"")</f>
        <v/>
      </c>
      <c r="E92" s="6">
        <f>IF($K92="","",INDEX(People!$F:$F,$K92)&amp;"")</f>
        <v/>
      </c>
      <c r="F92" s="6">
        <f>IF($K92="","",INDEX(People!$L:$L,$K92)&amp;"")</f>
        <v/>
      </c>
      <c r="G92" s="27">
        <f>IF($K92="","",INDEX(People!$M:$M,$K92)&amp;"")</f>
        <v/>
      </c>
      <c r="H92" s="6">
        <f>IF($K92="","",IF(INDEX(People!$P:$P,$K92)&lt;&gt;"✓","—",IF(INDEX(People!$R:$R,$K92)&lt;&gt;"","Done "&amp;TEXT(INDEX(People!$R:$R,$K92),"yyyy-mm-dd"),"Yes"&amp;IF(INDEX(People!$Q:$Q,$K92)&lt;&gt;""," — by "&amp;TEXT(INDEX(People!$Q:$Q,$K92),"yyyy-mm-dd"),""))))</f>
        <v/>
      </c>
      <c r="I92" s="6">
        <f>IF($K92="","",INDEX(People!$N:$N,$K92)&amp;"")</f>
        <v/>
      </c>
      <c r="K92">
        <f>IFERROR(SMALL(People!$X$5:$X$604,75),"")</f>
        <v/>
      </c>
    </row>
    <row r="93">
      <c r="A93" s="26">
        <f>IF($K93="","",76)</f>
        <v/>
      </c>
      <c r="B93" s="26">
        <f>IF($K93="","",INDEX(People!$A:$A,$K93)&amp;"")</f>
        <v/>
      </c>
      <c r="C93" s="26">
        <f>IF($K93="","",INDEX(People!$D:$D,$K93)&amp;"")</f>
        <v/>
      </c>
      <c r="D93" s="27">
        <f>IF($K93="","",INDEX(People!$E:$E,$K93)&amp;"")</f>
        <v/>
      </c>
      <c r="E93" s="6">
        <f>IF($K93="","",INDEX(People!$F:$F,$K93)&amp;"")</f>
        <v/>
      </c>
      <c r="F93" s="6">
        <f>IF($K93="","",INDEX(People!$L:$L,$K93)&amp;"")</f>
        <v/>
      </c>
      <c r="G93" s="27">
        <f>IF($K93="","",INDEX(People!$M:$M,$K93)&amp;"")</f>
        <v/>
      </c>
      <c r="H93" s="6">
        <f>IF($K93="","",IF(INDEX(People!$P:$P,$K93)&lt;&gt;"✓","—",IF(INDEX(People!$R:$R,$K93)&lt;&gt;"","Done "&amp;TEXT(INDEX(People!$R:$R,$K93),"yyyy-mm-dd"),"Yes"&amp;IF(INDEX(People!$Q:$Q,$K93)&lt;&gt;""," — by "&amp;TEXT(INDEX(People!$Q:$Q,$K93),"yyyy-mm-dd"),""))))</f>
        <v/>
      </c>
      <c r="I93" s="6">
        <f>IF($K93="","",INDEX(People!$N:$N,$K93)&amp;"")</f>
        <v/>
      </c>
      <c r="K93">
        <f>IFERROR(SMALL(People!$X$5:$X$604,76),"")</f>
        <v/>
      </c>
    </row>
    <row r="94">
      <c r="A94" s="26">
        <f>IF($K94="","",77)</f>
        <v/>
      </c>
      <c r="B94" s="26">
        <f>IF($K94="","",INDEX(People!$A:$A,$K94)&amp;"")</f>
        <v/>
      </c>
      <c r="C94" s="26">
        <f>IF($K94="","",INDEX(People!$D:$D,$K94)&amp;"")</f>
        <v/>
      </c>
      <c r="D94" s="27">
        <f>IF($K94="","",INDEX(People!$E:$E,$K94)&amp;"")</f>
        <v/>
      </c>
      <c r="E94" s="6">
        <f>IF($K94="","",INDEX(People!$F:$F,$K94)&amp;"")</f>
        <v/>
      </c>
      <c r="F94" s="6">
        <f>IF($K94="","",INDEX(People!$L:$L,$K94)&amp;"")</f>
        <v/>
      </c>
      <c r="G94" s="27">
        <f>IF($K94="","",INDEX(People!$M:$M,$K94)&amp;"")</f>
        <v/>
      </c>
      <c r="H94" s="6">
        <f>IF($K94="","",IF(INDEX(People!$P:$P,$K94)&lt;&gt;"✓","—",IF(INDEX(People!$R:$R,$K94)&lt;&gt;"","Done "&amp;TEXT(INDEX(People!$R:$R,$K94),"yyyy-mm-dd"),"Yes"&amp;IF(INDEX(People!$Q:$Q,$K94)&lt;&gt;""," — by "&amp;TEXT(INDEX(People!$Q:$Q,$K94),"yyyy-mm-dd"),""))))</f>
        <v/>
      </c>
      <c r="I94" s="6">
        <f>IF($K94="","",INDEX(People!$N:$N,$K94)&amp;"")</f>
        <v/>
      </c>
      <c r="K94">
        <f>IFERROR(SMALL(People!$X$5:$X$604,77),"")</f>
        <v/>
      </c>
    </row>
    <row r="95">
      <c r="A95" s="26">
        <f>IF($K95="","",78)</f>
        <v/>
      </c>
      <c r="B95" s="26">
        <f>IF($K95="","",INDEX(People!$A:$A,$K95)&amp;"")</f>
        <v/>
      </c>
      <c r="C95" s="26">
        <f>IF($K95="","",INDEX(People!$D:$D,$K95)&amp;"")</f>
        <v/>
      </c>
      <c r="D95" s="27">
        <f>IF($K95="","",INDEX(People!$E:$E,$K95)&amp;"")</f>
        <v/>
      </c>
      <c r="E95" s="6">
        <f>IF($K95="","",INDEX(People!$F:$F,$K95)&amp;"")</f>
        <v/>
      </c>
      <c r="F95" s="6">
        <f>IF($K95="","",INDEX(People!$L:$L,$K95)&amp;"")</f>
        <v/>
      </c>
      <c r="G95" s="27">
        <f>IF($K95="","",INDEX(People!$M:$M,$K95)&amp;"")</f>
        <v/>
      </c>
      <c r="H95" s="6">
        <f>IF($K95="","",IF(INDEX(People!$P:$P,$K95)&lt;&gt;"✓","—",IF(INDEX(People!$R:$R,$K95)&lt;&gt;"","Done "&amp;TEXT(INDEX(People!$R:$R,$K95),"yyyy-mm-dd"),"Yes"&amp;IF(INDEX(People!$Q:$Q,$K95)&lt;&gt;""," — by "&amp;TEXT(INDEX(People!$Q:$Q,$K95),"yyyy-mm-dd"),""))))</f>
        <v/>
      </c>
      <c r="I95" s="6">
        <f>IF($K95="","",INDEX(People!$N:$N,$K95)&amp;"")</f>
        <v/>
      </c>
      <c r="K95">
        <f>IFERROR(SMALL(People!$X$5:$X$604,78),"")</f>
        <v/>
      </c>
    </row>
    <row r="96">
      <c r="A96" s="26">
        <f>IF($K96="","",79)</f>
        <v/>
      </c>
      <c r="B96" s="26">
        <f>IF($K96="","",INDEX(People!$A:$A,$K96)&amp;"")</f>
        <v/>
      </c>
      <c r="C96" s="26">
        <f>IF($K96="","",INDEX(People!$D:$D,$K96)&amp;"")</f>
        <v/>
      </c>
      <c r="D96" s="27">
        <f>IF($K96="","",INDEX(People!$E:$E,$K96)&amp;"")</f>
        <v/>
      </c>
      <c r="E96" s="6">
        <f>IF($K96="","",INDEX(People!$F:$F,$K96)&amp;"")</f>
        <v/>
      </c>
      <c r="F96" s="6">
        <f>IF($K96="","",INDEX(People!$L:$L,$K96)&amp;"")</f>
        <v/>
      </c>
      <c r="G96" s="27">
        <f>IF($K96="","",INDEX(People!$M:$M,$K96)&amp;"")</f>
        <v/>
      </c>
      <c r="H96" s="6">
        <f>IF($K96="","",IF(INDEX(People!$P:$P,$K96)&lt;&gt;"✓","—",IF(INDEX(People!$R:$R,$K96)&lt;&gt;"","Done "&amp;TEXT(INDEX(People!$R:$R,$K96),"yyyy-mm-dd"),"Yes"&amp;IF(INDEX(People!$Q:$Q,$K96)&lt;&gt;""," — by "&amp;TEXT(INDEX(People!$Q:$Q,$K96),"yyyy-mm-dd"),""))))</f>
        <v/>
      </c>
      <c r="I96" s="6">
        <f>IF($K96="","",INDEX(People!$N:$N,$K96)&amp;"")</f>
        <v/>
      </c>
      <c r="K96">
        <f>IFERROR(SMALL(People!$X$5:$X$604,79),"")</f>
        <v/>
      </c>
    </row>
    <row r="97">
      <c r="A97" s="26">
        <f>IF($K97="","",80)</f>
        <v/>
      </c>
      <c r="B97" s="26">
        <f>IF($K97="","",INDEX(People!$A:$A,$K97)&amp;"")</f>
        <v/>
      </c>
      <c r="C97" s="26">
        <f>IF($K97="","",INDEX(People!$D:$D,$K97)&amp;"")</f>
        <v/>
      </c>
      <c r="D97" s="27">
        <f>IF($K97="","",INDEX(People!$E:$E,$K97)&amp;"")</f>
        <v/>
      </c>
      <c r="E97" s="6">
        <f>IF($K97="","",INDEX(People!$F:$F,$K97)&amp;"")</f>
        <v/>
      </c>
      <c r="F97" s="6">
        <f>IF($K97="","",INDEX(People!$L:$L,$K97)&amp;"")</f>
        <v/>
      </c>
      <c r="G97" s="27">
        <f>IF($K97="","",INDEX(People!$M:$M,$K97)&amp;"")</f>
        <v/>
      </c>
      <c r="H97" s="6">
        <f>IF($K97="","",IF(INDEX(People!$P:$P,$K97)&lt;&gt;"✓","—",IF(INDEX(People!$R:$R,$K97)&lt;&gt;"","Done "&amp;TEXT(INDEX(People!$R:$R,$K97),"yyyy-mm-dd"),"Yes"&amp;IF(INDEX(People!$Q:$Q,$K97)&lt;&gt;""," — by "&amp;TEXT(INDEX(People!$Q:$Q,$K97),"yyyy-mm-dd"),""))))</f>
        <v/>
      </c>
      <c r="I97" s="6">
        <f>IF($K97="","",INDEX(People!$N:$N,$K97)&amp;"")</f>
        <v/>
      </c>
      <c r="K97">
        <f>IFERROR(SMALL(People!$X$5:$X$604,80),"")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C5:E5"/>
    <mergeCell ref="B15:I15"/>
    <mergeCell ref="C8:E8"/>
    <mergeCell ref="C9:E9"/>
    <mergeCell ref="C7:E7"/>
    <mergeCell ref="C6:E6"/>
    <mergeCell ref="C10:E10"/>
  </mergeCells>
  <conditionalFormatting sqref="A18:I97">
    <cfRule type="expression" priority="1" dxfId="13">
      <formula>AND($K18&lt;&gt;"",MOD($A18,2)=0)</formula>
    </cfRule>
    <cfRule type="expression" priority="2" dxfId="11">
      <formula>$K18&lt;&gt;""</formula>
    </cfRule>
  </conditionalFormatting>
  <dataValidations count="1">
    <dataValidation sqref="C3" showDropDown="0" showInputMessage="0" showErrorMessage="1" allowBlank="1" errorTitle="Pick from the list" error="Use the dropdown so the counts stay consistent. New values go at the bottom of the Lists tab." type="list">
      <formula1>EvID</formula1>
    </dataValidation>
  </dataValidations>
  <pageMargins left="0.75" right="0.75" top="1" bottom="1" header="0.5" footer="0.5"/>
  <pageSetup orientation="landscape" fitToHeight="0" fitToWidth="1"/>
  <headerFooter>
    <oddHeader/>
    <oddFooter>&amp;LBOOST Ontario — initials only; contact details held separately&amp;RPage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B6E7A"/>
    <outlinePr summaryBelow="1" summaryRight="1"/>
    <pageSetUpPr fitToPage="1"/>
  </sheetPr>
  <dimension ref="A1:M9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0" customWidth="1" min="3" max="3"/>
    <col width="26" customWidth="1" min="4" max="4"/>
    <col width="10" customWidth="1" min="5" max="5"/>
    <col width="16" customWidth="1" min="6" max="6"/>
    <col width="10" customWidth="1" min="7" max="7"/>
    <col width="22" customWidth="1" min="8" max="8"/>
    <col width="10" customWidth="1" min="9" max="9"/>
    <col width="12" customWidth="1" min="10" max="10"/>
    <col width="9" customWidth="1" min="11" max="11"/>
    <col width="12" customWidth="1" min="12" max="12"/>
    <col width="9" customWidth="1" min="13" max="13"/>
  </cols>
  <sheetData>
    <row r="1" ht="26" customHeight="1">
      <c r="A1" s="7" t="inlineStr">
        <is>
          <t>Dashboard</t>
        </is>
      </c>
    </row>
    <row r="2">
      <c r="A2" s="2" t="inlineStr">
        <is>
          <t>Live totals. Nothing to type here.</t>
        </is>
      </c>
    </row>
    <row r="4">
      <c r="B4" s="36" t="inlineStr">
        <is>
          <t>People logged</t>
        </is>
      </c>
      <c r="D4" s="36" t="inlineStr">
        <is>
          <t>Form sign-ups</t>
        </is>
      </c>
      <c r="F4" s="36" t="inlineStr">
        <is>
          <t>Not yet on People</t>
        </is>
      </c>
      <c r="H4" s="36" t="inlineStr">
        <is>
          <t>Events held</t>
        </is>
      </c>
      <c r="J4" s="36" t="inlineStr">
        <is>
          <t>Follow-ups overdue</t>
        </is>
      </c>
      <c r="L4" s="36" t="inlineStr">
        <is>
          <t>Follow-ups open</t>
        </is>
      </c>
    </row>
    <row r="5" ht="38" customHeight="1">
      <c r="B5" s="37">
        <f>SUM(People!$Z$5:$Z$604)</f>
        <v/>
      </c>
      <c r="D5" s="37">
        <f>COUNT('New Sign-Ups'!$H$5:$H$1004)</f>
        <v/>
      </c>
      <c r="F5" s="37">
        <f>'New Sign-Ups'!$C$3</f>
        <v/>
      </c>
      <c r="H5" s="37">
        <f>COUNTIFS(EvDate,"&lt;="&amp;TODAY())</f>
        <v/>
      </c>
      <c r="J5" s="38">
        <f>'Follow-Ups'!$B$3</f>
        <v/>
      </c>
      <c r="L5" s="37">
        <f>'Follow-Ups'!$F$3</f>
        <v/>
      </c>
    </row>
    <row r="7">
      <c r="B7" s="34" t="inlineStr">
        <is>
          <t>By contact type</t>
        </is>
      </c>
      <c r="D7" s="34" t="inlineStr">
        <is>
          <t>By service level</t>
        </is>
      </c>
      <c r="F7" s="34" t="inlineStr">
        <is>
          <t>By stage</t>
        </is>
      </c>
      <c r="H7" s="34" t="inlineStr">
        <is>
          <t>By region</t>
        </is>
      </c>
    </row>
    <row r="8" ht="20" customHeight="1">
      <c r="B8" s="11" t="inlineStr">
        <is>
          <t>Contact Type</t>
        </is>
      </c>
      <c r="C8" s="11" t="inlineStr">
        <is>
          <t>People</t>
        </is>
      </c>
      <c r="D8" s="11" t="inlineStr">
        <is>
          <t>Service Level</t>
        </is>
      </c>
      <c r="E8" s="11" t="inlineStr">
        <is>
          <t>People</t>
        </is>
      </c>
      <c r="F8" s="11" t="inlineStr">
        <is>
          <t>Stage</t>
        </is>
      </c>
      <c r="G8" s="11" t="inlineStr">
        <is>
          <t>People</t>
        </is>
      </c>
      <c r="H8" s="11" t="inlineStr">
        <is>
          <t>Region</t>
        </is>
      </c>
      <c r="I8" s="11" t="inlineStr">
        <is>
          <t>People</t>
        </is>
      </c>
    </row>
    <row r="9">
      <c r="B9" s="39" t="inlineStr">
        <is>
          <t>Trade</t>
        </is>
      </c>
      <c r="C9" s="40">
        <f>COUNTIFS(People!$E$5:$E$604,"Trade",People!$Z$5:$Z$604,1)</f>
        <v/>
      </c>
      <c r="D9" s="39" t="inlineStr">
        <is>
          <t>Full-Service</t>
        </is>
      </c>
      <c r="E9" s="40">
        <f>COUNTIFS(People!$K$5:$K$604,"Full-Service",People!$Z$5:$Z$604,1)</f>
        <v/>
      </c>
      <c r="F9" s="39" t="inlineStr">
        <is>
          <t>New</t>
        </is>
      </c>
      <c r="G9" s="40">
        <f>COUNTIFS(People!$M$5:$M$604,"New",People!$Z$5:$Z$604,1)</f>
        <v/>
      </c>
      <c r="H9" s="39" t="inlineStr">
        <is>
          <t>Northeastern Ontario</t>
        </is>
      </c>
      <c r="I9" s="40">
        <f>COUNTIFS(People!$G$5:$G$604,"Northeastern Ontario",People!$Z$5:$Z$604,1)</f>
        <v/>
      </c>
    </row>
    <row r="10">
      <c r="B10" s="39" t="inlineStr">
        <is>
          <t>Employer &amp; Union</t>
        </is>
      </c>
      <c r="C10" s="40">
        <f>COUNTIFS(People!$E$5:$E$604,"Employer &amp; Union",People!$Z$5:$Z$604,1)</f>
        <v/>
      </c>
      <c r="D10" s="39" t="inlineStr">
        <is>
          <t>Light-Touch</t>
        </is>
      </c>
      <c r="E10" s="40">
        <f>COUNTIFS(People!$K$5:$K$604,"Light-Touch",People!$Z$5:$Z$604,1)</f>
        <v/>
      </c>
      <c r="F10" s="39" t="inlineStr">
        <is>
          <t>Contacted</t>
        </is>
      </c>
      <c r="G10" s="40">
        <f>COUNTIFS(People!$M$5:$M$604,"Contacted",People!$Z$5:$Z$604,1)</f>
        <v/>
      </c>
      <c r="H10" s="39" t="inlineStr">
        <is>
          <t>Northwestern Ontario</t>
        </is>
      </c>
      <c r="I10" s="40">
        <f>COUNTIFS(People!$G$5:$G$604,"Northwestern Ontario",People!$Z$5:$Z$604,1)</f>
        <v/>
      </c>
    </row>
    <row r="11">
      <c r="B11" s="39" t="inlineStr">
        <is>
          <t>College &amp; Agency</t>
        </is>
      </c>
      <c r="C11" s="40">
        <f>COUNTIFS(People!$E$5:$E$604,"College &amp; Agency",People!$Z$5:$Z$604,1)</f>
        <v/>
      </c>
      <c r="D11" s="39" t="inlineStr">
        <is>
          <t>Not decided</t>
        </is>
      </c>
      <c r="E11" s="40">
        <f>COUNTIFS(People!$K$5:$K$604,"Not decided",People!$Z$5:$Z$604,1)</f>
        <v/>
      </c>
      <c r="F11" s="39" t="inlineStr">
        <is>
          <t>Intake booked</t>
        </is>
      </c>
      <c r="G11" s="40">
        <f>COUNTIFS(People!$M$5:$M$604,"Intake booked",People!$Z$5:$Z$604,1)</f>
        <v/>
      </c>
      <c r="H11" s="39" t="inlineStr">
        <is>
          <t>Eastern Ontario</t>
        </is>
      </c>
      <c r="I11" s="40">
        <f>COUNTIFS(People!$G$5:$G$604,"Eastern Ontario",People!$Z$5:$Z$604,1)</f>
        <v/>
      </c>
    </row>
    <row r="12">
      <c r="B12" s="39" t="inlineStr">
        <is>
          <t>Other</t>
        </is>
      </c>
      <c r="C12" s="40">
        <f>COUNTIFS(People!$E$5:$E$604,"Other",People!$Z$5:$Z$604,1)</f>
        <v/>
      </c>
      <c r="F12" s="39" t="inlineStr">
        <is>
          <t>Active</t>
        </is>
      </c>
      <c r="G12" s="40">
        <f>COUNTIFS(People!$M$5:$M$604,"Active",People!$Z$5:$Z$604,1)</f>
        <v/>
      </c>
      <c r="H12" s="39" t="inlineStr">
        <is>
          <t>Central Ontario</t>
        </is>
      </c>
      <c r="I12" s="40">
        <f>COUNTIFS(People!$G$5:$G$604,"Central Ontario",People!$Z$5:$Z$604,1)</f>
        <v/>
      </c>
    </row>
    <row r="13">
      <c r="F13" s="39" t="inlineStr">
        <is>
          <t>Referred out</t>
        </is>
      </c>
      <c r="G13" s="40">
        <f>COUNTIFS(People!$M$5:$M$604,"Referred out",People!$Z$5:$Z$604,1)</f>
        <v/>
      </c>
      <c r="H13" s="39" t="inlineStr">
        <is>
          <t>Southwestern Ontario</t>
        </is>
      </c>
      <c r="I13" s="40">
        <f>COUNTIFS(People!$G$5:$G$604,"Southwestern Ontario",People!$Z$5:$Z$604,1)</f>
        <v/>
      </c>
    </row>
    <row r="14">
      <c r="F14" s="39" t="inlineStr">
        <is>
          <t>No response</t>
        </is>
      </c>
      <c r="G14" s="40">
        <f>COUNTIFS(People!$M$5:$M$604,"No response",People!$Z$5:$Z$604,1)</f>
        <v/>
      </c>
      <c r="H14" s="39" t="inlineStr">
        <is>
          <t>Greater Toronto Area</t>
        </is>
      </c>
      <c r="I14" s="40">
        <f>COUNTIFS(People!$G$5:$G$604,"Greater Toronto Area",People!$Z$5:$Z$604,1)</f>
        <v/>
      </c>
    </row>
    <row r="15">
      <c r="F15" s="39" t="inlineStr">
        <is>
          <t>Closed</t>
        </is>
      </c>
      <c r="G15" s="40">
        <f>COUNTIFS(People!$M$5:$M$604,"Closed",People!$Z$5:$Z$604,1)</f>
        <v/>
      </c>
      <c r="H15" s="39" t="inlineStr">
        <is>
          <t>Other / not sure</t>
        </is>
      </c>
      <c r="I15" s="40">
        <f>COUNTIFS(People!$G$5:$G$604,"Other / not sure",People!$Z$5:$Z$604,1)</f>
        <v/>
      </c>
    </row>
    <row r="18">
      <c r="B18" s="34" t="inlineStr">
        <is>
          <t>Progress against commitments</t>
        </is>
      </c>
    </row>
    <row r="19">
      <c r="B19" s="2" t="inlineStr">
        <is>
          <t>People-tab counts come from rows you've logged. Self-identification counts come straight from the form as totals — they are never copied onto anyone's row.</t>
        </is>
      </c>
    </row>
    <row r="20" ht="20" customHeight="1">
      <c r="B20" s="11" t="inlineStr">
        <is>
          <t>Commitment</t>
        </is>
      </c>
      <c r="C20" s="11" t="inlineStr">
        <is>
          <t>Target</t>
        </is>
      </c>
      <c r="D20" s="11" t="inlineStr">
        <is>
          <t>So far</t>
        </is>
      </c>
      <c r="E20" s="11" t="inlineStr">
        <is>
          <t>% of target</t>
        </is>
      </c>
      <c r="F20" s="11" t="inlineStr">
        <is>
          <t>Counted from</t>
        </is>
      </c>
      <c r="G20" s="41" t="n"/>
      <c r="H20" s="41" t="n"/>
      <c r="I20" s="42" t="n"/>
    </row>
    <row r="21">
      <c r="B21" s="39" t="inlineStr">
        <is>
          <t>KPI 1 — Total connections</t>
        </is>
      </c>
      <c r="C21" s="40">
        <f>IF(Setup!$C$32="","—",Setup!$C$32)</f>
        <v/>
      </c>
      <c r="D21" s="43">
        <f>SUM(People!$Z$5:$Z$604)</f>
        <v/>
      </c>
      <c r="E21" s="44">
        <f>IFERROR(D21/C21,"")</f>
        <v/>
      </c>
      <c r="F21" s="45" t="inlineStr">
        <is>
          <t>People logged</t>
        </is>
      </c>
      <c r="G21" s="41" t="n"/>
      <c r="H21" s="41" t="n"/>
      <c r="I21" s="42" t="n"/>
    </row>
    <row r="22">
      <c r="B22" s="39" t="inlineStr">
        <is>
          <t>KPI 2 — Underrepresented groups</t>
        </is>
      </c>
      <c r="C22" s="40">
        <f>IF(Setup!$C$33="","—",Setup!$C$33)</f>
        <v/>
      </c>
      <c r="D22" s="43">
        <f>IFERROR(COUNTIF(INDEX(FormData,0,f_SelfID),"?*")-COUNTIF(INDEX(FormData,0,f_SelfID),"Prefer not to say"),"—")</f>
        <v/>
      </c>
      <c r="E22" s="44">
        <f>IFERROR(D22/C22,"")</f>
        <v/>
      </c>
      <c r="F22" s="45" t="inlineStr">
        <is>
          <t>Form: self-ID answered (excl. prefer not to say)</t>
        </is>
      </c>
      <c r="G22" s="41" t="n"/>
      <c r="H22" s="41" t="n"/>
      <c r="I22" s="42" t="n"/>
    </row>
    <row r="23">
      <c r="B23" s="39" t="inlineStr">
        <is>
          <t>KPI 3 — Jobseekers</t>
        </is>
      </c>
      <c r="C23" s="40">
        <f>IF(Setup!$C$34="","—",Setup!$C$34)</f>
        <v/>
      </c>
      <c r="D23" s="43">
        <f>COUNTIFS(People!$H$5:$H$604,"Jobseeker",People!$Z$5:$Z$604,1)</f>
        <v/>
      </c>
      <c r="E23" s="44">
        <f>IFERROR(D23/C23,"")</f>
        <v/>
      </c>
      <c r="F23" s="45" t="inlineStr">
        <is>
          <t>People → Situation</t>
        </is>
      </c>
      <c r="G23" s="41" t="n"/>
      <c r="H23" s="41" t="n"/>
      <c r="I23" s="42" t="n"/>
    </row>
    <row r="24">
      <c r="B24" s="39" t="inlineStr">
        <is>
          <t>KPI 4 — Incumbent workers</t>
        </is>
      </c>
      <c r="C24" s="40">
        <f>IF(Setup!$C$35="","—",Setup!$C$35)</f>
        <v/>
      </c>
      <c r="D24" s="43">
        <f>COUNTIFS(People!$H$5:$H$604,"Incumbent worker",People!$Z$5:$Z$604,1)</f>
        <v/>
      </c>
      <c r="E24" s="44">
        <f>IFERROR(D24/C24,"")</f>
        <v/>
      </c>
      <c r="F24" s="45" t="inlineStr">
        <is>
          <t>People → Situation</t>
        </is>
      </c>
      <c r="G24" s="41" t="n"/>
      <c r="H24" s="41" t="n"/>
      <c r="I24" s="42" t="n"/>
    </row>
    <row r="25">
      <c r="B25" s="39" t="inlineStr">
        <is>
          <t>KPI 6 — Registered apprentices</t>
        </is>
      </c>
      <c r="C25" s="40">
        <f>IF(Setup!$C$36="","—",Setup!$C$36)</f>
        <v/>
      </c>
      <c r="D25" s="43">
        <f>COUNTIFS(People!$I$5:$I$604,"Yes",People!$Z$5:$Z$604,1)</f>
        <v/>
      </c>
      <c r="E25" s="44">
        <f>IFERROR(D25/C25,"")</f>
        <v/>
      </c>
      <c r="F25" s="45" t="inlineStr">
        <is>
          <t>People → Reg. Apprentice</t>
        </is>
      </c>
      <c r="G25" s="41" t="n"/>
      <c r="H25" s="41" t="n"/>
      <c r="I25" s="42" t="n"/>
    </row>
    <row r="26">
      <c r="B26" s="39" t="inlineStr">
        <is>
          <t>KPI 26 — Persons with a disability</t>
        </is>
      </c>
      <c r="C26" s="40">
        <f>IF(Setup!$C$37="","—",Setup!$C$37)</f>
        <v/>
      </c>
      <c r="D26" s="43">
        <f>IFERROR(COUNTIF(INDEX(FormData,0,f_SelfID),"*disabilit*"),"—")</f>
        <v/>
      </c>
      <c r="E26" s="44">
        <f>IFERROR(D26/C26,"")</f>
        <v/>
      </c>
      <c r="F26" s="45" t="inlineStr">
        <is>
          <t>Form: self-ID</t>
        </is>
      </c>
      <c r="G26" s="41" t="n"/>
      <c r="H26" s="41" t="n"/>
      <c r="I26" s="42" t="n"/>
    </row>
    <row r="27">
      <c r="B27" s="39" t="inlineStr">
        <is>
          <t>Full-Service participants</t>
        </is>
      </c>
      <c r="C27" s="40">
        <f>IF(Setup!$C$38="","—",Setup!$C$38)</f>
        <v/>
      </c>
      <c r="D27" s="43">
        <f>COUNTIFS(People!$K$5:$K$604,"Full-Service",People!$Z$5:$Z$604,1)</f>
        <v/>
      </c>
      <c r="E27" s="44">
        <f>IFERROR(D27/C27,"")</f>
        <v/>
      </c>
      <c r="F27" s="45" t="inlineStr">
        <is>
          <t>People → Service Level</t>
        </is>
      </c>
      <c r="G27" s="41" t="n"/>
      <c r="H27" s="41" t="n"/>
      <c r="I27" s="42" t="n"/>
    </row>
    <row r="28">
      <c r="B28" s="39" t="inlineStr">
        <is>
          <t>Light-Touch participants</t>
        </is>
      </c>
      <c r="C28" s="40">
        <f>IF(Setup!$C$39="","—",Setup!$C$39)</f>
        <v/>
      </c>
      <c r="D28" s="43">
        <f>COUNTIFS(People!$K$5:$K$604,"Light-Touch",People!$Z$5:$Z$604,1)</f>
        <v/>
      </c>
      <c r="E28" s="44">
        <f>IFERROR(D28/C28,"")</f>
        <v/>
      </c>
      <c r="F28" s="45" t="inlineStr">
        <is>
          <t>People → Service Level</t>
        </is>
      </c>
      <c r="G28" s="41" t="n"/>
      <c r="H28" s="41" t="n"/>
      <c r="I28" s="42" t="n"/>
    </row>
    <row r="31">
      <c r="B31" s="34" t="inlineStr">
        <is>
          <t>By event</t>
        </is>
      </c>
    </row>
    <row r="32" ht="30" customHeight="1">
      <c r="B32" s="11" t="inlineStr">
        <is>
          <t>Event</t>
        </is>
      </c>
      <c r="C32" s="11" t="inlineStr">
        <is>
          <t>Date</t>
        </is>
      </c>
      <c r="D32" s="11" t="inlineStr">
        <is>
          <t>Name</t>
        </is>
      </c>
      <c r="E32" s="11" t="inlineStr">
        <is>
          <t>Sign-ups</t>
        </is>
      </c>
      <c r="F32" s="11" t="inlineStr">
        <is>
          <t>Logged</t>
        </is>
      </c>
      <c r="G32" s="11" t="inlineStr">
        <is>
          <t>Not yet logged</t>
        </is>
      </c>
      <c r="H32" s="11" t="inlineStr">
        <is>
          <t>Follow-ups open</t>
        </is>
      </c>
    </row>
    <row r="33">
      <c r="B33" s="31">
        <f>IF(Events!$A5="","",Events!$A5)</f>
        <v/>
      </c>
      <c r="C33" s="46">
        <f>IF(Events!$A5="","",IF(Events!$B5="","",Events!$B5))</f>
        <v/>
      </c>
      <c r="D33" s="31">
        <f>IF(Events!$A5="","",Events!$C5&amp;"")</f>
        <v/>
      </c>
      <c r="E33" s="47">
        <f>IF(Events!$A5="","",Events!$I5)</f>
        <v/>
      </c>
      <c r="F33" s="47">
        <f>IF(Events!$A5="","",Events!$J5)</f>
        <v/>
      </c>
      <c r="G33" s="47">
        <f>IF(Events!$A5="","",Events!$K5)</f>
        <v/>
      </c>
      <c r="H33" s="47">
        <f>IF(Events!$A5="","",Events!$L5)</f>
        <v/>
      </c>
    </row>
    <row r="34">
      <c r="B34" s="31">
        <f>IF(Events!$A6="","",Events!$A6)</f>
        <v/>
      </c>
      <c r="C34" s="46">
        <f>IF(Events!$A6="","",IF(Events!$B6="","",Events!$B6))</f>
        <v/>
      </c>
      <c r="D34" s="31">
        <f>IF(Events!$A6="","",Events!$C6&amp;"")</f>
        <v/>
      </c>
      <c r="E34" s="47">
        <f>IF(Events!$A6="","",Events!$I6)</f>
        <v/>
      </c>
      <c r="F34" s="47">
        <f>IF(Events!$A6="","",Events!$J6)</f>
        <v/>
      </c>
      <c r="G34" s="47">
        <f>IF(Events!$A6="","",Events!$K6)</f>
        <v/>
      </c>
      <c r="H34" s="47">
        <f>IF(Events!$A6="","",Events!$L6)</f>
        <v/>
      </c>
    </row>
    <row r="35">
      <c r="B35" s="31">
        <f>IF(Events!$A7="","",Events!$A7)</f>
        <v/>
      </c>
      <c r="C35" s="46">
        <f>IF(Events!$A7="","",IF(Events!$B7="","",Events!$B7))</f>
        <v/>
      </c>
      <c r="D35" s="31">
        <f>IF(Events!$A7="","",Events!$C7&amp;"")</f>
        <v/>
      </c>
      <c r="E35" s="47">
        <f>IF(Events!$A7="","",Events!$I7)</f>
        <v/>
      </c>
      <c r="F35" s="47">
        <f>IF(Events!$A7="","",Events!$J7)</f>
        <v/>
      </c>
      <c r="G35" s="47">
        <f>IF(Events!$A7="","",Events!$K7)</f>
        <v/>
      </c>
      <c r="H35" s="47">
        <f>IF(Events!$A7="","",Events!$L7)</f>
        <v/>
      </c>
    </row>
    <row r="36">
      <c r="B36" s="31">
        <f>IF(Events!$A8="","",Events!$A8)</f>
        <v/>
      </c>
      <c r="C36" s="46">
        <f>IF(Events!$A8="","",IF(Events!$B8="","",Events!$B8))</f>
        <v/>
      </c>
      <c r="D36" s="31">
        <f>IF(Events!$A8="","",Events!$C8&amp;"")</f>
        <v/>
      </c>
      <c r="E36" s="47">
        <f>IF(Events!$A8="","",Events!$I8)</f>
        <v/>
      </c>
      <c r="F36" s="47">
        <f>IF(Events!$A8="","",Events!$J8)</f>
        <v/>
      </c>
      <c r="G36" s="47">
        <f>IF(Events!$A8="","",Events!$K8)</f>
        <v/>
      </c>
      <c r="H36" s="47">
        <f>IF(Events!$A8="","",Events!$L8)</f>
        <v/>
      </c>
    </row>
    <row r="37">
      <c r="B37" s="31">
        <f>IF(Events!$A9="","",Events!$A9)</f>
        <v/>
      </c>
      <c r="C37" s="46">
        <f>IF(Events!$A9="","",IF(Events!$B9="","",Events!$B9))</f>
        <v/>
      </c>
      <c r="D37" s="31">
        <f>IF(Events!$A9="","",Events!$C9&amp;"")</f>
        <v/>
      </c>
      <c r="E37" s="47">
        <f>IF(Events!$A9="","",Events!$I9)</f>
        <v/>
      </c>
      <c r="F37" s="47">
        <f>IF(Events!$A9="","",Events!$J9)</f>
        <v/>
      </c>
      <c r="G37" s="47">
        <f>IF(Events!$A9="","",Events!$K9)</f>
        <v/>
      </c>
      <c r="H37" s="47">
        <f>IF(Events!$A9="","",Events!$L9)</f>
        <v/>
      </c>
    </row>
    <row r="38">
      <c r="B38" s="31">
        <f>IF(Events!$A10="","",Events!$A10)</f>
        <v/>
      </c>
      <c r="C38" s="46">
        <f>IF(Events!$A10="","",IF(Events!$B10="","",Events!$B10))</f>
        <v/>
      </c>
      <c r="D38" s="31">
        <f>IF(Events!$A10="","",Events!$C10&amp;"")</f>
        <v/>
      </c>
      <c r="E38" s="47">
        <f>IF(Events!$A10="","",Events!$I10)</f>
        <v/>
      </c>
      <c r="F38" s="47">
        <f>IF(Events!$A10="","",Events!$J10)</f>
        <v/>
      </c>
      <c r="G38" s="47">
        <f>IF(Events!$A10="","",Events!$K10)</f>
        <v/>
      </c>
      <c r="H38" s="47">
        <f>IF(Events!$A10="","",Events!$L10)</f>
        <v/>
      </c>
    </row>
    <row r="39">
      <c r="B39" s="31">
        <f>IF(Events!$A11="","",Events!$A11)</f>
        <v/>
      </c>
      <c r="C39" s="46">
        <f>IF(Events!$A11="","",IF(Events!$B11="","",Events!$B11))</f>
        <v/>
      </c>
      <c r="D39" s="31">
        <f>IF(Events!$A11="","",Events!$C11&amp;"")</f>
        <v/>
      </c>
      <c r="E39" s="47">
        <f>IF(Events!$A11="","",Events!$I11)</f>
        <v/>
      </c>
      <c r="F39" s="47">
        <f>IF(Events!$A11="","",Events!$J11)</f>
        <v/>
      </c>
      <c r="G39" s="47">
        <f>IF(Events!$A11="","",Events!$K11)</f>
        <v/>
      </c>
      <c r="H39" s="47">
        <f>IF(Events!$A11="","",Events!$L11)</f>
        <v/>
      </c>
    </row>
    <row r="40">
      <c r="B40" s="31">
        <f>IF(Events!$A12="","",Events!$A12)</f>
        <v/>
      </c>
      <c r="C40" s="46">
        <f>IF(Events!$A12="","",IF(Events!$B12="","",Events!$B12))</f>
        <v/>
      </c>
      <c r="D40" s="31">
        <f>IF(Events!$A12="","",Events!$C12&amp;"")</f>
        <v/>
      </c>
      <c r="E40" s="47">
        <f>IF(Events!$A12="","",Events!$I12)</f>
        <v/>
      </c>
      <c r="F40" s="47">
        <f>IF(Events!$A12="","",Events!$J12)</f>
        <v/>
      </c>
      <c r="G40" s="47">
        <f>IF(Events!$A12="","",Events!$K12)</f>
        <v/>
      </c>
      <c r="H40" s="47">
        <f>IF(Events!$A12="","",Events!$L12)</f>
        <v/>
      </c>
    </row>
    <row r="41">
      <c r="B41" s="31">
        <f>IF(Events!$A13="","",Events!$A13)</f>
        <v/>
      </c>
      <c r="C41" s="46">
        <f>IF(Events!$A13="","",IF(Events!$B13="","",Events!$B13))</f>
        <v/>
      </c>
      <c r="D41" s="31">
        <f>IF(Events!$A13="","",Events!$C13&amp;"")</f>
        <v/>
      </c>
      <c r="E41" s="47">
        <f>IF(Events!$A13="","",Events!$I13)</f>
        <v/>
      </c>
      <c r="F41" s="47">
        <f>IF(Events!$A13="","",Events!$J13)</f>
        <v/>
      </c>
      <c r="G41" s="47">
        <f>IF(Events!$A13="","",Events!$K13)</f>
        <v/>
      </c>
      <c r="H41" s="47">
        <f>IF(Events!$A13="","",Events!$L13)</f>
        <v/>
      </c>
    </row>
    <row r="42">
      <c r="B42" s="31">
        <f>IF(Events!$A14="","",Events!$A14)</f>
        <v/>
      </c>
      <c r="C42" s="46">
        <f>IF(Events!$A14="","",IF(Events!$B14="","",Events!$B14))</f>
        <v/>
      </c>
      <c r="D42" s="31">
        <f>IF(Events!$A14="","",Events!$C14&amp;"")</f>
        <v/>
      </c>
      <c r="E42" s="47">
        <f>IF(Events!$A14="","",Events!$I14)</f>
        <v/>
      </c>
      <c r="F42" s="47">
        <f>IF(Events!$A14="","",Events!$J14)</f>
        <v/>
      </c>
      <c r="G42" s="47">
        <f>IF(Events!$A14="","",Events!$K14)</f>
        <v/>
      </c>
      <c r="H42" s="47">
        <f>IF(Events!$A14="","",Events!$L14)</f>
        <v/>
      </c>
    </row>
    <row r="43">
      <c r="B43" s="31">
        <f>IF(Events!$A15="","",Events!$A15)</f>
        <v/>
      </c>
      <c r="C43" s="46">
        <f>IF(Events!$A15="","",IF(Events!$B15="","",Events!$B15))</f>
        <v/>
      </c>
      <c r="D43" s="31">
        <f>IF(Events!$A15="","",Events!$C15&amp;"")</f>
        <v/>
      </c>
      <c r="E43" s="47">
        <f>IF(Events!$A15="","",Events!$I15)</f>
        <v/>
      </c>
      <c r="F43" s="47">
        <f>IF(Events!$A15="","",Events!$J15)</f>
        <v/>
      </c>
      <c r="G43" s="47">
        <f>IF(Events!$A15="","",Events!$K15)</f>
        <v/>
      </c>
      <c r="H43" s="47">
        <f>IF(Events!$A15="","",Events!$L15)</f>
        <v/>
      </c>
    </row>
    <row r="44">
      <c r="B44" s="31">
        <f>IF(Events!$A16="","",Events!$A16)</f>
        <v/>
      </c>
      <c r="C44" s="46">
        <f>IF(Events!$A16="","",IF(Events!$B16="","",Events!$B16))</f>
        <v/>
      </c>
      <c r="D44" s="31">
        <f>IF(Events!$A16="","",Events!$C16&amp;"")</f>
        <v/>
      </c>
      <c r="E44" s="47">
        <f>IF(Events!$A16="","",Events!$I16)</f>
        <v/>
      </c>
      <c r="F44" s="47">
        <f>IF(Events!$A16="","",Events!$J16)</f>
        <v/>
      </c>
      <c r="G44" s="47">
        <f>IF(Events!$A16="","",Events!$K16)</f>
        <v/>
      </c>
      <c r="H44" s="47">
        <f>IF(Events!$A16="","",Events!$L16)</f>
        <v/>
      </c>
    </row>
    <row r="45">
      <c r="B45" s="31">
        <f>IF(Events!$A17="","",Events!$A17)</f>
        <v/>
      </c>
      <c r="C45" s="46">
        <f>IF(Events!$A17="","",IF(Events!$B17="","",Events!$B17))</f>
        <v/>
      </c>
      <c r="D45" s="31">
        <f>IF(Events!$A17="","",Events!$C17&amp;"")</f>
        <v/>
      </c>
      <c r="E45" s="47">
        <f>IF(Events!$A17="","",Events!$I17)</f>
        <v/>
      </c>
      <c r="F45" s="47">
        <f>IF(Events!$A17="","",Events!$J17)</f>
        <v/>
      </c>
      <c r="G45" s="47">
        <f>IF(Events!$A17="","",Events!$K17)</f>
        <v/>
      </c>
      <c r="H45" s="47">
        <f>IF(Events!$A17="","",Events!$L17)</f>
        <v/>
      </c>
    </row>
    <row r="46">
      <c r="B46" s="31">
        <f>IF(Events!$A18="","",Events!$A18)</f>
        <v/>
      </c>
      <c r="C46" s="46">
        <f>IF(Events!$A18="","",IF(Events!$B18="","",Events!$B18))</f>
        <v/>
      </c>
      <c r="D46" s="31">
        <f>IF(Events!$A18="","",Events!$C18&amp;"")</f>
        <v/>
      </c>
      <c r="E46" s="47">
        <f>IF(Events!$A18="","",Events!$I18)</f>
        <v/>
      </c>
      <c r="F46" s="47">
        <f>IF(Events!$A18="","",Events!$J18)</f>
        <v/>
      </c>
      <c r="G46" s="47">
        <f>IF(Events!$A18="","",Events!$K18)</f>
        <v/>
      </c>
      <c r="H46" s="47">
        <f>IF(Events!$A18="","",Events!$L18)</f>
        <v/>
      </c>
    </row>
    <row r="47">
      <c r="B47" s="31">
        <f>IF(Events!$A19="","",Events!$A19)</f>
        <v/>
      </c>
      <c r="C47" s="46">
        <f>IF(Events!$A19="","",IF(Events!$B19="","",Events!$B19))</f>
        <v/>
      </c>
      <c r="D47" s="31">
        <f>IF(Events!$A19="","",Events!$C19&amp;"")</f>
        <v/>
      </c>
      <c r="E47" s="47">
        <f>IF(Events!$A19="","",Events!$I19)</f>
        <v/>
      </c>
      <c r="F47" s="47">
        <f>IF(Events!$A19="","",Events!$J19)</f>
        <v/>
      </c>
      <c r="G47" s="47">
        <f>IF(Events!$A19="","",Events!$K19)</f>
        <v/>
      </c>
      <c r="H47" s="47">
        <f>IF(Events!$A19="","",Events!$L19)</f>
        <v/>
      </c>
    </row>
    <row r="48">
      <c r="B48" s="31">
        <f>IF(Events!$A20="","",Events!$A20)</f>
        <v/>
      </c>
      <c r="C48" s="46">
        <f>IF(Events!$A20="","",IF(Events!$B20="","",Events!$B20))</f>
        <v/>
      </c>
      <c r="D48" s="31">
        <f>IF(Events!$A20="","",Events!$C20&amp;"")</f>
        <v/>
      </c>
      <c r="E48" s="47">
        <f>IF(Events!$A20="","",Events!$I20)</f>
        <v/>
      </c>
      <c r="F48" s="47">
        <f>IF(Events!$A20="","",Events!$J20)</f>
        <v/>
      </c>
      <c r="G48" s="47">
        <f>IF(Events!$A20="","",Events!$K20)</f>
        <v/>
      </c>
      <c r="H48" s="47">
        <f>IF(Events!$A20="","",Events!$L20)</f>
        <v/>
      </c>
    </row>
    <row r="49">
      <c r="B49" s="31">
        <f>IF(Events!$A21="","",Events!$A21)</f>
        <v/>
      </c>
      <c r="C49" s="46">
        <f>IF(Events!$A21="","",IF(Events!$B21="","",Events!$B21))</f>
        <v/>
      </c>
      <c r="D49" s="31">
        <f>IF(Events!$A21="","",Events!$C21&amp;"")</f>
        <v/>
      </c>
      <c r="E49" s="47">
        <f>IF(Events!$A21="","",Events!$I21)</f>
        <v/>
      </c>
      <c r="F49" s="47">
        <f>IF(Events!$A21="","",Events!$J21)</f>
        <v/>
      </c>
      <c r="G49" s="47">
        <f>IF(Events!$A21="","",Events!$K21)</f>
        <v/>
      </c>
      <c r="H49" s="47">
        <f>IF(Events!$A21="","",Events!$L21)</f>
        <v/>
      </c>
    </row>
    <row r="50">
      <c r="B50" s="31">
        <f>IF(Events!$A22="","",Events!$A22)</f>
        <v/>
      </c>
      <c r="C50" s="46">
        <f>IF(Events!$A22="","",IF(Events!$B22="","",Events!$B22))</f>
        <v/>
      </c>
      <c r="D50" s="31">
        <f>IF(Events!$A22="","",Events!$C22&amp;"")</f>
        <v/>
      </c>
      <c r="E50" s="47">
        <f>IF(Events!$A22="","",Events!$I22)</f>
        <v/>
      </c>
      <c r="F50" s="47">
        <f>IF(Events!$A22="","",Events!$J22)</f>
        <v/>
      </c>
      <c r="G50" s="47">
        <f>IF(Events!$A22="","",Events!$K22)</f>
        <v/>
      </c>
      <c r="H50" s="47">
        <f>IF(Events!$A22="","",Events!$L22)</f>
        <v/>
      </c>
    </row>
    <row r="51">
      <c r="B51" s="31">
        <f>IF(Events!$A23="","",Events!$A23)</f>
        <v/>
      </c>
      <c r="C51" s="46">
        <f>IF(Events!$A23="","",IF(Events!$B23="","",Events!$B23))</f>
        <v/>
      </c>
      <c r="D51" s="31">
        <f>IF(Events!$A23="","",Events!$C23&amp;"")</f>
        <v/>
      </c>
      <c r="E51" s="47">
        <f>IF(Events!$A23="","",Events!$I23)</f>
        <v/>
      </c>
      <c r="F51" s="47">
        <f>IF(Events!$A23="","",Events!$J23)</f>
        <v/>
      </c>
      <c r="G51" s="47">
        <f>IF(Events!$A23="","",Events!$K23)</f>
        <v/>
      </c>
      <c r="H51" s="47">
        <f>IF(Events!$A23="","",Events!$L23)</f>
        <v/>
      </c>
    </row>
    <row r="52">
      <c r="B52" s="31">
        <f>IF(Events!$A24="","",Events!$A24)</f>
        <v/>
      </c>
      <c r="C52" s="46">
        <f>IF(Events!$A24="","",IF(Events!$B24="","",Events!$B24))</f>
        <v/>
      </c>
      <c r="D52" s="31">
        <f>IF(Events!$A24="","",Events!$C24&amp;"")</f>
        <v/>
      </c>
      <c r="E52" s="47">
        <f>IF(Events!$A24="","",Events!$I24)</f>
        <v/>
      </c>
      <c r="F52" s="47">
        <f>IF(Events!$A24="","",Events!$J24)</f>
        <v/>
      </c>
      <c r="G52" s="47">
        <f>IF(Events!$A24="","",Events!$K24)</f>
        <v/>
      </c>
      <c r="H52" s="47">
        <f>IF(Events!$A24="","",Events!$L24)</f>
        <v/>
      </c>
    </row>
    <row r="53">
      <c r="B53" s="31">
        <f>IF(Events!$A25="","",Events!$A25)</f>
        <v/>
      </c>
      <c r="C53" s="46">
        <f>IF(Events!$A25="","",IF(Events!$B25="","",Events!$B25))</f>
        <v/>
      </c>
      <c r="D53" s="31">
        <f>IF(Events!$A25="","",Events!$C25&amp;"")</f>
        <v/>
      </c>
      <c r="E53" s="47">
        <f>IF(Events!$A25="","",Events!$I25)</f>
        <v/>
      </c>
      <c r="F53" s="47">
        <f>IF(Events!$A25="","",Events!$J25)</f>
        <v/>
      </c>
      <c r="G53" s="47">
        <f>IF(Events!$A25="","",Events!$K25)</f>
        <v/>
      </c>
      <c r="H53" s="47">
        <f>IF(Events!$A25="","",Events!$L25)</f>
        <v/>
      </c>
    </row>
    <row r="54">
      <c r="B54" s="31">
        <f>IF(Events!$A26="","",Events!$A26)</f>
        <v/>
      </c>
      <c r="C54" s="46">
        <f>IF(Events!$A26="","",IF(Events!$B26="","",Events!$B26))</f>
        <v/>
      </c>
      <c r="D54" s="31">
        <f>IF(Events!$A26="","",Events!$C26&amp;"")</f>
        <v/>
      </c>
      <c r="E54" s="47">
        <f>IF(Events!$A26="","",Events!$I26)</f>
        <v/>
      </c>
      <c r="F54" s="47">
        <f>IF(Events!$A26="","",Events!$J26)</f>
        <v/>
      </c>
      <c r="G54" s="47">
        <f>IF(Events!$A26="","",Events!$K26)</f>
        <v/>
      </c>
      <c r="H54" s="47">
        <f>IF(Events!$A26="","",Events!$L26)</f>
        <v/>
      </c>
    </row>
    <row r="55">
      <c r="B55" s="31">
        <f>IF(Events!$A27="","",Events!$A27)</f>
        <v/>
      </c>
      <c r="C55" s="46">
        <f>IF(Events!$A27="","",IF(Events!$B27="","",Events!$B27))</f>
        <v/>
      </c>
      <c r="D55" s="31">
        <f>IF(Events!$A27="","",Events!$C27&amp;"")</f>
        <v/>
      </c>
      <c r="E55" s="47">
        <f>IF(Events!$A27="","",Events!$I27)</f>
        <v/>
      </c>
      <c r="F55" s="47">
        <f>IF(Events!$A27="","",Events!$J27)</f>
        <v/>
      </c>
      <c r="G55" s="47">
        <f>IF(Events!$A27="","",Events!$K27)</f>
        <v/>
      </c>
      <c r="H55" s="47">
        <f>IF(Events!$A27="","",Events!$L27)</f>
        <v/>
      </c>
    </row>
    <row r="56">
      <c r="B56" s="31">
        <f>IF(Events!$A28="","",Events!$A28)</f>
        <v/>
      </c>
      <c r="C56" s="46">
        <f>IF(Events!$A28="","",IF(Events!$B28="","",Events!$B28))</f>
        <v/>
      </c>
      <c r="D56" s="31">
        <f>IF(Events!$A28="","",Events!$C28&amp;"")</f>
        <v/>
      </c>
      <c r="E56" s="47">
        <f>IF(Events!$A28="","",Events!$I28)</f>
        <v/>
      </c>
      <c r="F56" s="47">
        <f>IF(Events!$A28="","",Events!$J28)</f>
        <v/>
      </c>
      <c r="G56" s="47">
        <f>IF(Events!$A28="","",Events!$K28)</f>
        <v/>
      </c>
      <c r="H56" s="47">
        <f>IF(Events!$A28="","",Events!$L28)</f>
        <v/>
      </c>
    </row>
    <row r="57">
      <c r="B57" s="31">
        <f>IF(Events!$A29="","",Events!$A29)</f>
        <v/>
      </c>
      <c r="C57" s="46">
        <f>IF(Events!$A29="","",IF(Events!$B29="","",Events!$B29))</f>
        <v/>
      </c>
      <c r="D57" s="31">
        <f>IF(Events!$A29="","",Events!$C29&amp;"")</f>
        <v/>
      </c>
      <c r="E57" s="47">
        <f>IF(Events!$A29="","",Events!$I29)</f>
        <v/>
      </c>
      <c r="F57" s="47">
        <f>IF(Events!$A29="","",Events!$J29)</f>
        <v/>
      </c>
      <c r="G57" s="47">
        <f>IF(Events!$A29="","",Events!$K29)</f>
        <v/>
      </c>
      <c r="H57" s="47">
        <f>IF(Events!$A29="","",Events!$L29)</f>
        <v/>
      </c>
    </row>
    <row r="58">
      <c r="B58" s="31">
        <f>IF(Events!$A30="","",Events!$A30)</f>
        <v/>
      </c>
      <c r="C58" s="46">
        <f>IF(Events!$A30="","",IF(Events!$B30="","",Events!$B30))</f>
        <v/>
      </c>
      <c r="D58" s="31">
        <f>IF(Events!$A30="","",Events!$C30&amp;"")</f>
        <v/>
      </c>
      <c r="E58" s="47">
        <f>IF(Events!$A30="","",Events!$I30)</f>
        <v/>
      </c>
      <c r="F58" s="47">
        <f>IF(Events!$A30="","",Events!$J30)</f>
        <v/>
      </c>
      <c r="G58" s="47">
        <f>IF(Events!$A30="","",Events!$K30)</f>
        <v/>
      </c>
      <c r="H58" s="47">
        <f>IF(Events!$A30="","",Events!$L30)</f>
        <v/>
      </c>
    </row>
    <row r="59">
      <c r="B59" s="31">
        <f>IF(Events!$A31="","",Events!$A31)</f>
        <v/>
      </c>
      <c r="C59" s="46">
        <f>IF(Events!$A31="","",IF(Events!$B31="","",Events!$B31))</f>
        <v/>
      </c>
      <c r="D59" s="31">
        <f>IF(Events!$A31="","",Events!$C31&amp;"")</f>
        <v/>
      </c>
      <c r="E59" s="47">
        <f>IF(Events!$A31="","",Events!$I31)</f>
        <v/>
      </c>
      <c r="F59" s="47">
        <f>IF(Events!$A31="","",Events!$J31)</f>
        <v/>
      </c>
      <c r="G59" s="47">
        <f>IF(Events!$A31="","",Events!$K31)</f>
        <v/>
      </c>
      <c r="H59" s="47">
        <f>IF(Events!$A31="","",Events!$L31)</f>
        <v/>
      </c>
    </row>
    <row r="60">
      <c r="B60" s="31">
        <f>IF(Events!$A32="","",Events!$A32)</f>
        <v/>
      </c>
      <c r="C60" s="46">
        <f>IF(Events!$A32="","",IF(Events!$B32="","",Events!$B32))</f>
        <v/>
      </c>
      <c r="D60" s="31">
        <f>IF(Events!$A32="","",Events!$C32&amp;"")</f>
        <v/>
      </c>
      <c r="E60" s="47">
        <f>IF(Events!$A32="","",Events!$I32)</f>
        <v/>
      </c>
      <c r="F60" s="47">
        <f>IF(Events!$A32="","",Events!$J32)</f>
        <v/>
      </c>
      <c r="G60" s="47">
        <f>IF(Events!$A32="","",Events!$K32)</f>
        <v/>
      </c>
      <c r="H60" s="47">
        <f>IF(Events!$A32="","",Events!$L32)</f>
        <v/>
      </c>
    </row>
    <row r="61">
      <c r="B61" s="31">
        <f>IF(Events!$A33="","",Events!$A33)</f>
        <v/>
      </c>
      <c r="C61" s="46">
        <f>IF(Events!$A33="","",IF(Events!$B33="","",Events!$B33))</f>
        <v/>
      </c>
      <c r="D61" s="31">
        <f>IF(Events!$A33="","",Events!$C33&amp;"")</f>
        <v/>
      </c>
      <c r="E61" s="47">
        <f>IF(Events!$A33="","",Events!$I33)</f>
        <v/>
      </c>
      <c r="F61" s="47">
        <f>IF(Events!$A33="","",Events!$J33)</f>
        <v/>
      </c>
      <c r="G61" s="47">
        <f>IF(Events!$A33="","",Events!$K33)</f>
        <v/>
      </c>
      <c r="H61" s="47">
        <f>IF(Events!$A33="","",Events!$L33)</f>
        <v/>
      </c>
    </row>
    <row r="62">
      <c r="B62" s="31">
        <f>IF(Events!$A34="","",Events!$A34)</f>
        <v/>
      </c>
      <c r="C62" s="46">
        <f>IF(Events!$A34="","",IF(Events!$B34="","",Events!$B34))</f>
        <v/>
      </c>
      <c r="D62" s="31">
        <f>IF(Events!$A34="","",Events!$C34&amp;"")</f>
        <v/>
      </c>
      <c r="E62" s="47">
        <f>IF(Events!$A34="","",Events!$I34)</f>
        <v/>
      </c>
      <c r="F62" s="47">
        <f>IF(Events!$A34="","",Events!$J34)</f>
        <v/>
      </c>
      <c r="G62" s="47">
        <f>IF(Events!$A34="","",Events!$K34)</f>
        <v/>
      </c>
      <c r="H62" s="47">
        <f>IF(Events!$A34="","",Events!$L34)</f>
        <v/>
      </c>
    </row>
    <row r="63">
      <c r="B63" s="31">
        <f>IF(Events!$A35="","",Events!$A35)</f>
        <v/>
      </c>
      <c r="C63" s="46">
        <f>IF(Events!$A35="","",IF(Events!$B35="","",Events!$B35))</f>
        <v/>
      </c>
      <c r="D63" s="31">
        <f>IF(Events!$A35="","",Events!$C35&amp;"")</f>
        <v/>
      </c>
      <c r="E63" s="47">
        <f>IF(Events!$A35="","",Events!$I35)</f>
        <v/>
      </c>
      <c r="F63" s="47">
        <f>IF(Events!$A35="","",Events!$J35)</f>
        <v/>
      </c>
      <c r="G63" s="47">
        <f>IF(Events!$A35="","",Events!$K35)</f>
        <v/>
      </c>
      <c r="H63" s="47">
        <f>IF(Events!$A35="","",Events!$L35)</f>
        <v/>
      </c>
    </row>
    <row r="64">
      <c r="B64" s="31">
        <f>IF(Events!$A36="","",Events!$A36)</f>
        <v/>
      </c>
      <c r="C64" s="46">
        <f>IF(Events!$A36="","",IF(Events!$B36="","",Events!$B36))</f>
        <v/>
      </c>
      <c r="D64" s="31">
        <f>IF(Events!$A36="","",Events!$C36&amp;"")</f>
        <v/>
      </c>
      <c r="E64" s="47">
        <f>IF(Events!$A36="","",Events!$I36)</f>
        <v/>
      </c>
      <c r="F64" s="47">
        <f>IF(Events!$A36="","",Events!$J36)</f>
        <v/>
      </c>
      <c r="G64" s="47">
        <f>IF(Events!$A36="","",Events!$K36)</f>
        <v/>
      </c>
      <c r="H64" s="47">
        <f>IF(Events!$A36="","",Events!$L36)</f>
        <v/>
      </c>
    </row>
    <row r="65">
      <c r="B65" s="31">
        <f>IF(Events!$A37="","",Events!$A37)</f>
        <v/>
      </c>
      <c r="C65" s="46">
        <f>IF(Events!$A37="","",IF(Events!$B37="","",Events!$B37))</f>
        <v/>
      </c>
      <c r="D65" s="31">
        <f>IF(Events!$A37="","",Events!$C37&amp;"")</f>
        <v/>
      </c>
      <c r="E65" s="47">
        <f>IF(Events!$A37="","",Events!$I37)</f>
        <v/>
      </c>
      <c r="F65" s="47">
        <f>IF(Events!$A37="","",Events!$J37)</f>
        <v/>
      </c>
      <c r="G65" s="47">
        <f>IF(Events!$A37="","",Events!$K37)</f>
        <v/>
      </c>
      <c r="H65" s="47">
        <f>IF(Events!$A37="","",Events!$L37)</f>
        <v/>
      </c>
    </row>
    <row r="66">
      <c r="B66" s="31">
        <f>IF(Events!$A38="","",Events!$A38)</f>
        <v/>
      </c>
      <c r="C66" s="46">
        <f>IF(Events!$A38="","",IF(Events!$B38="","",Events!$B38))</f>
        <v/>
      </c>
      <c r="D66" s="31">
        <f>IF(Events!$A38="","",Events!$C38&amp;"")</f>
        <v/>
      </c>
      <c r="E66" s="47">
        <f>IF(Events!$A38="","",Events!$I38)</f>
        <v/>
      </c>
      <c r="F66" s="47">
        <f>IF(Events!$A38="","",Events!$J38)</f>
        <v/>
      </c>
      <c r="G66" s="47">
        <f>IF(Events!$A38="","",Events!$K38)</f>
        <v/>
      </c>
      <c r="H66" s="47">
        <f>IF(Events!$A38="","",Events!$L38)</f>
        <v/>
      </c>
    </row>
    <row r="67">
      <c r="B67" s="31">
        <f>IF(Events!$A39="","",Events!$A39)</f>
        <v/>
      </c>
      <c r="C67" s="46">
        <f>IF(Events!$A39="","",IF(Events!$B39="","",Events!$B39))</f>
        <v/>
      </c>
      <c r="D67" s="31">
        <f>IF(Events!$A39="","",Events!$C39&amp;"")</f>
        <v/>
      </c>
      <c r="E67" s="47">
        <f>IF(Events!$A39="","",Events!$I39)</f>
        <v/>
      </c>
      <c r="F67" s="47">
        <f>IF(Events!$A39="","",Events!$J39)</f>
        <v/>
      </c>
      <c r="G67" s="47">
        <f>IF(Events!$A39="","",Events!$K39)</f>
        <v/>
      </c>
      <c r="H67" s="47">
        <f>IF(Events!$A39="","",Events!$L39)</f>
        <v/>
      </c>
    </row>
    <row r="68">
      <c r="B68" s="31">
        <f>IF(Events!$A40="","",Events!$A40)</f>
        <v/>
      </c>
      <c r="C68" s="46">
        <f>IF(Events!$A40="","",IF(Events!$B40="","",Events!$B40))</f>
        <v/>
      </c>
      <c r="D68" s="31">
        <f>IF(Events!$A40="","",Events!$C40&amp;"")</f>
        <v/>
      </c>
      <c r="E68" s="47">
        <f>IF(Events!$A40="","",Events!$I40)</f>
        <v/>
      </c>
      <c r="F68" s="47">
        <f>IF(Events!$A40="","",Events!$J40)</f>
        <v/>
      </c>
      <c r="G68" s="47">
        <f>IF(Events!$A40="","",Events!$K40)</f>
        <v/>
      </c>
      <c r="H68" s="47">
        <f>IF(Events!$A40="","",Events!$L40)</f>
        <v/>
      </c>
    </row>
    <row r="69">
      <c r="B69" s="31">
        <f>IF(Events!$A41="","",Events!$A41)</f>
        <v/>
      </c>
      <c r="C69" s="46">
        <f>IF(Events!$A41="","",IF(Events!$B41="","",Events!$B41))</f>
        <v/>
      </c>
      <c r="D69" s="31">
        <f>IF(Events!$A41="","",Events!$C41&amp;"")</f>
        <v/>
      </c>
      <c r="E69" s="47">
        <f>IF(Events!$A41="","",Events!$I41)</f>
        <v/>
      </c>
      <c r="F69" s="47">
        <f>IF(Events!$A41="","",Events!$J41)</f>
        <v/>
      </c>
      <c r="G69" s="47">
        <f>IF(Events!$A41="","",Events!$K41)</f>
        <v/>
      </c>
      <c r="H69" s="47">
        <f>IF(Events!$A41="","",Events!$L41)</f>
        <v/>
      </c>
    </row>
    <row r="70">
      <c r="B70" s="31">
        <f>IF(Events!$A42="","",Events!$A42)</f>
        <v/>
      </c>
      <c r="C70" s="46">
        <f>IF(Events!$A42="","",IF(Events!$B42="","",Events!$B42))</f>
        <v/>
      </c>
      <c r="D70" s="31">
        <f>IF(Events!$A42="","",Events!$C42&amp;"")</f>
        <v/>
      </c>
      <c r="E70" s="47">
        <f>IF(Events!$A42="","",Events!$I42)</f>
        <v/>
      </c>
      <c r="F70" s="47">
        <f>IF(Events!$A42="","",Events!$J42)</f>
        <v/>
      </c>
      <c r="G70" s="47">
        <f>IF(Events!$A42="","",Events!$K42)</f>
        <v/>
      </c>
      <c r="H70" s="47">
        <f>IF(Events!$A42="","",Events!$L42)</f>
        <v/>
      </c>
    </row>
    <row r="71">
      <c r="B71" s="31">
        <f>IF(Events!$A43="","",Events!$A43)</f>
        <v/>
      </c>
      <c r="C71" s="46">
        <f>IF(Events!$A43="","",IF(Events!$B43="","",Events!$B43))</f>
        <v/>
      </c>
      <c r="D71" s="31">
        <f>IF(Events!$A43="","",Events!$C43&amp;"")</f>
        <v/>
      </c>
      <c r="E71" s="47">
        <f>IF(Events!$A43="","",Events!$I43)</f>
        <v/>
      </c>
      <c r="F71" s="47">
        <f>IF(Events!$A43="","",Events!$J43)</f>
        <v/>
      </c>
      <c r="G71" s="47">
        <f>IF(Events!$A43="","",Events!$K43)</f>
        <v/>
      </c>
      <c r="H71" s="47">
        <f>IF(Events!$A43="","",Events!$L43)</f>
        <v/>
      </c>
    </row>
    <row r="72">
      <c r="B72" s="31">
        <f>IF(Events!$A44="","",Events!$A44)</f>
        <v/>
      </c>
      <c r="C72" s="46">
        <f>IF(Events!$A44="","",IF(Events!$B44="","",Events!$B44))</f>
        <v/>
      </c>
      <c r="D72" s="31">
        <f>IF(Events!$A44="","",Events!$C44&amp;"")</f>
        <v/>
      </c>
      <c r="E72" s="47">
        <f>IF(Events!$A44="","",Events!$I44)</f>
        <v/>
      </c>
      <c r="F72" s="47">
        <f>IF(Events!$A44="","",Events!$J44)</f>
        <v/>
      </c>
      <c r="G72" s="47">
        <f>IF(Events!$A44="","",Events!$K44)</f>
        <v/>
      </c>
      <c r="H72" s="47">
        <f>IF(Events!$A44="","",Events!$L44)</f>
        <v/>
      </c>
    </row>
    <row r="73">
      <c r="B73" s="31">
        <f>IF(Events!$A45="","",Events!$A45)</f>
        <v/>
      </c>
      <c r="C73" s="46">
        <f>IF(Events!$A45="","",IF(Events!$B45="","",Events!$B45))</f>
        <v/>
      </c>
      <c r="D73" s="31">
        <f>IF(Events!$A45="","",Events!$C45&amp;"")</f>
        <v/>
      </c>
      <c r="E73" s="47">
        <f>IF(Events!$A45="","",Events!$I45)</f>
        <v/>
      </c>
      <c r="F73" s="47">
        <f>IF(Events!$A45="","",Events!$J45)</f>
        <v/>
      </c>
      <c r="G73" s="47">
        <f>IF(Events!$A45="","",Events!$K45)</f>
        <v/>
      </c>
      <c r="H73" s="47">
        <f>IF(Events!$A45="","",Events!$L45)</f>
        <v/>
      </c>
    </row>
    <row r="74">
      <c r="B74" s="31">
        <f>IF(Events!$A46="","",Events!$A46)</f>
        <v/>
      </c>
      <c r="C74" s="46">
        <f>IF(Events!$A46="","",IF(Events!$B46="","",Events!$B46))</f>
        <v/>
      </c>
      <c r="D74" s="31">
        <f>IF(Events!$A46="","",Events!$C46&amp;"")</f>
        <v/>
      </c>
      <c r="E74" s="47">
        <f>IF(Events!$A46="","",Events!$I46)</f>
        <v/>
      </c>
      <c r="F74" s="47">
        <f>IF(Events!$A46="","",Events!$J46)</f>
        <v/>
      </c>
      <c r="G74" s="47">
        <f>IF(Events!$A46="","",Events!$K46)</f>
        <v/>
      </c>
      <c r="H74" s="47">
        <f>IF(Events!$A46="","",Events!$L46)</f>
        <v/>
      </c>
    </row>
    <row r="75">
      <c r="B75" s="31">
        <f>IF(Events!$A47="","",Events!$A47)</f>
        <v/>
      </c>
      <c r="C75" s="46">
        <f>IF(Events!$A47="","",IF(Events!$B47="","",Events!$B47))</f>
        <v/>
      </c>
      <c r="D75" s="31">
        <f>IF(Events!$A47="","",Events!$C47&amp;"")</f>
        <v/>
      </c>
      <c r="E75" s="47">
        <f>IF(Events!$A47="","",Events!$I47)</f>
        <v/>
      </c>
      <c r="F75" s="47">
        <f>IF(Events!$A47="","",Events!$J47)</f>
        <v/>
      </c>
      <c r="G75" s="47">
        <f>IF(Events!$A47="","",Events!$K47)</f>
        <v/>
      </c>
      <c r="H75" s="47">
        <f>IF(Events!$A47="","",Events!$L47)</f>
        <v/>
      </c>
    </row>
    <row r="76">
      <c r="B76" s="31">
        <f>IF(Events!$A48="","",Events!$A48)</f>
        <v/>
      </c>
      <c r="C76" s="46">
        <f>IF(Events!$A48="","",IF(Events!$B48="","",Events!$B48))</f>
        <v/>
      </c>
      <c r="D76" s="31">
        <f>IF(Events!$A48="","",Events!$C48&amp;"")</f>
        <v/>
      </c>
      <c r="E76" s="47">
        <f>IF(Events!$A48="","",Events!$I48)</f>
        <v/>
      </c>
      <c r="F76" s="47">
        <f>IF(Events!$A48="","",Events!$J48)</f>
        <v/>
      </c>
      <c r="G76" s="47">
        <f>IF(Events!$A48="","",Events!$K48)</f>
        <v/>
      </c>
      <c r="H76" s="47">
        <f>IF(Events!$A48="","",Events!$L48)</f>
        <v/>
      </c>
    </row>
    <row r="77">
      <c r="B77" s="31">
        <f>IF(Events!$A49="","",Events!$A49)</f>
        <v/>
      </c>
      <c r="C77" s="46">
        <f>IF(Events!$A49="","",IF(Events!$B49="","",Events!$B49))</f>
        <v/>
      </c>
      <c r="D77" s="31">
        <f>IF(Events!$A49="","",Events!$C49&amp;"")</f>
        <v/>
      </c>
      <c r="E77" s="47">
        <f>IF(Events!$A49="","",Events!$I49)</f>
        <v/>
      </c>
      <c r="F77" s="47">
        <f>IF(Events!$A49="","",Events!$J49)</f>
        <v/>
      </c>
      <c r="G77" s="47">
        <f>IF(Events!$A49="","",Events!$K49)</f>
        <v/>
      </c>
      <c r="H77" s="47">
        <f>IF(Events!$A49="","",Events!$L49)</f>
        <v/>
      </c>
    </row>
    <row r="78">
      <c r="B78" s="31">
        <f>IF(Events!$A50="","",Events!$A50)</f>
        <v/>
      </c>
      <c r="C78" s="46">
        <f>IF(Events!$A50="","",IF(Events!$B50="","",Events!$B50))</f>
        <v/>
      </c>
      <c r="D78" s="31">
        <f>IF(Events!$A50="","",Events!$C50&amp;"")</f>
        <v/>
      </c>
      <c r="E78" s="47">
        <f>IF(Events!$A50="","",Events!$I50)</f>
        <v/>
      </c>
      <c r="F78" s="47">
        <f>IF(Events!$A50="","",Events!$J50)</f>
        <v/>
      </c>
      <c r="G78" s="47">
        <f>IF(Events!$A50="","",Events!$K50)</f>
        <v/>
      </c>
      <c r="H78" s="47">
        <f>IF(Events!$A50="","",Events!$L50)</f>
        <v/>
      </c>
    </row>
    <row r="79">
      <c r="B79" s="31">
        <f>IF(Events!$A51="","",Events!$A51)</f>
        <v/>
      </c>
      <c r="C79" s="46">
        <f>IF(Events!$A51="","",IF(Events!$B51="","",Events!$B51))</f>
        <v/>
      </c>
      <c r="D79" s="31">
        <f>IF(Events!$A51="","",Events!$C51&amp;"")</f>
        <v/>
      </c>
      <c r="E79" s="47">
        <f>IF(Events!$A51="","",Events!$I51)</f>
        <v/>
      </c>
      <c r="F79" s="47">
        <f>IF(Events!$A51="","",Events!$J51)</f>
        <v/>
      </c>
      <c r="G79" s="47">
        <f>IF(Events!$A51="","",Events!$K51)</f>
        <v/>
      </c>
      <c r="H79" s="47">
        <f>IF(Events!$A51="","",Events!$L51)</f>
        <v/>
      </c>
    </row>
    <row r="80">
      <c r="B80" s="31">
        <f>IF(Events!$A52="","",Events!$A52)</f>
        <v/>
      </c>
      <c r="C80" s="46">
        <f>IF(Events!$A52="","",IF(Events!$B52="","",Events!$B52))</f>
        <v/>
      </c>
      <c r="D80" s="31">
        <f>IF(Events!$A52="","",Events!$C52&amp;"")</f>
        <v/>
      </c>
      <c r="E80" s="47">
        <f>IF(Events!$A52="","",Events!$I52)</f>
        <v/>
      </c>
      <c r="F80" s="47">
        <f>IF(Events!$A52="","",Events!$J52)</f>
        <v/>
      </c>
      <c r="G80" s="47">
        <f>IF(Events!$A52="","",Events!$K52)</f>
        <v/>
      </c>
      <c r="H80" s="47">
        <f>IF(Events!$A52="","",Events!$L52)</f>
        <v/>
      </c>
    </row>
    <row r="81">
      <c r="B81" s="31">
        <f>IF(Events!$A53="","",Events!$A53)</f>
        <v/>
      </c>
      <c r="C81" s="46">
        <f>IF(Events!$A53="","",IF(Events!$B53="","",Events!$B53))</f>
        <v/>
      </c>
      <c r="D81" s="31">
        <f>IF(Events!$A53="","",Events!$C53&amp;"")</f>
        <v/>
      </c>
      <c r="E81" s="47">
        <f>IF(Events!$A53="","",Events!$I53)</f>
        <v/>
      </c>
      <c r="F81" s="47">
        <f>IF(Events!$A53="","",Events!$J53)</f>
        <v/>
      </c>
      <c r="G81" s="47">
        <f>IF(Events!$A53="","",Events!$K53)</f>
        <v/>
      </c>
      <c r="H81" s="47">
        <f>IF(Events!$A53="","",Events!$L53)</f>
        <v/>
      </c>
    </row>
    <row r="82">
      <c r="B82" s="31">
        <f>IF(Events!$A54="","",Events!$A54)</f>
        <v/>
      </c>
      <c r="C82" s="46">
        <f>IF(Events!$A54="","",IF(Events!$B54="","",Events!$B54))</f>
        <v/>
      </c>
      <c r="D82" s="31">
        <f>IF(Events!$A54="","",Events!$C54&amp;"")</f>
        <v/>
      </c>
      <c r="E82" s="47">
        <f>IF(Events!$A54="","",Events!$I54)</f>
        <v/>
      </c>
      <c r="F82" s="47">
        <f>IF(Events!$A54="","",Events!$J54)</f>
        <v/>
      </c>
      <c r="G82" s="47">
        <f>IF(Events!$A54="","",Events!$K54)</f>
        <v/>
      </c>
      <c r="H82" s="47">
        <f>IF(Events!$A54="","",Events!$L54)</f>
        <v/>
      </c>
    </row>
    <row r="83">
      <c r="B83" s="31">
        <f>IF(Events!$A55="","",Events!$A55)</f>
        <v/>
      </c>
      <c r="C83" s="46">
        <f>IF(Events!$A55="","",IF(Events!$B55="","",Events!$B55))</f>
        <v/>
      </c>
      <c r="D83" s="31">
        <f>IF(Events!$A55="","",Events!$C55&amp;"")</f>
        <v/>
      </c>
      <c r="E83" s="47">
        <f>IF(Events!$A55="","",Events!$I55)</f>
        <v/>
      </c>
      <c r="F83" s="47">
        <f>IF(Events!$A55="","",Events!$J55)</f>
        <v/>
      </c>
      <c r="G83" s="47">
        <f>IF(Events!$A55="","",Events!$K55)</f>
        <v/>
      </c>
      <c r="H83" s="47">
        <f>IF(Events!$A55="","",Events!$L55)</f>
        <v/>
      </c>
    </row>
    <row r="84">
      <c r="B84" s="31">
        <f>IF(Events!$A56="","",Events!$A56)</f>
        <v/>
      </c>
      <c r="C84" s="46">
        <f>IF(Events!$A56="","",IF(Events!$B56="","",Events!$B56))</f>
        <v/>
      </c>
      <c r="D84" s="31">
        <f>IF(Events!$A56="","",Events!$C56&amp;"")</f>
        <v/>
      </c>
      <c r="E84" s="47">
        <f>IF(Events!$A56="","",Events!$I56)</f>
        <v/>
      </c>
      <c r="F84" s="47">
        <f>IF(Events!$A56="","",Events!$J56)</f>
        <v/>
      </c>
      <c r="G84" s="47">
        <f>IF(Events!$A56="","",Events!$K56)</f>
        <v/>
      </c>
      <c r="H84" s="47">
        <f>IF(Events!$A56="","",Events!$L56)</f>
        <v/>
      </c>
    </row>
    <row r="85">
      <c r="B85" s="31">
        <f>IF(Events!$A57="","",Events!$A57)</f>
        <v/>
      </c>
      <c r="C85" s="46">
        <f>IF(Events!$A57="","",IF(Events!$B57="","",Events!$B57))</f>
        <v/>
      </c>
      <c r="D85" s="31">
        <f>IF(Events!$A57="","",Events!$C57&amp;"")</f>
        <v/>
      </c>
      <c r="E85" s="47">
        <f>IF(Events!$A57="","",Events!$I57)</f>
        <v/>
      </c>
      <c r="F85" s="47">
        <f>IF(Events!$A57="","",Events!$J57)</f>
        <v/>
      </c>
      <c r="G85" s="47">
        <f>IF(Events!$A57="","",Events!$K57)</f>
        <v/>
      </c>
      <c r="H85" s="47">
        <f>IF(Events!$A57="","",Events!$L57)</f>
        <v/>
      </c>
    </row>
    <row r="86">
      <c r="B86" s="31">
        <f>IF(Events!$A58="","",Events!$A58)</f>
        <v/>
      </c>
      <c r="C86" s="46">
        <f>IF(Events!$A58="","",IF(Events!$B58="","",Events!$B58))</f>
        <v/>
      </c>
      <c r="D86" s="31">
        <f>IF(Events!$A58="","",Events!$C58&amp;"")</f>
        <v/>
      </c>
      <c r="E86" s="47">
        <f>IF(Events!$A58="","",Events!$I58)</f>
        <v/>
      </c>
      <c r="F86" s="47">
        <f>IF(Events!$A58="","",Events!$J58)</f>
        <v/>
      </c>
      <c r="G86" s="47">
        <f>IF(Events!$A58="","",Events!$K58)</f>
        <v/>
      </c>
      <c r="H86" s="47">
        <f>IF(Events!$A58="","",Events!$L58)</f>
        <v/>
      </c>
    </row>
    <row r="87">
      <c r="B87" s="31">
        <f>IF(Events!$A59="","",Events!$A59)</f>
        <v/>
      </c>
      <c r="C87" s="46">
        <f>IF(Events!$A59="","",IF(Events!$B59="","",Events!$B59))</f>
        <v/>
      </c>
      <c r="D87" s="31">
        <f>IF(Events!$A59="","",Events!$C59&amp;"")</f>
        <v/>
      </c>
      <c r="E87" s="47">
        <f>IF(Events!$A59="","",Events!$I59)</f>
        <v/>
      </c>
      <c r="F87" s="47">
        <f>IF(Events!$A59="","",Events!$J59)</f>
        <v/>
      </c>
      <c r="G87" s="47">
        <f>IF(Events!$A59="","",Events!$K59)</f>
        <v/>
      </c>
      <c r="H87" s="47">
        <f>IF(Events!$A59="","",Events!$L59)</f>
        <v/>
      </c>
    </row>
    <row r="88">
      <c r="B88" s="31">
        <f>IF(Events!$A60="","",Events!$A60)</f>
        <v/>
      </c>
      <c r="C88" s="46">
        <f>IF(Events!$A60="","",IF(Events!$B60="","",Events!$B60))</f>
        <v/>
      </c>
      <c r="D88" s="31">
        <f>IF(Events!$A60="","",Events!$C60&amp;"")</f>
        <v/>
      </c>
      <c r="E88" s="47">
        <f>IF(Events!$A60="","",Events!$I60)</f>
        <v/>
      </c>
      <c r="F88" s="47">
        <f>IF(Events!$A60="","",Events!$J60)</f>
        <v/>
      </c>
      <c r="G88" s="47">
        <f>IF(Events!$A60="","",Events!$K60)</f>
        <v/>
      </c>
      <c r="H88" s="47">
        <f>IF(Events!$A60="","",Events!$L60)</f>
        <v/>
      </c>
    </row>
    <row r="89">
      <c r="B89" s="31">
        <f>IF(Events!$A61="","",Events!$A61)</f>
        <v/>
      </c>
      <c r="C89" s="46">
        <f>IF(Events!$A61="","",IF(Events!$B61="","",Events!$B61))</f>
        <v/>
      </c>
      <c r="D89" s="31">
        <f>IF(Events!$A61="","",Events!$C61&amp;"")</f>
        <v/>
      </c>
      <c r="E89" s="47">
        <f>IF(Events!$A61="","",Events!$I61)</f>
        <v/>
      </c>
      <c r="F89" s="47">
        <f>IF(Events!$A61="","",Events!$J61)</f>
        <v/>
      </c>
      <c r="G89" s="47">
        <f>IF(Events!$A61="","",Events!$K61)</f>
        <v/>
      </c>
      <c r="H89" s="47">
        <f>IF(Events!$A61="","",Events!$L61)</f>
        <v/>
      </c>
    </row>
    <row r="90">
      <c r="B90" s="31">
        <f>IF(Events!$A62="","",Events!$A62)</f>
        <v/>
      </c>
      <c r="C90" s="46">
        <f>IF(Events!$A62="","",IF(Events!$B62="","",Events!$B62))</f>
        <v/>
      </c>
      <c r="D90" s="31">
        <f>IF(Events!$A62="","",Events!$C62&amp;"")</f>
        <v/>
      </c>
      <c r="E90" s="47">
        <f>IF(Events!$A62="","",Events!$I62)</f>
        <v/>
      </c>
      <c r="F90" s="47">
        <f>IF(Events!$A62="","",Events!$J62)</f>
        <v/>
      </c>
      <c r="G90" s="47">
        <f>IF(Events!$A62="","",Events!$K62)</f>
        <v/>
      </c>
      <c r="H90" s="47">
        <f>IF(Events!$A62="","",Events!$L62)</f>
        <v/>
      </c>
    </row>
    <row r="91">
      <c r="B91" s="31">
        <f>IF(Events!$A63="","",Events!$A63)</f>
        <v/>
      </c>
      <c r="C91" s="46">
        <f>IF(Events!$A63="","",IF(Events!$B63="","",Events!$B63))</f>
        <v/>
      </c>
      <c r="D91" s="31">
        <f>IF(Events!$A63="","",Events!$C63&amp;"")</f>
        <v/>
      </c>
      <c r="E91" s="47">
        <f>IF(Events!$A63="","",Events!$I63)</f>
        <v/>
      </c>
      <c r="F91" s="47">
        <f>IF(Events!$A63="","",Events!$J63)</f>
        <v/>
      </c>
      <c r="G91" s="47">
        <f>IF(Events!$A63="","",Events!$K63)</f>
        <v/>
      </c>
      <c r="H91" s="47">
        <f>IF(Events!$A63="","",Events!$L63)</f>
        <v/>
      </c>
    </row>
    <row r="92">
      <c r="B92" s="31">
        <f>IF(Events!$A64="","",Events!$A64)</f>
        <v/>
      </c>
      <c r="C92" s="46">
        <f>IF(Events!$A64="","",IF(Events!$B64="","",Events!$B64))</f>
        <v/>
      </c>
      <c r="D92" s="31">
        <f>IF(Events!$A64="","",Events!$C64&amp;"")</f>
        <v/>
      </c>
      <c r="E92" s="47">
        <f>IF(Events!$A64="","",Events!$I64)</f>
        <v/>
      </c>
      <c r="F92" s="47">
        <f>IF(Events!$A64="","",Events!$J64)</f>
        <v/>
      </c>
      <c r="G92" s="47">
        <f>IF(Events!$A64="","",Events!$K64)</f>
        <v/>
      </c>
      <c r="H92" s="47">
        <f>IF(Events!$A64="","",Events!$L64)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F4:G4"/>
    <mergeCell ref="F27:I27"/>
    <mergeCell ref="J5:K5"/>
    <mergeCell ref="H4:I4"/>
    <mergeCell ref="F5:G5"/>
    <mergeCell ref="L5:M5"/>
    <mergeCell ref="F25:I25"/>
    <mergeCell ref="J4:K4"/>
    <mergeCell ref="F28:I28"/>
    <mergeCell ref="L4:M4"/>
    <mergeCell ref="F24:I24"/>
    <mergeCell ref="F21:I21"/>
    <mergeCell ref="D4:E4"/>
    <mergeCell ref="F20:I20"/>
    <mergeCell ref="F26:I26"/>
    <mergeCell ref="B5:C5"/>
    <mergeCell ref="D5:E5"/>
    <mergeCell ref="H5:I5"/>
    <mergeCell ref="F23:I23"/>
    <mergeCell ref="B4:C4"/>
    <mergeCell ref="F22:I22"/>
  </mergeCells>
  <conditionalFormatting sqref="E21:E28">
    <cfRule type="dataBar" priority="1">
      <dataBar>
        <cfvo type="num" val="0"/>
        <cfvo type="num" val="1"/>
        <color rgb="005B9BD5"/>
      </dataBar>
    </cfRule>
  </conditionalFormatting>
  <conditionalFormatting sqref="E33:E92">
    <cfRule type="dataBar" priority="2">
      <dataBar>
        <cfvo type="num" val="0"/>
        <cfvo type="max"/>
        <color rgb="005B9BD5"/>
      </dataBar>
    </cfRule>
  </conditionalFormatting>
  <conditionalFormatting sqref="F33:F92">
    <cfRule type="dataBar" priority="3">
      <dataBar>
        <cfvo type="num" val="0"/>
        <cfvo type="max"/>
        <color rgb="0070AD47"/>
      </dataBar>
    </cfRule>
  </conditionalFormatting>
  <conditionalFormatting sqref="G33:G92">
    <cfRule type="expression" priority="4" dxfId="12">
      <formula>N($G33)&gt;0</formula>
    </cfRule>
  </conditionalFormatting>
  <conditionalFormatting sqref="B33:H92">
    <cfRule type="expression" priority="5" dxfId="14">
      <formula>$B33&lt;&gt;""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4" customWidth="1" min="3" max="3"/>
    <col hidden="1" width="13" customWidth="1" min="6" max="6"/>
    <col hidden="1" width="13" customWidth="1" min="7" max="7"/>
  </cols>
  <sheetData>
    <row r="1" ht="26" customHeight="1">
      <c r="A1" s="7" t="inlineStr">
        <is>
          <t>Contact Card</t>
        </is>
      </c>
    </row>
    <row r="2">
      <c r="A2" s="2" t="inlineStr">
        <is>
          <t>The one place a person's name, email and phone appear. Type a Participant #, make the call, then clear the box.</t>
        </is>
      </c>
    </row>
    <row r="3">
      <c r="A3" s="48" t="inlineStr">
        <is>
          <t>🔒  Private — don't screen-share this tab or print it.</t>
        </is>
      </c>
    </row>
    <row r="5">
      <c r="B5" s="49" t="inlineStr">
        <is>
          <t>Participant # ▸</t>
        </is>
      </c>
      <c r="C5" s="50" t="n"/>
      <c r="D5" s="51">
        <f>IF(C5="","  e.g. P-0012",IF(F5="","  ✗ no such Participant #",IF(G5="","  ⚠ no form response linked — check People → Form Response ID","")))</f>
        <v/>
      </c>
      <c r="F5">
        <f>IF(C5="","",IFERROR(MATCH(UPPER(TRIM(C5)),People!$A$5:$A$604,0)+4,""))</f>
        <v/>
      </c>
      <c r="G5">
        <f>IF(F5="","",INDEX(People!$W:$W,F5))</f>
        <v/>
      </c>
    </row>
    <row r="7">
      <c r="B7" s="21" t="inlineStr">
        <is>
          <t>Initials</t>
        </is>
      </c>
      <c r="C7" s="52">
        <f>IF($F$5="","",INDEX(People!$D:$D,$F$5)&amp;"")</f>
        <v/>
      </c>
    </row>
    <row r="8">
      <c r="B8" s="21" t="inlineStr">
        <is>
          <t>Event</t>
        </is>
      </c>
      <c r="C8" s="52">
        <f>IF($F$5="","",INDEX(People!$B:$B,$F$5)&amp;"")</f>
        <v/>
      </c>
    </row>
    <row r="9">
      <c r="B9" s="21" t="inlineStr">
        <is>
          <t>Consent to contact</t>
        </is>
      </c>
      <c r="C9" s="52">
        <f>IF($F$5="","",IF(INDEX(People!$T:$T,$F$5)="No","⚠ NO — do not contact",INDEX(People!$T:$T,$F$5)&amp;""))</f>
        <v/>
      </c>
    </row>
    <row r="10">
      <c r="B10" s="21" t="inlineStr">
        <is>
          <t>Follow-up</t>
        </is>
      </c>
      <c r="C10" s="52">
        <f>IF($F$5="","",INDEX(People!$S:$S,$F$5)&amp;IF(INDEX(People!$Q:$Q,$F$5)&lt;&gt;"","  ("&amp;TEXT(INDEX(People!$Q:$Q,$F$5),"yyyy-mm-dd")&amp;")",""))</f>
        <v/>
      </c>
    </row>
    <row r="12">
      <c r="B12" s="21" t="inlineStr">
        <is>
          <t>Full name</t>
        </is>
      </c>
      <c r="C12" s="52">
        <f>IF($G$5="","",IFERROR(INDEX(FormData,$G$5,f_Name)&amp;"",""))</f>
        <v/>
      </c>
    </row>
    <row r="13">
      <c r="B13" s="21" t="inlineStr">
        <is>
          <t>Email</t>
        </is>
      </c>
      <c r="C13" s="52">
        <f>IF($G$5="","",IFERROR(INDEX(FormData,$G$5,f_Email)&amp;"",""))</f>
        <v/>
      </c>
    </row>
    <row r="14">
      <c r="B14" s="21" t="inlineStr">
        <is>
          <t>Phone</t>
        </is>
      </c>
      <c r="C14" s="52">
        <f>IF($G$5="","",IFERROR(INDEX(FormData,$G$5,f_Phone)&amp;"",""))</f>
        <v/>
      </c>
    </row>
    <row r="15">
      <c r="B15" s="21" t="inlineStr">
        <is>
          <t>City</t>
        </is>
      </c>
      <c r="C15" s="52">
        <f>IF($G$5="","",IFERROR(INDEX(FormData,$G$5,f_City)&amp;"",""))</f>
        <v/>
      </c>
    </row>
    <row r="16">
      <c r="B16" s="21" t="inlineStr">
        <is>
          <t>Organization</t>
        </is>
      </c>
      <c r="C16" s="52">
        <f>IF($F$5="","",INDEX(People!$F:$F,$F$5)&amp;"")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C9">
    <cfRule type="expression" priority="1" dxfId="6">
      <formula>LEFT($C$9,1)="⚠"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/>
  </sheetPr>
  <dimension ref="A1:F6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10" customWidth="1" min="4" max="4"/>
    <col width="46" customWidth="1" min="5" max="5"/>
    <col width="44" customWidth="1" min="6" max="6"/>
  </cols>
  <sheetData>
    <row r="1" ht="26" customHeight="1">
      <c r="A1" s="7" t="inlineStr">
        <is>
          <t>Setup</t>
        </is>
      </c>
    </row>
    <row r="2">
      <c r="A2" s="2" t="inlineStr">
        <is>
          <t>Tells the tracker where to find each answer in the form's response sheet (Sheet1). Only the yellow cells are yours to change.</t>
        </is>
      </c>
    </row>
    <row r="3" ht="30" customHeight="1">
      <c r="A3" s="53" t="inlineStr">
        <is>
          <t>Each yellow cell holds a piece of the form's column heading. The tracker looks for an exact match first, then for any heading that contains it. Check column E shows the heading you meant. Blank = not used.</t>
        </is>
      </c>
    </row>
    <row r="5" ht="32" customHeight="1">
      <c r="A5" s="9" t="inlineStr">
        <is>
          <t>Key</t>
        </is>
      </c>
      <c r="B5" s="11" t="inlineStr">
        <is>
          <t>What it is</t>
        </is>
      </c>
      <c r="C5" s="11" t="inlineStr">
        <is>
          <t>Heading text to look for</t>
        </is>
      </c>
      <c r="D5" s="9" t="inlineStr">
        <is>
          <t>Column #</t>
        </is>
      </c>
      <c r="E5" s="9" t="inlineStr">
        <is>
          <t>Heading found</t>
        </is>
      </c>
      <c r="F5" s="9" t="inlineStr">
        <is>
          <t>Used for</t>
        </is>
      </c>
    </row>
    <row r="6">
      <c r="A6" s="17" t="inlineStr">
        <is>
          <t>Id</t>
        </is>
      </c>
      <c r="B6" s="17" t="inlineStr">
        <is>
          <t>Response ID</t>
        </is>
      </c>
      <c r="C6" s="54" t="inlineStr">
        <is>
          <t>Id</t>
        </is>
      </c>
      <c r="D6" s="17">
        <f>IF(C6="","",IFERROR(MATCH(C6,FormHdr,0),IFERROR(MATCH("*"&amp;C6&amp;"*",FormHdr,0),"")))</f>
        <v/>
      </c>
      <c r="E6" s="17">
        <f>IF(C6="","— not used",IF(D6="","✗ not found in Sheet1 — check the wording",INDEX(FormHdr,D6)))</f>
        <v/>
      </c>
      <c r="F6" s="17" t="inlineStr">
        <is>
          <t>The number you type into People → Form Response ID</t>
        </is>
      </c>
    </row>
    <row r="7">
      <c r="A7" s="17" t="inlineStr">
        <is>
          <t>Time</t>
        </is>
      </c>
      <c r="B7" s="17" t="inlineStr">
        <is>
          <t>Submitted (completion time)</t>
        </is>
      </c>
      <c r="C7" s="54" t="inlineStr">
        <is>
          <t>Completion time</t>
        </is>
      </c>
      <c r="D7" s="17">
        <f>IF(C7="","",IFERROR(MATCH(C7,FormHdr,0),IFERROR(MATCH("*"&amp;C7&amp;"*",FormHdr,0),"")))</f>
        <v/>
      </c>
      <c r="E7" s="17">
        <f>IF(C7="","— not used",IF(D7="","✗ not found in Sheet1 — check the wording",INDEX(FormHdr,D7)))</f>
        <v/>
      </c>
      <c r="F7" s="17" t="inlineStr">
        <is>
          <t>Registered On, and the event the response belongs to</t>
        </is>
      </c>
    </row>
    <row r="8">
      <c r="A8" s="17" t="inlineStr">
        <is>
          <t>Name</t>
        </is>
      </c>
      <c r="B8" s="17" t="inlineStr">
        <is>
          <t>Full name</t>
        </is>
      </c>
      <c r="C8" s="54" t="inlineStr">
        <is>
          <t>Full name</t>
        </is>
      </c>
      <c r="D8" s="17">
        <f>IF(C8="","",IFERROR(MATCH(C8,FormHdr,0),IFERROR(MATCH("*"&amp;C8&amp;"*",FormHdr,0),"")))</f>
        <v/>
      </c>
      <c r="E8" s="17">
        <f>IF(C8="","— not used",IF(D8="","✗ not found in Sheet1 — check the wording",INDEX(FormHdr,D8)))</f>
        <v/>
      </c>
      <c r="F8" s="17" t="inlineStr">
        <is>
          <t>Initials only. The full name is shown on Contact Card, nowhere else</t>
        </is>
      </c>
    </row>
    <row r="9">
      <c r="A9" s="17" t="inlineStr">
        <is>
          <t>Email</t>
        </is>
      </c>
      <c r="B9" s="17" t="inlineStr">
        <is>
          <t>Email address</t>
        </is>
      </c>
      <c r="C9" s="54" t="inlineStr">
        <is>
          <t>Email address</t>
        </is>
      </c>
      <c r="D9" s="17">
        <f>IF(C9="","",IFERROR(MATCH(C9,FormHdr,0),IFERROR(MATCH("*"&amp;C9&amp;"*",FormHdr,0),"")))</f>
        <v/>
      </c>
      <c r="E9" s="17">
        <f>IF(C9="","— not used",IF(D9="","✗ not found in Sheet1 — check the wording",INDEX(FormHdr,D9)))</f>
        <v/>
      </c>
      <c r="F9" s="17" t="inlineStr">
        <is>
          <t>Contact Card only</t>
        </is>
      </c>
    </row>
    <row r="10">
      <c r="A10" s="17" t="inlineStr">
        <is>
          <t>Phone</t>
        </is>
      </c>
      <c r="B10" s="17" t="inlineStr">
        <is>
          <t>Phone number</t>
        </is>
      </c>
      <c r="C10" s="54" t="inlineStr">
        <is>
          <t>Phone</t>
        </is>
      </c>
      <c r="D10" s="17">
        <f>IF(C10="","",IFERROR(MATCH(C10,FormHdr,0),IFERROR(MATCH("*"&amp;C10&amp;"*",FormHdr,0),"")))</f>
        <v/>
      </c>
      <c r="E10" s="17">
        <f>IF(C10="","— not used",IF(D10="","✗ not found in Sheet1 — check the wording",INDEX(FormHdr,D10)))</f>
        <v/>
      </c>
      <c r="F10" s="17" t="inlineStr">
        <is>
          <t>Contact Card only</t>
        </is>
      </c>
    </row>
    <row r="11">
      <c r="A11" s="17" t="inlineStr">
        <is>
          <t>City</t>
        </is>
      </c>
      <c r="B11" s="17" t="inlineStr">
        <is>
          <t>City or town</t>
        </is>
      </c>
      <c r="C11" s="54" t="inlineStr">
        <is>
          <t>City</t>
        </is>
      </c>
      <c r="D11" s="17">
        <f>IF(C11="","",IFERROR(MATCH(C11,FormHdr,0),IFERROR(MATCH("*"&amp;C11&amp;"*",FormHdr,0),"")))</f>
        <v/>
      </c>
      <c r="E11" s="17">
        <f>IF(C11="","— not used",IF(D11="","✗ not found in Sheet1 — check the wording",INDEX(FormHdr,D11)))</f>
        <v/>
      </c>
      <c r="F11" s="17" t="inlineStr">
        <is>
          <t>Contact Card only</t>
        </is>
      </c>
    </row>
    <row r="12">
      <c r="A12" s="17" t="inlineStr">
        <is>
          <t>Who</t>
        </is>
      </c>
      <c r="B12" s="17" t="inlineStr">
        <is>
          <t>Who are you (branch question)</t>
        </is>
      </c>
      <c r="C12" s="54" t="inlineStr">
        <is>
          <t>Who are you</t>
        </is>
      </c>
      <c r="D12" s="17">
        <f>IF(C12="","",IFERROR(MATCH(C12,FormHdr,0),IFERROR(MATCH("*"&amp;C12&amp;"*",FormHdr,0),"")))</f>
        <v/>
      </c>
      <c r="E12" s="17">
        <f>IF(C12="","— not used",IF(D12="","✗ not found in Sheet1 — check the wording",INDEX(FormHdr,D12)))</f>
        <v/>
      </c>
      <c r="F12" s="17" t="inlineStr">
        <is>
          <t>Suggests Contact Type, using the keyword table below</t>
        </is>
      </c>
    </row>
    <row r="13">
      <c r="A13" s="17" t="inlineStr">
        <is>
          <t>Org1</t>
        </is>
      </c>
      <c r="B13" s="17" t="inlineStr">
        <is>
          <t>Company name</t>
        </is>
      </c>
      <c r="C13" s="54" t="inlineStr">
        <is>
          <t>Company</t>
        </is>
      </c>
      <c r="D13" s="17">
        <f>IF(C13="","",IFERROR(MATCH(C13,FormHdr,0),IFERROR(MATCH("*"&amp;C13&amp;"*",FormHdr,0),"")))</f>
        <v/>
      </c>
      <c r="E13" s="17">
        <f>IF(C13="","— not used",IF(D13="","✗ not found in Sheet1 — check the wording",INDEX(FormHdr,D13)))</f>
        <v/>
      </c>
      <c r="F13" s="17" t="inlineStr">
        <is>
          <t>Organization (employers)</t>
        </is>
      </c>
    </row>
    <row r="14">
      <c r="A14" s="17" t="inlineStr">
        <is>
          <t>Org2</t>
        </is>
      </c>
      <c r="B14" s="17" t="inlineStr">
        <is>
          <t>Organization name</t>
        </is>
      </c>
      <c r="C14" s="54" t="inlineStr">
        <is>
          <t>Organization name</t>
        </is>
      </c>
      <c r="D14" s="17">
        <f>IF(C14="","",IFERROR(MATCH(C14,FormHdr,0),IFERROR(MATCH("*"&amp;C14&amp;"*",FormHdr,0),"")))</f>
        <v/>
      </c>
      <c r="E14" s="17">
        <f>IF(C14="","— not used",IF(D14="","✗ not found in Sheet1 — check the wording",INDEX(FormHdr,D14)))</f>
        <v/>
      </c>
      <c r="F14" s="17" t="inlineStr">
        <is>
          <t>Organization (colleges, agencies, partners)</t>
        </is>
      </c>
    </row>
    <row r="15">
      <c r="A15" s="17" t="inlineStr">
        <is>
          <t>Region</t>
        </is>
      </c>
      <c r="B15" s="17" t="inlineStr">
        <is>
          <t>Region</t>
        </is>
      </c>
      <c r="C15" s="54" t="inlineStr">
        <is>
          <t>region</t>
        </is>
      </c>
      <c r="D15" s="17">
        <f>IF(C15="","",IFERROR(MATCH(C15,FormHdr,0),IFERROR(MATCH("*"&amp;C15&amp;"*",FormHdr,0),"")))</f>
        <v/>
      </c>
      <c r="E15" s="17">
        <f>IF(C15="","— not used",IF(D15="","✗ not found in Sheet1 — check the wording",INDEX(FormHdr,D15)))</f>
        <v/>
      </c>
      <c r="F15" s="17" t="inlineStr">
        <is>
          <t>Region</t>
        </is>
      </c>
    </row>
    <row r="16">
      <c r="A16" s="17" t="inlineStr">
        <is>
          <t>Sit</t>
        </is>
      </c>
      <c r="B16" s="17" t="inlineStr">
        <is>
          <t>Which best describes you</t>
        </is>
      </c>
      <c r="C16" s="54" t="inlineStr">
        <is>
          <t>describes you</t>
        </is>
      </c>
      <c r="D16" s="17">
        <f>IF(C16="","",IFERROR(MATCH(C16,FormHdr,0),IFERROR(MATCH("*"&amp;C16&amp;"*",FormHdr,0),"")))</f>
        <v/>
      </c>
      <c r="E16" s="17">
        <f>IF(C16="","— not used",IF(D16="","✗ not found in Sheet1 — check the wording",INDEX(FormHdr,D16)))</f>
        <v/>
      </c>
      <c r="F16" s="17" t="inlineStr">
        <is>
          <t>Situation, using the keyword table below</t>
        </is>
      </c>
    </row>
    <row r="17">
      <c r="A17" s="17" t="inlineStr">
        <is>
          <t>Appr</t>
        </is>
      </c>
      <c r="B17" s="17" t="inlineStr">
        <is>
          <t>Registered apprentice?</t>
        </is>
      </c>
      <c r="C17" s="54" t="inlineStr">
        <is>
          <t>registered apprentice</t>
        </is>
      </c>
      <c r="D17" s="17">
        <f>IF(C17="","",IFERROR(MATCH(C17,FormHdr,0),IFERROR(MATCH("*"&amp;C17&amp;"*",FormHdr,0),"")))</f>
        <v/>
      </c>
      <c r="E17" s="17">
        <f>IF(C17="","— not used",IF(D17="","✗ not found in Sheet1 — check the wording",INDEX(FormHdr,D17)))</f>
        <v/>
      </c>
      <c r="F17" s="17" t="inlineStr">
        <is>
          <t>Registered Apprentice</t>
        </is>
      </c>
    </row>
    <row r="18">
      <c r="A18" s="17" t="inlineStr">
        <is>
          <t>Trade</t>
        </is>
      </c>
      <c r="B18" s="17" t="inlineStr">
        <is>
          <t>Trade</t>
        </is>
      </c>
      <c r="C18" s="54" t="inlineStr">
        <is>
          <t>What trade</t>
        </is>
      </c>
      <c r="D18" s="17">
        <f>IF(C18="","",IFERROR(MATCH(C18,FormHdr,0),IFERROR(MATCH("*"&amp;C18&amp;"*",FormHdr,0),"")))</f>
        <v/>
      </c>
      <c r="E18" s="17">
        <f>IF(C18="","— not used",IF(D18="","✗ not found in Sheet1 — check the wording",INDEX(FormHdr,D18)))</f>
        <v/>
      </c>
      <c r="F18" s="17" t="inlineStr">
        <is>
          <t>Trade</t>
        </is>
      </c>
    </row>
    <row r="19">
      <c r="A19" s="17" t="inlineStr">
        <is>
          <t>SelfID</t>
        </is>
      </c>
      <c r="B19" s="17" t="inlineStr">
        <is>
          <t>Self-identification (optional)</t>
        </is>
      </c>
      <c r="C19" s="54" t="inlineStr">
        <is>
          <t>identify</t>
        </is>
      </c>
      <c r="D19" s="17">
        <f>IF(C19="","",IFERROR(MATCH(C19,FormHdr,0),IFERROR(MATCH("*"&amp;C19&amp;"*",FormHdr,0),"")))</f>
        <v/>
      </c>
      <c r="E19" s="17">
        <f>IF(C19="","— not used",IF(D19="","✗ not found in Sheet1 — check the wording",INDEX(FormHdr,D19)))</f>
        <v/>
      </c>
      <c r="F19" s="17" t="inlineStr">
        <is>
          <t>Dashboard totals ONLY — never copied onto a person's row</t>
        </is>
      </c>
    </row>
    <row r="20">
      <c r="A20" s="17" t="inlineStr">
        <is>
          <t>Need</t>
        </is>
      </c>
      <c r="B20" s="17" t="inlineStr">
        <is>
          <t>Most helpful right now</t>
        </is>
      </c>
      <c r="C20" s="54" t="inlineStr">
        <is>
          <t>most helpful</t>
        </is>
      </c>
      <c r="D20" s="17">
        <f>IF(C20="","",IFERROR(MATCH(C20,FormHdr,0),IFERROR(MATCH("*"&amp;C20&amp;"*",FormHdr,0),"")))</f>
        <v/>
      </c>
      <c r="E20" s="17">
        <f>IF(C20="","— not used",IF(D20="","✗ not found in Sheet1 — check the wording",INDEX(FormHdr,D20)))</f>
        <v/>
      </c>
      <c r="F20" s="17" t="inlineStr">
        <is>
          <t>Shown as a hint on New Sign-Ups</t>
        </is>
      </c>
    </row>
    <row r="21">
      <c r="A21" s="17" t="inlineStr">
        <is>
          <t>Consent</t>
        </is>
      </c>
      <c r="B21" s="17" t="inlineStr">
        <is>
          <t>Consent</t>
        </is>
      </c>
      <c r="C21" s="54" t="inlineStr">
        <is>
          <t>Consent</t>
        </is>
      </c>
      <c r="D21" s="17">
        <f>IF(C21="","",IFERROR(MATCH(C21,FormHdr,0),IFERROR(MATCH("*"&amp;C21&amp;"*",FormHdr,0),"")))</f>
        <v/>
      </c>
      <c r="E21" s="17">
        <f>IF(C21="","— not used",IF(D21="","✗ not found in Sheet1 — check the wording",INDEX(FormHdr,D21)))</f>
        <v/>
      </c>
      <c r="F21" s="17" t="inlineStr">
        <is>
          <t>Consent (any answer containing “yes” counts as Yes)</t>
        </is>
      </c>
    </row>
    <row r="22">
      <c r="A22" s="17" t="inlineStr">
        <is>
          <t>Event</t>
        </is>
      </c>
      <c r="B22" s="17" t="inlineStr">
        <is>
          <t>Event (pre-filled link, if you add one)</t>
        </is>
      </c>
      <c r="C22" s="54" t="inlineStr">
        <is>
          <t>signing up today</t>
        </is>
      </c>
      <c r="D22" s="17">
        <f>IF(C22="","",IFERROR(MATCH(C22,FormHdr,0),IFERROR(MATCH("*"&amp;C22&amp;"*",FormHdr,0),"")))</f>
        <v/>
      </c>
      <c r="E22" s="17">
        <f>IF(C22="","— not used",IF(D22="","✗ not found in Sheet1 — check the wording",INDEX(FormHdr,D22)))</f>
        <v/>
      </c>
      <c r="F22" s="17" t="inlineStr">
        <is>
          <t>Event ID, when the QR carries the event. Otherwise the date decides</t>
        </is>
      </c>
    </row>
    <row r="25">
      <c r="A25" s="34" t="inlineStr">
        <is>
          <t>Settings</t>
        </is>
      </c>
    </row>
    <row r="26">
      <c r="B26" t="inlineStr">
        <is>
          <t>“Due soon” means within this many days</t>
        </is>
      </c>
      <c r="C26" s="55" t="n">
        <v>7</v>
      </c>
    </row>
    <row r="29">
      <c r="A29" s="34" t="inlineStr">
        <is>
          <t>Commitments shown on the Dashboard</t>
        </is>
      </c>
    </row>
    <row r="30">
      <c r="A30" s="2" t="inlineStr">
        <is>
          <t>Targets copied from the BOOST Performance Commitments 2026-27 (V2.0) as quoted in the sign-up form spec. Check them against the source before relying on them; change any yellow cell.</t>
        </is>
      </c>
    </row>
    <row r="31" ht="32" customHeight="1">
      <c r="B31" s="11" t="inlineStr">
        <is>
          <t>Commitment</t>
        </is>
      </c>
      <c r="C31" s="11" t="inlineStr">
        <is>
          <t>Target</t>
        </is>
      </c>
    </row>
    <row r="32">
      <c r="B32" s="56" t="inlineStr">
        <is>
          <t>KPI 1 — Total connections</t>
        </is>
      </c>
      <c r="C32" s="57" t="n"/>
    </row>
    <row r="33">
      <c r="B33" s="56" t="inlineStr">
        <is>
          <t>KPI 2 — Underrepresented groups</t>
        </is>
      </c>
      <c r="C33" s="57" t="n">
        <v>106</v>
      </c>
    </row>
    <row r="34">
      <c r="B34" s="56" t="inlineStr">
        <is>
          <t>KPI 3 — Jobseekers</t>
        </is>
      </c>
      <c r="C34" s="57" t="n">
        <v>118</v>
      </c>
    </row>
    <row r="35">
      <c r="B35" s="56" t="inlineStr">
        <is>
          <t>KPI 4 — Incumbent workers</t>
        </is>
      </c>
      <c r="C35" s="57" t="n">
        <v>102</v>
      </c>
    </row>
    <row r="36">
      <c r="B36" s="56" t="inlineStr">
        <is>
          <t>KPI 6 — Registered apprentices</t>
        </is>
      </c>
      <c r="C36" s="57" t="n">
        <v>60</v>
      </c>
    </row>
    <row r="37">
      <c r="B37" s="56" t="inlineStr">
        <is>
          <t>KPI 26 — Persons with a disability</t>
        </is>
      </c>
      <c r="C37" s="57" t="n">
        <v>69</v>
      </c>
    </row>
    <row r="38">
      <c r="B38" s="56" t="inlineStr">
        <is>
          <t>Full-Service participants</t>
        </is>
      </c>
      <c r="C38" s="57" t="n">
        <v>280</v>
      </c>
    </row>
    <row r="39">
      <c r="B39" s="56" t="inlineStr">
        <is>
          <t>Light-Touch participants</t>
        </is>
      </c>
      <c r="C39" s="57" t="n">
        <v>100</v>
      </c>
    </row>
    <row r="43">
      <c r="A43" s="34" t="inlineStr">
        <is>
          <t>Keyword tables — how form answers become dropdown values</t>
        </is>
      </c>
    </row>
    <row r="44">
      <c r="A44" s="2" t="inlineStr">
        <is>
          <t>If an answer contains the keyword, it gets the value beside it. When several match, the LOWEST row wins — so put more specific keywords further down. Add rows in the blank yellow cells.</t>
        </is>
      </c>
    </row>
    <row r="45" ht="32" customHeight="1">
      <c r="B45" s="11" t="inlineStr">
        <is>
          <t>Who are you → keyword</t>
        </is>
      </c>
      <c r="C45" s="11" t="inlineStr">
        <is>
          <t>Contact Type</t>
        </is>
      </c>
      <c r="E45" s="11" t="inlineStr">
        <is>
          <t>Situation → keyword</t>
        </is>
      </c>
      <c r="F45" s="11" t="inlineStr">
        <is>
          <t>Situation</t>
        </is>
      </c>
    </row>
    <row r="46">
      <c r="B46" s="57" t="inlineStr">
        <is>
          <t>trade</t>
        </is>
      </c>
      <c r="C46" s="57" t="inlineStr">
        <is>
          <t>Trade</t>
        </is>
      </c>
      <c r="E46" s="57" t="inlineStr">
        <is>
          <t>looking for work</t>
        </is>
      </c>
      <c r="F46" s="57" t="inlineStr">
        <is>
          <t>Jobseeker</t>
        </is>
      </c>
    </row>
    <row r="47">
      <c r="B47" s="57" t="inlineStr">
        <is>
          <t>apprentic</t>
        </is>
      </c>
      <c r="C47" s="57" t="inlineStr">
        <is>
          <t>Trade</t>
        </is>
      </c>
      <c r="E47" s="57" t="inlineStr">
        <is>
          <t>not working</t>
        </is>
      </c>
      <c r="F47" s="57" t="inlineStr">
        <is>
          <t>Jobseeker</t>
        </is>
      </c>
    </row>
    <row r="48">
      <c r="B48" s="57" t="inlineStr">
        <is>
          <t>student</t>
        </is>
      </c>
      <c r="C48" s="57" t="inlineStr">
        <is>
          <t>Trade</t>
        </is>
      </c>
      <c r="E48" s="57" t="inlineStr">
        <is>
          <t>journeyperson</t>
        </is>
      </c>
      <c r="F48" s="57" t="inlineStr">
        <is>
          <t>Journeyperson</t>
        </is>
      </c>
    </row>
    <row r="49">
      <c r="B49" s="57" t="inlineStr">
        <is>
          <t>job</t>
        </is>
      </c>
      <c r="C49" s="57" t="inlineStr">
        <is>
          <t>Trade</t>
        </is>
      </c>
      <c r="E49" s="57" t="inlineStr">
        <is>
          <t>not a journeyperson</t>
        </is>
      </c>
      <c r="F49" s="57" t="inlineStr">
        <is>
          <t>Incumbent worker</t>
        </is>
      </c>
    </row>
    <row r="50">
      <c r="B50" s="57" t="inlineStr">
        <is>
          <t>employ</t>
        </is>
      </c>
      <c r="C50" s="57" t="inlineStr">
        <is>
          <t>Employer &amp; Union</t>
        </is>
      </c>
      <c r="E50" s="57" t="inlineStr">
        <is>
          <t>student</t>
        </is>
      </c>
      <c r="F50" s="57" t="inlineStr">
        <is>
          <t>Student</t>
        </is>
      </c>
    </row>
    <row r="51">
      <c r="B51" s="57" t="inlineStr">
        <is>
          <t>union</t>
        </is>
      </c>
      <c r="C51" s="57" t="inlineStr">
        <is>
          <t>Employer &amp; Union</t>
        </is>
      </c>
      <c r="E51" s="57" t="inlineStr">
        <is>
          <t>prefer not</t>
        </is>
      </c>
      <c r="F51" s="57" t="inlineStr">
        <is>
          <t>Prefer not to say</t>
        </is>
      </c>
    </row>
    <row r="52">
      <c r="B52" s="57" t="inlineStr">
        <is>
          <t>sponsor</t>
        </is>
      </c>
      <c r="C52" s="57" t="inlineStr">
        <is>
          <t>Employer &amp; Union</t>
        </is>
      </c>
      <c r="E52" s="57" t="n"/>
      <c r="F52" s="57" t="n"/>
    </row>
    <row r="53">
      <c r="B53" s="57" t="inlineStr">
        <is>
          <t>business</t>
        </is>
      </c>
      <c r="C53" s="57" t="inlineStr">
        <is>
          <t>Employer &amp; Union</t>
        </is>
      </c>
      <c r="E53" s="57" t="n"/>
      <c r="F53" s="57" t="n"/>
    </row>
    <row r="54">
      <c r="B54" s="57" t="inlineStr">
        <is>
          <t>college</t>
        </is>
      </c>
      <c r="C54" s="57" t="inlineStr">
        <is>
          <t>College &amp; Agency</t>
        </is>
      </c>
      <c r="E54" s="57" t="n"/>
      <c r="F54" s="57" t="n"/>
    </row>
    <row r="55">
      <c r="B55" s="57" t="inlineStr">
        <is>
          <t>school</t>
        </is>
      </c>
      <c r="C55" s="57" t="inlineStr">
        <is>
          <t>College &amp; Agency</t>
        </is>
      </c>
      <c r="E55" s="57" t="n"/>
      <c r="F55" s="57" t="n"/>
    </row>
    <row r="56">
      <c r="B56" s="57" t="inlineStr">
        <is>
          <t>agency</t>
        </is>
      </c>
      <c r="C56" s="57" t="inlineStr">
        <is>
          <t>College &amp; Agency</t>
        </is>
      </c>
      <c r="E56" s="57" t="n"/>
      <c r="F56" s="57" t="n"/>
    </row>
    <row r="57">
      <c r="B57" s="57" t="inlineStr">
        <is>
          <t>organization</t>
        </is>
      </c>
      <c r="C57" s="57" t="inlineStr">
        <is>
          <t>College &amp; Agency</t>
        </is>
      </c>
      <c r="E57" s="57" t="n"/>
      <c r="F57" s="57" t="n"/>
    </row>
    <row r="58">
      <c r="B58" s="57" t="inlineStr">
        <is>
          <t>partner</t>
        </is>
      </c>
      <c r="C58" s="57" t="inlineStr">
        <is>
          <t>College &amp; Agency</t>
        </is>
      </c>
      <c r="E58" s="57" t="n"/>
      <c r="F58" s="57" t="n"/>
    </row>
    <row r="59">
      <c r="B59" s="57" t="inlineStr">
        <is>
          <t>government</t>
        </is>
      </c>
      <c r="C59" s="57" t="inlineStr">
        <is>
          <t>College &amp; Agency</t>
        </is>
      </c>
      <c r="E59" s="57" t="n"/>
      <c r="F59" s="57" t="n"/>
    </row>
    <row r="60">
      <c r="B60" s="57" t="inlineStr">
        <is>
          <t>parent</t>
        </is>
      </c>
      <c r="C60" s="57" t="inlineStr">
        <is>
          <t>Other</t>
        </is>
      </c>
      <c r="E60" s="57" t="n"/>
      <c r="F60" s="57" t="n"/>
    </row>
    <row r="61">
      <c r="B61" s="57" t="inlineStr">
        <is>
          <t>other</t>
        </is>
      </c>
      <c r="C61" s="57" t="inlineStr">
        <is>
          <t>Other</t>
        </is>
      </c>
      <c r="E61" s="57" t="n"/>
      <c r="F61" s="57" t="n"/>
    </row>
    <row r="62">
      <c r="B62" s="57" t="n"/>
      <c r="C62" s="57" t="n"/>
      <c r="E62" s="57" t="n"/>
      <c r="F62" s="57" t="n"/>
    </row>
    <row r="63">
      <c r="B63" s="57" t="n"/>
      <c r="C63" s="57" t="n"/>
      <c r="E63" s="57" t="n"/>
      <c r="F63" s="57" t="n"/>
    </row>
    <row r="64">
      <c r="B64" s="57" t="n"/>
      <c r="C64" s="57" t="n"/>
      <c r="E64" s="57" t="n"/>
      <c r="F64" s="57" t="n"/>
    </row>
    <row r="65">
      <c r="B65" s="57" t="n"/>
      <c r="C65" s="57" t="n"/>
      <c r="E65" s="57" t="n"/>
      <c r="F65" s="57" t="n"/>
    </row>
    <row r="66">
      <c r="B66" s="57" t="n"/>
      <c r="C66" s="57" t="n"/>
      <c r="E66" s="57" t="n"/>
      <c r="F66" s="57" t="n"/>
    </row>
    <row r="67">
      <c r="B67" s="57" t="n"/>
      <c r="C67" s="57" t="n"/>
      <c r="E67" s="57" t="n"/>
      <c r="F67" s="5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3:F3"/>
  </mergeCells>
  <conditionalFormatting sqref="E6:E22">
    <cfRule type="expression" priority="1" dxfId="6">
      <formula>LEFT($E6,1)="✗"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6" customHeight="1">
      <c r="A1" s="7" t="inlineStr">
        <is>
          <t>Lists</t>
        </is>
      </c>
    </row>
    <row r="2">
      <c r="A2" s="2" t="inlineStr">
        <is>
          <t>Dropdown vocabulary. Add new values at the bottom of a column — the dropdowns grow with it. Don't rename existing values once in use.</t>
        </is>
      </c>
    </row>
    <row r="4" ht="32" customHeight="1">
      <c r="A4" s="11" t="inlineStr">
        <is>
          <t>Contact Type</t>
        </is>
      </c>
      <c r="B4" s="11" t="inlineStr">
        <is>
          <t>Region</t>
        </is>
      </c>
      <c r="C4" s="11" t="inlineStr">
        <is>
          <t>Situation</t>
        </is>
      </c>
      <c r="D4" s="11" t="inlineStr">
        <is>
          <t>Registered Apprentice</t>
        </is>
      </c>
      <c r="E4" s="11" t="inlineStr">
        <is>
          <t>Service Level</t>
        </is>
      </c>
      <c r="F4" s="11" t="inlineStr">
        <is>
          <t>Main Need</t>
        </is>
      </c>
      <c r="G4" s="11" t="inlineStr">
        <is>
          <t>Stage</t>
        </is>
      </c>
      <c r="H4" s="11" t="inlineStr">
        <is>
          <t>Tick</t>
        </is>
      </c>
      <c r="I4" s="11" t="inlineStr">
        <is>
          <t>Consent</t>
        </is>
      </c>
      <c r="J4" s="11" t="inlineStr">
        <is>
          <t>Event Type</t>
        </is>
      </c>
    </row>
    <row r="5">
      <c r="A5" t="inlineStr">
        <is>
          <t>Trade</t>
        </is>
      </c>
      <c r="B5" t="inlineStr">
        <is>
          <t>Northeastern Ontario</t>
        </is>
      </c>
      <c r="C5" t="inlineStr">
        <is>
          <t>Jobseeker</t>
        </is>
      </c>
      <c r="D5" t="inlineStr">
        <is>
          <t>Yes</t>
        </is>
      </c>
      <c r="E5" t="inlineStr">
        <is>
          <t>Full-Service</t>
        </is>
      </c>
      <c r="F5" t="inlineStr">
        <is>
          <t>Finding a sponsor / employer</t>
        </is>
      </c>
      <c r="G5" t="inlineStr">
        <is>
          <t>New</t>
        </is>
      </c>
      <c r="H5" t="inlineStr">
        <is>
          <t>✓</t>
        </is>
      </c>
      <c r="I5" t="inlineStr">
        <is>
          <t>Yes</t>
        </is>
      </c>
      <c r="J5" t="inlineStr">
        <is>
          <t>SOY Boot Camp</t>
        </is>
      </c>
    </row>
    <row r="6">
      <c r="A6" t="inlineStr">
        <is>
          <t>Employer &amp; Union</t>
        </is>
      </c>
      <c r="B6" t="inlineStr">
        <is>
          <t>Northwestern Ontario</t>
        </is>
      </c>
      <c r="C6" t="inlineStr">
        <is>
          <t>Incumbent worker</t>
        </is>
      </c>
      <c r="D6" t="inlineStr">
        <is>
          <t>No</t>
        </is>
      </c>
      <c r="E6" t="inlineStr">
        <is>
          <t>Light-Touch</t>
        </is>
      </c>
      <c r="F6" t="inlineStr">
        <is>
          <t>Exam preparation</t>
        </is>
      </c>
      <c r="G6" t="inlineStr">
        <is>
          <t>Contacted</t>
        </is>
      </c>
      <c r="I6" t="inlineStr">
        <is>
          <t>No</t>
        </is>
      </c>
      <c r="J6" t="inlineStr">
        <is>
          <t>Level Up</t>
        </is>
      </c>
    </row>
    <row r="7">
      <c r="A7" t="inlineStr">
        <is>
          <t>College &amp; Agency</t>
        </is>
      </c>
      <c r="B7" t="inlineStr">
        <is>
          <t>Eastern Ontario</t>
        </is>
      </c>
      <c r="C7" t="inlineStr">
        <is>
          <t>Journeyperson</t>
        </is>
      </c>
      <c r="D7" t="inlineStr">
        <is>
          <t>Not sure</t>
        </is>
      </c>
      <c r="E7" t="inlineStr">
        <is>
          <t>Not decided</t>
        </is>
      </c>
      <c r="F7" t="inlineStr">
        <is>
          <t>Tutoring / upgrading</t>
        </is>
      </c>
      <c r="G7" t="inlineStr">
        <is>
          <t>Intake booked</t>
        </is>
      </c>
      <c r="J7" t="inlineStr">
        <is>
          <t>Career fair</t>
        </is>
      </c>
    </row>
    <row r="8">
      <c r="A8" t="inlineStr">
        <is>
          <t>Other</t>
        </is>
      </c>
      <c r="B8" t="inlineStr">
        <is>
          <t>Central Ontario</t>
        </is>
      </c>
      <c r="C8" t="inlineStr">
        <is>
          <t>Student</t>
        </is>
      </c>
      <c r="F8" t="inlineStr">
        <is>
          <t>Reading, writing or math</t>
        </is>
      </c>
      <c r="G8" t="inlineStr">
        <is>
          <t>Active</t>
        </is>
      </c>
      <c r="J8" t="inlineStr">
        <is>
          <t>Information session</t>
        </is>
      </c>
    </row>
    <row r="9">
      <c r="B9" t="inlineStr">
        <is>
          <t>Southwestern Ontario</t>
        </is>
      </c>
      <c r="C9" t="inlineStr">
        <is>
          <t>Prefer not to say</t>
        </is>
      </c>
      <c r="F9" t="inlineStr">
        <is>
          <t>Learning disability testing</t>
        </is>
      </c>
      <c r="G9" t="inlineStr">
        <is>
          <t>Referred out</t>
        </is>
      </c>
      <c r="J9" t="inlineStr">
        <is>
          <t>Presentation</t>
        </is>
      </c>
    </row>
    <row r="10">
      <c r="B10" t="inlineStr">
        <is>
          <t>Greater Toronto Area</t>
        </is>
      </c>
      <c r="F10" t="inlineStr">
        <is>
          <t>Where to start</t>
        </is>
      </c>
      <c r="G10" t="inlineStr">
        <is>
          <t>No response</t>
        </is>
      </c>
      <c r="J10" t="inlineStr">
        <is>
          <t>Community event</t>
        </is>
      </c>
    </row>
    <row r="11">
      <c r="B11" t="inlineStr">
        <is>
          <t>Other / not sure</t>
        </is>
      </c>
      <c r="F11" t="inlineStr">
        <is>
          <t>Info about BOOST</t>
        </is>
      </c>
      <c r="G11" t="inlineStr">
        <is>
          <t>Closed</t>
        </is>
      </c>
      <c r="J11" t="inlineStr">
        <is>
          <t>Other</t>
        </is>
      </c>
    </row>
    <row r="12">
      <c r="F12" t="inlineStr">
        <is>
          <t>Hiring an apprentice</t>
        </is>
      </c>
    </row>
    <row r="13">
      <c r="F13" t="inlineStr">
        <is>
          <t>Partnership / referrals</t>
        </is>
      </c>
    </row>
    <row r="14">
      <c r="F14" t="inlineStr">
        <is>
          <t>Other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8" t="inlineStr">
        <is>
          <t>Id</t>
        </is>
      </c>
      <c r="B1" s="58" t="inlineStr">
        <is>
          <t>Start time</t>
        </is>
      </c>
      <c r="C1" s="58" t="inlineStr">
        <is>
          <t>Completion time</t>
        </is>
      </c>
      <c r="D1" s="58" t="inlineStr">
        <is>
          <t>Email</t>
        </is>
      </c>
      <c r="E1" s="58" t="inlineStr">
        <is>
          <t>Name</t>
        </is>
      </c>
      <c r="F1" s="58" t="inlineStr">
        <is>
          <t>Last modified time</t>
        </is>
      </c>
      <c r="G1" s="58" t="inlineStr">
        <is>
          <t>Who are you?</t>
        </is>
      </c>
      <c r="H1" s="58" t="inlineStr">
        <is>
          <t>Full name</t>
        </is>
      </c>
      <c r="I1" s="58" t="inlineStr">
        <is>
          <t>Email address</t>
        </is>
      </c>
      <c r="J1" s="58" t="inlineStr">
        <is>
          <t>Phone number</t>
        </is>
      </c>
      <c r="K1" s="58" t="inlineStr">
        <is>
          <t>City or town</t>
        </is>
      </c>
      <c r="L1" s="58" t="inlineStr">
        <is>
          <t>Company name</t>
        </is>
      </c>
      <c r="M1" s="58" t="inlineStr">
        <is>
          <t>Organization name</t>
        </is>
      </c>
      <c r="N1" s="58" t="inlineStr">
        <is>
          <t>What region of Ontario are you in?</t>
        </is>
      </c>
      <c r="O1" s="58" t="inlineStr">
        <is>
          <t>Which best describes you right now?</t>
        </is>
      </c>
      <c r="P1" s="58" t="inlineStr">
        <is>
          <t>Are you currently a registered apprentice?</t>
        </is>
      </c>
      <c r="Q1" s="58" t="inlineStr">
        <is>
          <t>What trade are you in, or interested in?</t>
        </is>
      </c>
      <c r="R1" s="58" t="inlineStr">
        <is>
          <t>Do you identify with any of the following? (optional)</t>
        </is>
      </c>
      <c r="S1" s="58" t="inlineStr">
        <is>
          <t>What would be most helpful to you right now?</t>
        </is>
      </c>
      <c r="T1" s="58" t="inlineStr">
        <is>
          <t>Consent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Maxime Caldwell</dc:creator>
  <dc:title xmlns:dc="http://purl.org/dc/elements/1.1/">BOOST Ontario — Participant Tracker</dc:title>
  <dc:subject xmlns:dc="http://purl.org/dc/elements/1.1/">BOOST Ontario</dc:subject>
  <dcterms:created xmlns:dcterms="http://purl.org/dc/terms/" xmlns:xsi="http://www.w3.org/2001/XMLSchema-instance" xsi:type="dcterms:W3CDTF">2026-10-08T22:00:00Z</dcterms:created>
  <dcterms:modified xmlns:dcterms="http://purl.org/dc/terms/" xmlns:xsi="http://www.w3.org/2001/XMLSchema-instance" xsi:type="dcterms:W3CDTF">2026-10-08T05:04:44Z</dcterms:modified>
  <cp:lastModifiedBy>Maxime Caldwell</cp:lastModifiedBy>
</cp:coreProperties>
</file>